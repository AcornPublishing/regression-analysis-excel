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2.xml" ContentType="application/vnd.openxmlformats-officedocument.drawingml.chart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3.xml" ContentType="application/vnd.openxmlformats-officedocument.drawingml.chart+xml"/>
  <Override PartName="/xl/drawings/drawing2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onrad\Documents\Regression book\Chapter 6\"/>
    </mc:Choice>
  </mc:AlternateContent>
  <bookViews>
    <workbookView xWindow="0" yWindow="0" windowWidth="20490" windowHeight="8235"/>
  </bookViews>
  <sheets>
    <sheet name="Fig 6.1" sheetId="8" r:id="rId1"/>
    <sheet name="Fig 6.2" sheetId="9" r:id="rId2"/>
    <sheet name="Fig 6.3" sheetId="10" r:id="rId3"/>
    <sheet name="Fig 6.4" sheetId="1" r:id="rId4"/>
    <sheet name="Fig 6.5" sheetId="2" r:id="rId5"/>
    <sheet name="Fig 6.6" sheetId="5" r:id="rId6"/>
    <sheet name="Fig 6.7" sheetId="4" r:id="rId7"/>
    <sheet name="Fig 6.8" sheetId="29" r:id="rId8"/>
    <sheet name="Fig 6.9" sheetId="30" r:id="rId9"/>
    <sheet name="Fig 6.10" sheetId="11" r:id="rId10"/>
    <sheet name="Fig 6.11" sheetId="12" r:id="rId11"/>
    <sheet name="Fig 6.12" sheetId="13" r:id="rId12"/>
    <sheet name="Fig 6.13" sheetId="14" r:id="rId13"/>
    <sheet name="Fig 6.14" sheetId="15" r:id="rId14"/>
    <sheet name="Fig 6.15" sheetId="16" r:id="rId15"/>
    <sheet name="Fig 6.16" sheetId="17" r:id="rId16"/>
    <sheet name="Fig 6.17" sheetId="18" r:id="rId17"/>
    <sheet name="Fig 6.18" sheetId="19" r:id="rId18"/>
    <sheet name="Fig 6.19" sheetId="20" r:id="rId19"/>
    <sheet name="Fig 6.20" sheetId="21" r:id="rId20"/>
    <sheet name="Fig 6.21" sheetId="22" r:id="rId21"/>
    <sheet name="Fig 6.22" sheetId="23" r:id="rId22"/>
    <sheet name="Fig 6.23" sheetId="24" r:id="rId23"/>
    <sheet name="Fig 6.24" sheetId="25" r:id="rId24"/>
    <sheet name="Fig 6.25" sheetId="26" r:id="rId25"/>
    <sheet name="Fig 6.26" sheetId="27" r:id="rId26"/>
    <sheet name="Fig 6.27" sheetId="28" r:id="rId27"/>
  </sheets>
  <definedNames>
    <definedName name="_xlnm._FilterDatabase" localSheetId="13" hidden="1">'Fig 6.14'!$S$1:$S$1001</definedName>
    <definedName name="solver_adj" localSheetId="10" hidden="1">'Fig 6.11'!$A$2:$A$19</definedName>
    <definedName name="solver_adj" localSheetId="11" hidden="1">'Fig 6.12'!#REF!</definedName>
    <definedName name="solver_adj" localSheetId="12" hidden="1">'Fig 6.13'!$A$2:$A$19</definedName>
    <definedName name="solver_adj" localSheetId="23" hidden="1">'Fig 6.24'!$R$8:$S$8</definedName>
    <definedName name="solver_adj" localSheetId="24" hidden="1">'Fig 6.25'!$O$8:$P$8</definedName>
    <definedName name="solver_adj" localSheetId="25" hidden="1">'Fig 6.26'!$R$8:$S$8</definedName>
    <definedName name="solver_adj" localSheetId="26" hidden="1">'Fig 6.27'!$O$8:$P$8</definedName>
    <definedName name="solver_adj" localSheetId="3" hidden="1">'Fig 6.4'!#REF!</definedName>
    <definedName name="solver_adj" localSheetId="4" hidden="1">'Fig 6.5'!$B$2:$B$151</definedName>
    <definedName name="solver_adj" localSheetId="7" hidden="1">'Fig 6.8'!$G$11:$H$11</definedName>
    <definedName name="solver_adj" localSheetId="8" hidden="1">'Fig 6.9'!$E$11:$F$11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3" hidden="1">0.0001</definedName>
    <definedName name="solver_cvg" localSheetId="4" hidden="1">0.0001</definedName>
    <definedName name="solver_cvg" localSheetId="7" hidden="1">0.0001</definedName>
    <definedName name="solver_cvg" localSheetId="8" hidden="1">0.0001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3" hidden="1">2</definedName>
    <definedName name="solver_drv" localSheetId="4" hidden="1">2</definedName>
    <definedName name="solver_drv" localSheetId="7" hidden="1">1</definedName>
    <definedName name="solver_drv" localSheetId="8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6" hidden="1">1</definedName>
    <definedName name="solver_eng" localSheetId="3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3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6" hidden="1">2147483647</definedName>
    <definedName name="solver_itr" localSheetId="3" hidden="1">2147483647</definedName>
    <definedName name="solver_itr" localSheetId="4" hidden="1">2147483647</definedName>
    <definedName name="solver_itr" localSheetId="7" hidden="1">2147483647</definedName>
    <definedName name="solver_itr" localSheetId="8" hidden="1">2147483647</definedName>
    <definedName name="solver_lhs1" localSheetId="10" hidden="1">'Fig 6.11'!$A$22</definedName>
    <definedName name="solver_lhs1" localSheetId="11" hidden="1">'Fig 6.12'!#REF!</definedName>
    <definedName name="solver_lhs1" localSheetId="12" hidden="1">'Fig 6.13'!$A$24</definedName>
    <definedName name="solver_lhs1" localSheetId="23" hidden="1">'Fig 6.24'!$B$24</definedName>
    <definedName name="solver_lhs1" localSheetId="24" hidden="1">'Fig 6.25'!$B$23</definedName>
    <definedName name="solver_lhs1" localSheetId="25" hidden="1">'Fig 6.26'!$A$24</definedName>
    <definedName name="solver_lhs1" localSheetId="26" hidden="1">'Fig 6.27'!$B$23</definedName>
    <definedName name="solver_lhs1" localSheetId="3" hidden="1">'Fig 6.4'!#REF!</definedName>
    <definedName name="solver_lhs1" localSheetId="4" hidden="1">'Fig 6.5'!$B$2:$B$151</definedName>
    <definedName name="solver_lhs2" localSheetId="10" hidden="1">'Fig 6.11'!$A$22</definedName>
    <definedName name="solver_lhs2" localSheetId="11" hidden="1">'Fig 6.12'!#REF!</definedName>
    <definedName name="solver_lhs2" localSheetId="3" hidden="1">'Fig 6.4'!#REF!</definedName>
    <definedName name="solver_lhs2" localSheetId="4" hidden="1">'Fig 6.5'!$B$2:$B$151</definedName>
    <definedName name="solver_lhs3" localSheetId="3" hidden="1">'Fig 6.4'!#REF!</definedName>
    <definedName name="solver_lhs3" localSheetId="4" hidden="1">'Fig 6.5'!$D$3</definedName>
    <definedName name="solver_lhs4" localSheetId="3" hidden="1">'Fig 6.4'!#REF!</definedName>
    <definedName name="solver_lhs4" localSheetId="4" hidden="1">'Fig 6.5'!$D$3</definedName>
    <definedName name="solver_lhs5" localSheetId="4" hidden="1">'Fig 6.5'!$D$4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6" hidden="1">2147483647</definedName>
    <definedName name="solver_mip" localSheetId="3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6" hidden="1">30</definedName>
    <definedName name="solver_mni" localSheetId="3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6" hidden="1">0.075</definedName>
    <definedName name="solver_mrt" localSheetId="3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6" hidden="1">2</definedName>
    <definedName name="solver_msl" localSheetId="3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10" hidden="1">2</definedName>
    <definedName name="solver_neg" localSheetId="11" hidden="1">2</definedName>
    <definedName name="solver_neg" localSheetId="12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6" hidden="1">2</definedName>
    <definedName name="solver_neg" localSheetId="3" hidden="1">2</definedName>
    <definedName name="solver_neg" localSheetId="4" hidden="1">2</definedName>
    <definedName name="solver_neg" localSheetId="7" hidden="1">2</definedName>
    <definedName name="solver_neg" localSheetId="8" hidden="1">2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6" hidden="1">2147483647</definedName>
    <definedName name="solver_nod" localSheetId="3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10" hidden="1">2</definedName>
    <definedName name="solver_num" localSheetId="11" hidden="1">2</definedName>
    <definedName name="solver_num" localSheetId="12" hidden="1">1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6" hidden="1">0</definedName>
    <definedName name="solver_num" localSheetId="3" hidden="1">4</definedName>
    <definedName name="solver_num" localSheetId="4" hidden="1">5</definedName>
    <definedName name="solver_num" localSheetId="7" hidden="1">0</definedName>
    <definedName name="solver_num" localSheetId="8" hidden="1">0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3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10" hidden="1">'Fig 6.11'!$A$21</definedName>
    <definedName name="solver_opt" localSheetId="11" hidden="1">'Fig 6.12'!#REF!</definedName>
    <definedName name="solver_opt" localSheetId="12" hidden="1">'Fig 6.13'!$A$23</definedName>
    <definedName name="solver_opt" localSheetId="23" hidden="1">'Fig 6.24'!$P$10</definedName>
    <definedName name="solver_opt" localSheetId="24" hidden="1">'Fig 6.25'!$M$10</definedName>
    <definedName name="solver_opt" localSheetId="25" hidden="1">'Fig 6.26'!$P$10</definedName>
    <definedName name="solver_opt" localSheetId="26" hidden="1">'Fig 6.27'!$M$10</definedName>
    <definedName name="solver_opt" localSheetId="3" hidden="1">'Fig 6.4'!#REF!</definedName>
    <definedName name="solver_opt" localSheetId="4" hidden="1">'Fig 6.5'!$D$2</definedName>
    <definedName name="solver_opt" localSheetId="7" hidden="1">'Fig 6.8'!$I$13</definedName>
    <definedName name="solver_opt" localSheetId="8" hidden="1">'Fig 6.9'!$G$13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3" hidden="1">0.000001</definedName>
    <definedName name="solver_pre" localSheetId="4" hidden="1">0.000001</definedName>
    <definedName name="solver_pre" localSheetId="7" hidden="1">0.000001</definedName>
    <definedName name="solver_pre" localSheetId="8" hidden="1">0.000001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6" hidden="1">1</definedName>
    <definedName name="solver_rbv" localSheetId="3" hidden="1">2</definedName>
    <definedName name="solver_rbv" localSheetId="4" hidden="1">2</definedName>
    <definedName name="solver_rbv" localSheetId="7" hidden="1">1</definedName>
    <definedName name="solver_rbv" localSheetId="8" hidden="1">1</definedName>
    <definedName name="solver_rel1" localSheetId="10" hidden="1">1</definedName>
    <definedName name="solver_rel1" localSheetId="11" hidden="1">1</definedName>
    <definedName name="solver_rel1" localSheetId="12" hidden="1">2</definedName>
    <definedName name="solver_rel1" localSheetId="23" hidden="1">2</definedName>
    <definedName name="solver_rel1" localSheetId="24" hidden="1">2</definedName>
    <definedName name="solver_rel1" localSheetId="25" hidden="1">2</definedName>
    <definedName name="solver_rel1" localSheetId="26" hidden="1">2</definedName>
    <definedName name="solver_rel1" localSheetId="3" hidden="1">1</definedName>
    <definedName name="solver_rel1" localSheetId="4" hidden="1">1</definedName>
    <definedName name="solver_rel2" localSheetId="10" hidden="1">3</definedName>
    <definedName name="solver_rel2" localSheetId="11" hidden="1">3</definedName>
    <definedName name="solver_rel2" localSheetId="3" hidden="1">3</definedName>
    <definedName name="solver_rel2" localSheetId="4" hidden="1">3</definedName>
    <definedName name="solver_rel3" localSheetId="3" hidden="1">1</definedName>
    <definedName name="solver_rel3" localSheetId="4" hidden="1">1</definedName>
    <definedName name="solver_rel4" localSheetId="3" hidden="1">3</definedName>
    <definedName name="solver_rel4" localSheetId="4" hidden="1">3</definedName>
    <definedName name="solver_rel5" localSheetId="4" hidden="1">1</definedName>
    <definedName name="solver_rhs1" localSheetId="10" hidden="1">109</definedName>
    <definedName name="solver_rhs1" localSheetId="11" hidden="1">109</definedName>
    <definedName name="solver_rhs1" localSheetId="12" hidden="1">107.94</definedName>
    <definedName name="solver_rhs1" localSheetId="23" hidden="1">107.94</definedName>
    <definedName name="solver_rhs1" localSheetId="24" hidden="1">107.94</definedName>
    <definedName name="solver_rhs1" localSheetId="25" hidden="1">107.94</definedName>
    <definedName name="solver_rhs1" localSheetId="26" hidden="1">107.94</definedName>
    <definedName name="solver_rhs1" localSheetId="3" hidden="1">150</definedName>
    <definedName name="solver_rhs1" localSheetId="4" hidden="1">150</definedName>
    <definedName name="solver_rhs2" localSheetId="10" hidden="1">108</definedName>
    <definedName name="solver_rhs2" localSheetId="11" hidden="1">108</definedName>
    <definedName name="solver_rhs2" localSheetId="3" hidden="1">5</definedName>
    <definedName name="solver_rhs2" localSheetId="4" hidden="1">5</definedName>
    <definedName name="solver_rhs3" localSheetId="3" hidden="1">50</definedName>
    <definedName name="solver_rhs3" localSheetId="4" hidden="1">0.2</definedName>
    <definedName name="solver_rhs4" localSheetId="3" hidden="1">45</definedName>
    <definedName name="solver_rhs4" localSheetId="4" hidden="1">0.1</definedName>
    <definedName name="solver_rhs5" localSheetId="4" hidden="1">0.4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6" hidden="1">2</definedName>
    <definedName name="solver_rlx" localSheetId="3" hidden="1">2</definedName>
    <definedName name="solver_rlx" localSheetId="4" hidden="1">2</definedName>
    <definedName name="solver_rlx" localSheetId="7" hidden="1">2</definedName>
    <definedName name="solver_rlx" localSheetId="8" hidden="1">2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6" hidden="1">0</definedName>
    <definedName name="solver_rsd" localSheetId="3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10" hidden="1">1</definedName>
    <definedName name="solver_scl" localSheetId="11" hidden="1">1</definedName>
    <definedName name="solver_scl" localSheetId="12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6" hidden="1">1</definedName>
    <definedName name="solver_scl" localSheetId="3" hidden="1">2</definedName>
    <definedName name="solver_scl" localSheetId="4" hidden="1">2</definedName>
    <definedName name="solver_scl" localSheetId="7" hidden="1">1</definedName>
    <definedName name="solver_scl" localSheetId="8" hidden="1">1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3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6" hidden="1">100</definedName>
    <definedName name="solver_ssz" localSheetId="3" hidden="1">100</definedName>
    <definedName name="solver_ssz" localSheetId="4" hidden="1">100</definedName>
    <definedName name="solver_ssz" localSheetId="7" hidden="1">100</definedName>
    <definedName name="solver_ssz" localSheetId="8" hidden="1">100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6" hidden="1">2147483647</definedName>
    <definedName name="solver_tim" localSheetId="3" hidden="1">2147483647</definedName>
    <definedName name="solver_tim" localSheetId="4" hidden="1">2147483647</definedName>
    <definedName name="solver_tim" localSheetId="7" hidden="1">2147483647</definedName>
    <definedName name="solver_tim" localSheetId="8" hidden="1">2147483647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6" hidden="1">0.01</definedName>
    <definedName name="solver_tol" localSheetId="3" hidden="1">0.01</definedName>
    <definedName name="solver_tol" localSheetId="4" hidden="1">0.01</definedName>
    <definedName name="solver_tol" localSheetId="7" hidden="1">0.01</definedName>
    <definedName name="solver_tol" localSheetId="8" hidden="1">0.01</definedName>
    <definedName name="solver_typ" localSheetId="10" hidden="1">3</definedName>
    <definedName name="solver_typ" localSheetId="11" hidden="1">3</definedName>
    <definedName name="solver_typ" localSheetId="12" hidden="1">3</definedName>
    <definedName name="solver_typ" localSheetId="23" hidden="1">3</definedName>
    <definedName name="solver_typ" localSheetId="24" hidden="1">3</definedName>
    <definedName name="solver_typ" localSheetId="25" hidden="1">3</definedName>
    <definedName name="solver_typ" localSheetId="26" hidden="1">3</definedName>
    <definedName name="solver_typ" localSheetId="3" hidden="1">3</definedName>
    <definedName name="solver_typ" localSheetId="4" hidden="1">3</definedName>
    <definedName name="solver_typ" localSheetId="7" hidden="1">2</definedName>
    <definedName name="solver_typ" localSheetId="8" hidden="1">2</definedName>
    <definedName name="solver_val" localSheetId="10" hidden="1">191</definedName>
    <definedName name="solver_val" localSheetId="11" hidden="1">191</definedName>
    <definedName name="solver_val" localSheetId="12" hidden="1">192.1</definedName>
    <definedName name="solver_val" localSheetId="23" hidden="1">0.767495</definedName>
    <definedName name="solver_val" localSheetId="24" hidden="1">0.767495</definedName>
    <definedName name="solver_val" localSheetId="25" hidden="1">0.767495</definedName>
    <definedName name="solver_val" localSheetId="26" hidden="1">0.767495</definedName>
    <definedName name="solver_val" localSheetId="3" hidden="1">1</definedName>
    <definedName name="solver_val" localSheetId="4" hidden="1">3</definedName>
    <definedName name="solver_val" localSheetId="7" hidden="1">0</definedName>
    <definedName name="solver_val" localSheetId="8" hidden="1">0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6" hidden="1">3</definedName>
    <definedName name="solver_ver" localSheetId="3" hidden="1">3</definedName>
    <definedName name="solver_ver" localSheetId="4" hidden="1">3</definedName>
    <definedName name="solver_ver" localSheetId="7" hidden="1">3</definedName>
    <definedName name="solver_ver" localSheetId="8" hidden="1">3</definedName>
  </definedNames>
  <calcPr calcId="162913"/>
  <pivotCaches>
    <pivotCache cacheId="14" r:id="rId28"/>
    <pivotCache cacheId="15" r:id="rId29"/>
    <pivotCache cacheId="16" r:id="rId30"/>
    <pivotCache cacheId="17" r:id="rId3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30" l="1"/>
  <c r="B6" i="30"/>
  <c r="B5" i="30"/>
  <c r="E44" i="29"/>
  <c r="E45" i="29"/>
  <c r="E46" i="29"/>
  <c r="I13" i="29" s="1"/>
  <c r="E47" i="29"/>
  <c r="E48" i="29"/>
  <c r="C3" i="29"/>
  <c r="E2" i="29"/>
  <c r="E3" i="29"/>
  <c r="E4" i="29"/>
  <c r="E5" i="29"/>
  <c r="E6" i="29"/>
  <c r="C2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" i="29"/>
  <c r="B4" i="30" l="1"/>
  <c r="B45" i="30"/>
  <c r="B44" i="29"/>
  <c r="D44" i="29" s="1"/>
  <c r="E43" i="29"/>
  <c r="D43" i="29"/>
  <c r="D42" i="29"/>
  <c r="E42" i="29" s="1"/>
  <c r="E41" i="29"/>
  <c r="D41" i="29"/>
  <c r="D40" i="29"/>
  <c r="E40" i="29" s="1"/>
  <c r="E39" i="29"/>
  <c r="D39" i="29"/>
  <c r="D38" i="29"/>
  <c r="E38" i="29" s="1"/>
  <c r="E37" i="29"/>
  <c r="D37" i="29"/>
  <c r="D36" i="29"/>
  <c r="E36" i="29" s="1"/>
  <c r="E35" i="29"/>
  <c r="D35" i="29"/>
  <c r="D34" i="29"/>
  <c r="E34" i="29" s="1"/>
  <c r="E33" i="29"/>
  <c r="D33" i="29"/>
  <c r="D32" i="29"/>
  <c r="E32" i="29" s="1"/>
  <c r="E31" i="29"/>
  <c r="D31" i="29"/>
  <c r="D30" i="29"/>
  <c r="E30" i="29" s="1"/>
  <c r="E29" i="29"/>
  <c r="D29" i="29"/>
  <c r="D28" i="29"/>
  <c r="E28" i="29" s="1"/>
  <c r="E27" i="29"/>
  <c r="D27" i="29"/>
  <c r="D26" i="29"/>
  <c r="E26" i="29" s="1"/>
  <c r="E25" i="29"/>
  <c r="D25" i="29"/>
  <c r="D24" i="29"/>
  <c r="E24" i="29" s="1"/>
  <c r="E23" i="29"/>
  <c r="D23" i="29"/>
  <c r="D22" i="29"/>
  <c r="E22" i="29" s="1"/>
  <c r="E21" i="29"/>
  <c r="D21" i="29"/>
  <c r="D20" i="29"/>
  <c r="E20" i="29" s="1"/>
  <c r="E19" i="29"/>
  <c r="D19" i="29"/>
  <c r="D18" i="29"/>
  <c r="E18" i="29" s="1"/>
  <c r="E17" i="29"/>
  <c r="D17" i="29"/>
  <c r="D16" i="29"/>
  <c r="E16" i="29" s="1"/>
  <c r="E15" i="29"/>
  <c r="D15" i="29"/>
  <c r="D14" i="29"/>
  <c r="E14" i="29" s="1"/>
  <c r="D13" i="29"/>
  <c r="E13" i="29" s="1"/>
  <c r="E12" i="29"/>
  <c r="D12" i="29"/>
  <c r="D11" i="29"/>
  <c r="E11" i="29" s="1"/>
  <c r="E10" i="29"/>
  <c r="D10" i="29"/>
  <c r="D9" i="29"/>
  <c r="E9" i="29" s="1"/>
  <c r="E8" i="29"/>
  <c r="D8" i="29"/>
  <c r="D7" i="29"/>
  <c r="E7" i="29" s="1"/>
  <c r="B6" i="29"/>
  <c r="D6" i="29" s="1"/>
  <c r="B46" i="30" l="1"/>
  <c r="B3" i="30"/>
  <c r="B45" i="29"/>
  <c r="B5" i="29"/>
  <c r="B2" i="30" l="1"/>
  <c r="B47" i="30"/>
  <c r="B4" i="29"/>
  <c r="D5" i="29"/>
  <c r="B46" i="29"/>
  <c r="D45" i="29"/>
  <c r="B48" i="30" l="1"/>
  <c r="C41" i="30"/>
  <c r="C37" i="30"/>
  <c r="C33" i="30"/>
  <c r="C29" i="30"/>
  <c r="C25" i="30"/>
  <c r="C21" i="30"/>
  <c r="C17" i="30"/>
  <c r="C12" i="30"/>
  <c r="C8" i="30"/>
  <c r="C47" i="30"/>
  <c r="C45" i="30"/>
  <c r="C43" i="30"/>
  <c r="C39" i="30"/>
  <c r="C27" i="30"/>
  <c r="C23" i="30"/>
  <c r="C6" i="30"/>
  <c r="C5" i="30"/>
  <c r="C3" i="30"/>
  <c r="C40" i="30"/>
  <c r="C32" i="30"/>
  <c r="C24" i="30"/>
  <c r="C16" i="30"/>
  <c r="C11" i="30"/>
  <c r="C42" i="30"/>
  <c r="C38" i="30"/>
  <c r="C34" i="30"/>
  <c r="C30" i="30"/>
  <c r="C26" i="30"/>
  <c r="C22" i="30"/>
  <c r="C18" i="30"/>
  <c r="C14" i="30"/>
  <c r="C13" i="30"/>
  <c r="C9" i="30"/>
  <c r="C48" i="30"/>
  <c r="C46" i="30"/>
  <c r="C44" i="30"/>
  <c r="C35" i="30"/>
  <c r="C31" i="30"/>
  <c r="C19" i="30"/>
  <c r="C15" i="30"/>
  <c r="C10" i="30"/>
  <c r="C4" i="30"/>
  <c r="C2" i="30"/>
  <c r="C36" i="30"/>
  <c r="C28" i="30"/>
  <c r="C20" i="30"/>
  <c r="C7" i="30"/>
  <c r="B47" i="29"/>
  <c r="D46" i="29"/>
  <c r="D4" i="29"/>
  <c r="B3" i="29"/>
  <c r="G26" i="28"/>
  <c r="C24" i="28"/>
  <c r="B24" i="28"/>
  <c r="C23" i="28"/>
  <c r="B23" i="28"/>
  <c r="G21" i="28"/>
  <c r="G16" i="28"/>
  <c r="G15" i="28"/>
  <c r="G19" i="28" s="1"/>
  <c r="G20" i="28" s="1"/>
  <c r="C24" i="27"/>
  <c r="B24" i="27"/>
  <c r="C23" i="27"/>
  <c r="B23" i="27"/>
  <c r="H21" i="27"/>
  <c r="H19" i="27"/>
  <c r="H17" i="27"/>
  <c r="H17" i="27" a="1"/>
  <c r="I20" i="27" s="1"/>
  <c r="G26" i="26"/>
  <c r="C24" i="26"/>
  <c r="G16" i="26" s="1"/>
  <c r="G19" i="26" s="1"/>
  <c r="G20" i="26" s="1"/>
  <c r="B24" i="26"/>
  <c r="C23" i="26"/>
  <c r="B23" i="26"/>
  <c r="G21" i="26" s="1"/>
  <c r="G15" i="26"/>
  <c r="G22" i="26" s="1"/>
  <c r="H21" i="25"/>
  <c r="H20" i="25"/>
  <c r="H19" i="25"/>
  <c r="H18" i="25"/>
  <c r="I23" i="25" s="1"/>
  <c r="H17" i="25"/>
  <c r="H17" i="25" a="1"/>
  <c r="I21" i="25" s="1"/>
  <c r="D82" i="24"/>
  <c r="B82" i="24"/>
  <c r="C82" i="24" s="1"/>
  <c r="D81" i="24"/>
  <c r="C81" i="24"/>
  <c r="B81" i="24"/>
  <c r="D80" i="24"/>
  <c r="B80" i="24"/>
  <c r="C80" i="24" s="1"/>
  <c r="D79" i="24"/>
  <c r="C79" i="24"/>
  <c r="B79" i="24"/>
  <c r="D78" i="24"/>
  <c r="B78" i="24"/>
  <c r="C78" i="24" s="1"/>
  <c r="D77" i="24"/>
  <c r="C77" i="24"/>
  <c r="B77" i="24"/>
  <c r="D76" i="24"/>
  <c r="B76" i="24"/>
  <c r="C76" i="24" s="1"/>
  <c r="D75" i="24"/>
  <c r="C75" i="24"/>
  <c r="B75" i="24"/>
  <c r="D74" i="24"/>
  <c r="B74" i="24"/>
  <c r="C74" i="24" s="1"/>
  <c r="D73" i="24"/>
  <c r="C73" i="24"/>
  <c r="B73" i="24"/>
  <c r="D72" i="24"/>
  <c r="B72" i="24"/>
  <c r="C72" i="24" s="1"/>
  <c r="D71" i="24"/>
  <c r="C71" i="24"/>
  <c r="B71" i="24"/>
  <c r="D70" i="24"/>
  <c r="B70" i="24"/>
  <c r="C70" i="24" s="1"/>
  <c r="D69" i="24"/>
  <c r="C69" i="24"/>
  <c r="B69" i="24"/>
  <c r="D68" i="24"/>
  <c r="B68" i="24"/>
  <c r="C68" i="24" s="1"/>
  <c r="D67" i="24"/>
  <c r="C67" i="24"/>
  <c r="B67" i="24"/>
  <c r="D66" i="24"/>
  <c r="B66" i="24"/>
  <c r="C66" i="24" s="1"/>
  <c r="D65" i="24"/>
  <c r="C65" i="24"/>
  <c r="B65" i="24"/>
  <c r="D64" i="24"/>
  <c r="B64" i="24"/>
  <c r="C64" i="24" s="1"/>
  <c r="D63" i="24"/>
  <c r="C63" i="24"/>
  <c r="B63" i="24"/>
  <c r="D62" i="24"/>
  <c r="B62" i="24"/>
  <c r="C62" i="24" s="1"/>
  <c r="D61" i="24"/>
  <c r="B61" i="24"/>
  <c r="D60" i="24"/>
  <c r="B60" i="24"/>
  <c r="D59" i="24"/>
  <c r="B59" i="24"/>
  <c r="D58" i="24"/>
  <c r="B58" i="24"/>
  <c r="D57" i="24"/>
  <c r="B57" i="24"/>
  <c r="D56" i="24"/>
  <c r="B56" i="24"/>
  <c r="D55" i="24"/>
  <c r="B55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B45" i="24"/>
  <c r="D44" i="24"/>
  <c r="B44" i="24"/>
  <c r="D43" i="24"/>
  <c r="B43" i="24"/>
  <c r="D42" i="24"/>
  <c r="B42" i="24"/>
  <c r="D41" i="24"/>
  <c r="B41" i="24"/>
  <c r="D40" i="24"/>
  <c r="B40" i="24"/>
  <c r="D39" i="24"/>
  <c r="B39" i="24"/>
  <c r="D38" i="24"/>
  <c r="B38" i="24"/>
  <c r="D37" i="24"/>
  <c r="B37" i="24"/>
  <c r="D36" i="24"/>
  <c r="B36" i="24"/>
  <c r="D35" i="24"/>
  <c r="B35" i="24"/>
  <c r="D34" i="24"/>
  <c r="B34" i="24"/>
  <c r="D33" i="24"/>
  <c r="B33" i="24"/>
  <c r="D32" i="24"/>
  <c r="B32" i="24"/>
  <c r="D31" i="24"/>
  <c r="B31" i="24"/>
  <c r="D30" i="24"/>
  <c r="B30" i="24"/>
  <c r="D29" i="24"/>
  <c r="B29" i="24"/>
  <c r="D28" i="24"/>
  <c r="B28" i="24"/>
  <c r="D27" i="24"/>
  <c r="B27" i="24"/>
  <c r="D26" i="24"/>
  <c r="B26" i="24"/>
  <c r="D25" i="24"/>
  <c r="B25" i="24"/>
  <c r="D24" i="24"/>
  <c r="B24" i="24"/>
  <c r="D23" i="24"/>
  <c r="B23" i="24"/>
  <c r="D22" i="24"/>
  <c r="B22" i="24"/>
  <c r="C22" i="24" s="1"/>
  <c r="D21" i="24"/>
  <c r="C21" i="24"/>
  <c r="B21" i="24"/>
  <c r="D20" i="24"/>
  <c r="B20" i="24"/>
  <c r="C20" i="24" s="1"/>
  <c r="D19" i="24"/>
  <c r="C19" i="24"/>
  <c r="B19" i="24"/>
  <c r="D18" i="24"/>
  <c r="B18" i="24"/>
  <c r="C18" i="24" s="1"/>
  <c r="D17" i="24"/>
  <c r="C17" i="24"/>
  <c r="B17" i="24"/>
  <c r="D16" i="24"/>
  <c r="B16" i="24"/>
  <c r="C16" i="24" s="1"/>
  <c r="D15" i="24"/>
  <c r="C15" i="24"/>
  <c r="B15" i="24"/>
  <c r="D14" i="24"/>
  <c r="B14" i="24"/>
  <c r="C14" i="24" s="1"/>
  <c r="D13" i="24"/>
  <c r="C13" i="24"/>
  <c r="B13" i="24"/>
  <c r="D12" i="24"/>
  <c r="B12" i="24"/>
  <c r="C12" i="24" s="1"/>
  <c r="D11" i="24"/>
  <c r="C11" i="24"/>
  <c r="B11" i="24"/>
  <c r="D10" i="24"/>
  <c r="B10" i="24"/>
  <c r="C10" i="24" s="1"/>
  <c r="D9" i="24"/>
  <c r="C9" i="24"/>
  <c r="B9" i="24"/>
  <c r="D8" i="24"/>
  <c r="B8" i="24"/>
  <c r="C8" i="24" s="1"/>
  <c r="D7" i="24"/>
  <c r="C7" i="24"/>
  <c r="B7" i="24"/>
  <c r="D6" i="24"/>
  <c r="B6" i="24"/>
  <c r="C6" i="24" s="1"/>
  <c r="D5" i="24"/>
  <c r="C5" i="24"/>
  <c r="B5" i="24"/>
  <c r="D4" i="24"/>
  <c r="B4" i="24"/>
  <c r="C4" i="24" s="1"/>
  <c r="D3" i="24"/>
  <c r="C3" i="24"/>
  <c r="B3" i="24"/>
  <c r="D2" i="24"/>
  <c r="C2" i="24"/>
  <c r="B2" i="24"/>
  <c r="D82" i="23"/>
  <c r="B82" i="23"/>
  <c r="C82" i="23" s="1"/>
  <c r="D81" i="23"/>
  <c r="C81" i="23"/>
  <c r="B81" i="23"/>
  <c r="D80" i="23"/>
  <c r="B80" i="23"/>
  <c r="C80" i="23" s="1"/>
  <c r="D79" i="23"/>
  <c r="C79" i="23"/>
  <c r="B79" i="23"/>
  <c r="D78" i="23"/>
  <c r="B78" i="23"/>
  <c r="C78" i="23" s="1"/>
  <c r="D77" i="23"/>
  <c r="C77" i="23"/>
  <c r="B77" i="23"/>
  <c r="D76" i="23"/>
  <c r="B76" i="23"/>
  <c r="C76" i="23" s="1"/>
  <c r="D75" i="23"/>
  <c r="C75" i="23"/>
  <c r="B75" i="23"/>
  <c r="D74" i="23"/>
  <c r="B74" i="23"/>
  <c r="C74" i="23" s="1"/>
  <c r="D73" i="23"/>
  <c r="C73" i="23"/>
  <c r="B73" i="23"/>
  <c r="D72" i="23"/>
  <c r="B72" i="23"/>
  <c r="C72" i="23" s="1"/>
  <c r="D71" i="23"/>
  <c r="C71" i="23"/>
  <c r="B71" i="23"/>
  <c r="D70" i="23"/>
  <c r="B70" i="23"/>
  <c r="C70" i="23" s="1"/>
  <c r="D69" i="23"/>
  <c r="C69" i="23"/>
  <c r="B69" i="23"/>
  <c r="D68" i="23"/>
  <c r="B68" i="23"/>
  <c r="C68" i="23" s="1"/>
  <c r="D67" i="23"/>
  <c r="C67" i="23"/>
  <c r="B67" i="23"/>
  <c r="D66" i="23"/>
  <c r="B66" i="23"/>
  <c r="C66" i="23" s="1"/>
  <c r="D65" i="23"/>
  <c r="C65" i="23"/>
  <c r="B65" i="23"/>
  <c r="D64" i="23"/>
  <c r="B64" i="23"/>
  <c r="C64" i="23" s="1"/>
  <c r="D63" i="23"/>
  <c r="C63" i="23"/>
  <c r="B63" i="23"/>
  <c r="D62" i="23"/>
  <c r="B62" i="23"/>
  <c r="C62" i="23" s="1"/>
  <c r="D61" i="23"/>
  <c r="C61" i="23"/>
  <c r="B61" i="23"/>
  <c r="D60" i="23"/>
  <c r="B60" i="23"/>
  <c r="C60" i="23" s="1"/>
  <c r="D59" i="23"/>
  <c r="C59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D59" i="22"/>
  <c r="B59" i="22"/>
  <c r="C59" i="22" s="1"/>
  <c r="D58" i="22"/>
  <c r="C58" i="22"/>
  <c r="B58" i="22"/>
  <c r="D57" i="22"/>
  <c r="B57" i="22"/>
  <c r="C57" i="22" s="1"/>
  <c r="D56" i="22"/>
  <c r="C56" i="22"/>
  <c r="B56" i="22"/>
  <c r="D55" i="22"/>
  <c r="B55" i="22"/>
  <c r="C55" i="22" s="1"/>
  <c r="D54" i="22"/>
  <c r="C54" i="22"/>
  <c r="B54" i="22"/>
  <c r="D53" i="22"/>
  <c r="B53" i="22"/>
  <c r="C53" i="22" s="1"/>
  <c r="D52" i="22"/>
  <c r="C52" i="22"/>
  <c r="B52" i="22"/>
  <c r="D51" i="22"/>
  <c r="B51" i="22"/>
  <c r="C51" i="22" s="1"/>
  <c r="D50" i="22"/>
  <c r="C50" i="22"/>
  <c r="B50" i="22"/>
  <c r="D49" i="22"/>
  <c r="B49" i="22"/>
  <c r="C49" i="22" s="1"/>
  <c r="D48" i="22"/>
  <c r="C48" i="22"/>
  <c r="B48" i="22"/>
  <c r="D47" i="22"/>
  <c r="B47" i="22"/>
  <c r="C47" i="22" s="1"/>
  <c r="D46" i="22"/>
  <c r="C46" i="22"/>
  <c r="B46" i="22"/>
  <c r="D45" i="22"/>
  <c r="B45" i="22"/>
  <c r="C45" i="22" s="1"/>
  <c r="D44" i="22"/>
  <c r="C44" i="22"/>
  <c r="B44" i="22"/>
  <c r="D43" i="22"/>
  <c r="B43" i="22"/>
  <c r="C43" i="22" s="1"/>
  <c r="D42" i="22"/>
  <c r="C42" i="22"/>
  <c r="B42" i="22"/>
  <c r="D41" i="22"/>
  <c r="B41" i="22"/>
  <c r="C41" i="22" s="1"/>
  <c r="D40" i="22"/>
  <c r="C40" i="22"/>
  <c r="B40" i="22"/>
  <c r="D39" i="22"/>
  <c r="B39" i="22"/>
  <c r="C39" i="22" s="1"/>
  <c r="D38" i="22"/>
  <c r="C38" i="22"/>
  <c r="B38" i="22"/>
  <c r="D37" i="22"/>
  <c r="B37" i="22"/>
  <c r="C37" i="22" s="1"/>
  <c r="D36" i="22"/>
  <c r="C36" i="22"/>
  <c r="B36" i="22"/>
  <c r="D35" i="22"/>
  <c r="B35" i="22"/>
  <c r="C35" i="22" s="1"/>
  <c r="D34" i="22"/>
  <c r="C34" i="22"/>
  <c r="B34" i="22"/>
  <c r="D33" i="22"/>
  <c r="B33" i="22"/>
  <c r="C33" i="22" s="1"/>
  <c r="D32" i="22"/>
  <c r="C32" i="22"/>
  <c r="B32" i="22"/>
  <c r="D31" i="22"/>
  <c r="B31" i="22"/>
  <c r="C31" i="22" s="1"/>
  <c r="D30" i="22"/>
  <c r="C30" i="22"/>
  <c r="B30" i="22"/>
  <c r="D29" i="22"/>
  <c r="B29" i="22"/>
  <c r="C29" i="22" s="1"/>
  <c r="D28" i="22"/>
  <c r="C28" i="22"/>
  <c r="B28" i="22"/>
  <c r="D27" i="22"/>
  <c r="B27" i="22"/>
  <c r="C27" i="22" s="1"/>
  <c r="D26" i="22"/>
  <c r="C26" i="22"/>
  <c r="B26" i="22"/>
  <c r="D25" i="22"/>
  <c r="B25" i="22"/>
  <c r="C25" i="22" s="1"/>
  <c r="D24" i="22"/>
  <c r="C24" i="22"/>
  <c r="B24" i="22"/>
  <c r="D23" i="22"/>
  <c r="B23" i="22"/>
  <c r="C23" i="22" s="1"/>
  <c r="D22" i="22"/>
  <c r="C22" i="22"/>
  <c r="B22" i="22"/>
  <c r="D21" i="22"/>
  <c r="B21" i="22"/>
  <c r="C21" i="22" s="1"/>
  <c r="D20" i="22"/>
  <c r="C20" i="22"/>
  <c r="B20" i="22"/>
  <c r="D19" i="22"/>
  <c r="B19" i="22"/>
  <c r="C19" i="22" s="1"/>
  <c r="D18" i="22"/>
  <c r="C18" i="22"/>
  <c r="B18" i="22"/>
  <c r="D17" i="22"/>
  <c r="B17" i="22"/>
  <c r="C17" i="22" s="1"/>
  <c r="D16" i="22"/>
  <c r="C16" i="22"/>
  <c r="B16" i="22"/>
  <c r="D15" i="22"/>
  <c r="C15" i="22"/>
  <c r="B15" i="22"/>
  <c r="D14" i="22"/>
  <c r="C14" i="22"/>
  <c r="B14" i="22"/>
  <c r="D13" i="22"/>
  <c r="B13" i="22"/>
  <c r="C13" i="22" s="1"/>
  <c r="D12" i="22"/>
  <c r="C12" i="22"/>
  <c r="B12" i="22"/>
  <c r="D11" i="22"/>
  <c r="C11" i="22"/>
  <c r="B11" i="22"/>
  <c r="D10" i="22"/>
  <c r="C10" i="22"/>
  <c r="B10" i="22"/>
  <c r="D9" i="22"/>
  <c r="B9" i="22"/>
  <c r="C9" i="22" s="1"/>
  <c r="D8" i="22"/>
  <c r="C8" i="22"/>
  <c r="B8" i="22"/>
  <c r="D7" i="22"/>
  <c r="C7" i="22"/>
  <c r="B7" i="22"/>
  <c r="D6" i="22"/>
  <c r="C6" i="22"/>
  <c r="B6" i="22"/>
  <c r="D5" i="22"/>
  <c r="B5" i="22"/>
  <c r="C5" i="22" s="1"/>
  <c r="D4" i="22"/>
  <c r="C4" i="22"/>
  <c r="B4" i="22"/>
  <c r="D3" i="22"/>
  <c r="C3" i="22"/>
  <c r="B3" i="22"/>
  <c r="D2" i="22"/>
  <c r="C2" i="22"/>
  <c r="B2" i="22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D25" i="21"/>
  <c r="C25" i="21"/>
  <c r="B25" i="21"/>
  <c r="D24" i="21"/>
  <c r="B24" i="21"/>
  <c r="C24" i="21" s="1"/>
  <c r="D23" i="21"/>
  <c r="B23" i="21"/>
  <c r="C23" i="21" s="1"/>
  <c r="D22" i="21"/>
  <c r="C22" i="21"/>
  <c r="B22" i="21"/>
  <c r="D21" i="21"/>
  <c r="C21" i="21"/>
  <c r="B21" i="21"/>
  <c r="D20" i="21"/>
  <c r="B20" i="21"/>
  <c r="C20" i="21" s="1"/>
  <c r="D19" i="21"/>
  <c r="C19" i="21"/>
  <c r="B19" i="21"/>
  <c r="D18" i="21"/>
  <c r="C18" i="21"/>
  <c r="B18" i="21"/>
  <c r="D17" i="21"/>
  <c r="C17" i="21"/>
  <c r="B17" i="21"/>
  <c r="D16" i="21"/>
  <c r="B16" i="21"/>
  <c r="C16" i="21" s="1"/>
  <c r="D15" i="21"/>
  <c r="C15" i="21"/>
  <c r="B15" i="21"/>
  <c r="D14" i="21"/>
  <c r="C14" i="21"/>
  <c r="B14" i="21"/>
  <c r="D13" i="21"/>
  <c r="C13" i="21"/>
  <c r="B13" i="21"/>
  <c r="D12" i="21"/>
  <c r="B12" i="21"/>
  <c r="C12" i="21" s="1"/>
  <c r="D11" i="21"/>
  <c r="C11" i="21"/>
  <c r="B11" i="21"/>
  <c r="D10" i="21"/>
  <c r="C10" i="21"/>
  <c r="B10" i="21"/>
  <c r="D9" i="21"/>
  <c r="C9" i="21"/>
  <c r="B9" i="21"/>
  <c r="D8" i="21"/>
  <c r="B8" i="21"/>
  <c r="C8" i="21" s="1"/>
  <c r="D7" i="21"/>
  <c r="C7" i="21"/>
  <c r="B7" i="21"/>
  <c r="D6" i="21"/>
  <c r="C6" i="21"/>
  <c r="B6" i="21"/>
  <c r="D5" i="21"/>
  <c r="C5" i="21"/>
  <c r="B5" i="21"/>
  <c r="D4" i="21"/>
  <c r="B4" i="21"/>
  <c r="C4" i="21" s="1"/>
  <c r="D3" i="21"/>
  <c r="C3" i="21"/>
  <c r="B3" i="21"/>
  <c r="D2" i="21"/>
  <c r="C2" i="21"/>
  <c r="B2" i="21"/>
  <c r="E7" i="20"/>
  <c r="E5" i="20"/>
  <c r="E3" i="20"/>
  <c r="F9" i="20" s="1"/>
  <c r="E3" i="20" a="1"/>
  <c r="F7" i="20" s="1"/>
  <c r="E18" i="18"/>
  <c r="E19" i="18" s="1"/>
  <c r="E17" i="18"/>
  <c r="E16" i="18"/>
  <c r="E20" i="18" s="1"/>
  <c r="E21" i="18" s="1"/>
  <c r="S1001" i="17"/>
  <c r="T1001" i="17" s="1"/>
  <c r="P1001" i="17"/>
  <c r="Q1001" i="17" s="1"/>
  <c r="R1001" i="17" s="1"/>
  <c r="P1000" i="17"/>
  <c r="Q1000" i="17" s="1"/>
  <c r="R1000" i="17" s="1"/>
  <c r="S1000" i="17" s="1"/>
  <c r="T1000" i="17" s="1"/>
  <c r="Q999" i="17"/>
  <c r="R999" i="17" s="1"/>
  <c r="S999" i="17" s="1"/>
  <c r="T999" i="17" s="1"/>
  <c r="P999" i="17"/>
  <c r="S998" i="17"/>
  <c r="T998" i="17" s="1"/>
  <c r="R998" i="17"/>
  <c r="Q998" i="17"/>
  <c r="P998" i="17"/>
  <c r="P997" i="17"/>
  <c r="Q997" i="17" s="1"/>
  <c r="R997" i="17" s="1"/>
  <c r="S997" i="17" s="1"/>
  <c r="T997" i="17" s="1"/>
  <c r="Q996" i="17"/>
  <c r="R996" i="17" s="1"/>
  <c r="S996" i="17" s="1"/>
  <c r="T996" i="17" s="1"/>
  <c r="P996" i="17"/>
  <c r="R995" i="17"/>
  <c r="S995" i="17" s="1"/>
  <c r="T995" i="17" s="1"/>
  <c r="Q995" i="17"/>
  <c r="P995" i="17"/>
  <c r="R994" i="17"/>
  <c r="S994" i="17" s="1"/>
  <c r="T994" i="17" s="1"/>
  <c r="Q994" i="17"/>
  <c r="P994" i="17"/>
  <c r="S993" i="17"/>
  <c r="T993" i="17" s="1"/>
  <c r="P993" i="17"/>
  <c r="Q993" i="17" s="1"/>
  <c r="R993" i="17" s="1"/>
  <c r="P992" i="17"/>
  <c r="Q992" i="17" s="1"/>
  <c r="R992" i="17" s="1"/>
  <c r="S992" i="17" s="1"/>
  <c r="T992" i="17" s="1"/>
  <c r="Q991" i="17"/>
  <c r="R991" i="17" s="1"/>
  <c r="S991" i="17" s="1"/>
  <c r="T991" i="17" s="1"/>
  <c r="P991" i="17"/>
  <c r="S990" i="17"/>
  <c r="T990" i="17" s="1"/>
  <c r="R990" i="17"/>
  <c r="Q990" i="17"/>
  <c r="P990" i="17"/>
  <c r="T989" i="17"/>
  <c r="P989" i="17"/>
  <c r="Q989" i="17" s="1"/>
  <c r="R989" i="17" s="1"/>
  <c r="S989" i="17" s="1"/>
  <c r="Q988" i="17"/>
  <c r="R988" i="17" s="1"/>
  <c r="S988" i="17" s="1"/>
  <c r="T988" i="17" s="1"/>
  <c r="P988" i="17"/>
  <c r="R987" i="17"/>
  <c r="S987" i="17" s="1"/>
  <c r="T987" i="17" s="1"/>
  <c r="Q987" i="17"/>
  <c r="P987" i="17"/>
  <c r="R986" i="17"/>
  <c r="S986" i="17" s="1"/>
  <c r="T986" i="17" s="1"/>
  <c r="Q986" i="17"/>
  <c r="P986" i="17"/>
  <c r="S985" i="17"/>
  <c r="T985" i="17" s="1"/>
  <c r="P985" i="17"/>
  <c r="Q985" i="17" s="1"/>
  <c r="R985" i="17" s="1"/>
  <c r="T984" i="17"/>
  <c r="P984" i="17"/>
  <c r="Q984" i="17" s="1"/>
  <c r="R984" i="17" s="1"/>
  <c r="S984" i="17" s="1"/>
  <c r="Q983" i="17"/>
  <c r="R983" i="17" s="1"/>
  <c r="S983" i="17" s="1"/>
  <c r="T983" i="17" s="1"/>
  <c r="P983" i="17"/>
  <c r="S982" i="17"/>
  <c r="T982" i="17" s="1"/>
  <c r="R982" i="17"/>
  <c r="Q982" i="17"/>
  <c r="P982" i="17"/>
  <c r="T981" i="17"/>
  <c r="P981" i="17"/>
  <c r="Q981" i="17" s="1"/>
  <c r="R981" i="17" s="1"/>
  <c r="S981" i="17" s="1"/>
  <c r="Q980" i="17"/>
  <c r="R980" i="17" s="1"/>
  <c r="S980" i="17" s="1"/>
  <c r="T980" i="17" s="1"/>
  <c r="P980" i="17"/>
  <c r="T979" i="17"/>
  <c r="Q979" i="17"/>
  <c r="R979" i="17" s="1"/>
  <c r="S979" i="17" s="1"/>
  <c r="P979" i="17"/>
  <c r="Q978" i="17"/>
  <c r="R978" i="17" s="1"/>
  <c r="S978" i="17" s="1"/>
  <c r="T978" i="17" s="1"/>
  <c r="P978" i="17"/>
  <c r="T977" i="17"/>
  <c r="R977" i="17"/>
  <c r="S977" i="17" s="1"/>
  <c r="P977" i="17"/>
  <c r="Q977" i="17" s="1"/>
  <c r="Q976" i="17"/>
  <c r="R976" i="17" s="1"/>
  <c r="S976" i="17" s="1"/>
  <c r="T976" i="17" s="1"/>
  <c r="P976" i="17"/>
  <c r="T975" i="17"/>
  <c r="Q975" i="17"/>
  <c r="R975" i="17" s="1"/>
  <c r="S975" i="17" s="1"/>
  <c r="P975" i="17"/>
  <c r="Q974" i="17"/>
  <c r="R974" i="17" s="1"/>
  <c r="S974" i="17" s="1"/>
  <c r="T974" i="17" s="1"/>
  <c r="P974" i="17"/>
  <c r="T973" i="17"/>
  <c r="R973" i="17"/>
  <c r="S973" i="17" s="1"/>
  <c r="P973" i="17"/>
  <c r="Q973" i="17" s="1"/>
  <c r="Q972" i="17"/>
  <c r="R972" i="17" s="1"/>
  <c r="S972" i="17" s="1"/>
  <c r="T972" i="17" s="1"/>
  <c r="P972" i="17"/>
  <c r="T971" i="17"/>
  <c r="Q971" i="17"/>
  <c r="R971" i="17" s="1"/>
  <c r="S971" i="17" s="1"/>
  <c r="P971" i="17"/>
  <c r="Q970" i="17"/>
  <c r="R970" i="17" s="1"/>
  <c r="S970" i="17" s="1"/>
  <c r="T970" i="17" s="1"/>
  <c r="P970" i="17"/>
  <c r="T969" i="17"/>
  <c r="R969" i="17"/>
  <c r="S969" i="17" s="1"/>
  <c r="P969" i="17"/>
  <c r="Q969" i="17" s="1"/>
  <c r="Q968" i="17"/>
  <c r="R968" i="17" s="1"/>
  <c r="S968" i="17" s="1"/>
  <c r="T968" i="17" s="1"/>
  <c r="P968" i="17"/>
  <c r="T967" i="17"/>
  <c r="Q967" i="17"/>
  <c r="R967" i="17" s="1"/>
  <c r="S967" i="17" s="1"/>
  <c r="P967" i="17"/>
  <c r="Q966" i="17"/>
  <c r="R966" i="17" s="1"/>
  <c r="S966" i="17" s="1"/>
  <c r="T966" i="17" s="1"/>
  <c r="P966" i="17"/>
  <c r="T965" i="17"/>
  <c r="R965" i="17"/>
  <c r="S965" i="17" s="1"/>
  <c r="P965" i="17"/>
  <c r="Q965" i="17" s="1"/>
  <c r="Q964" i="17"/>
  <c r="R964" i="17" s="1"/>
  <c r="S964" i="17" s="1"/>
  <c r="T964" i="17" s="1"/>
  <c r="P964" i="17"/>
  <c r="T963" i="17"/>
  <c r="Q963" i="17"/>
  <c r="R963" i="17" s="1"/>
  <c r="S963" i="17" s="1"/>
  <c r="P963" i="17"/>
  <c r="Q962" i="17"/>
  <c r="R962" i="17" s="1"/>
  <c r="S962" i="17" s="1"/>
  <c r="T962" i="17" s="1"/>
  <c r="P962" i="17"/>
  <c r="T961" i="17"/>
  <c r="R961" i="17"/>
  <c r="S961" i="17" s="1"/>
  <c r="P961" i="17"/>
  <c r="Q961" i="17" s="1"/>
  <c r="Q960" i="17"/>
  <c r="R960" i="17" s="1"/>
  <c r="S960" i="17" s="1"/>
  <c r="T960" i="17" s="1"/>
  <c r="P960" i="17"/>
  <c r="T959" i="17"/>
  <c r="Q959" i="17"/>
  <c r="R959" i="17" s="1"/>
  <c r="S959" i="17" s="1"/>
  <c r="P959" i="17"/>
  <c r="Q958" i="17"/>
  <c r="R958" i="17" s="1"/>
  <c r="S958" i="17" s="1"/>
  <c r="T958" i="17" s="1"/>
  <c r="P958" i="17"/>
  <c r="T957" i="17"/>
  <c r="R957" i="17"/>
  <c r="S957" i="17" s="1"/>
  <c r="P957" i="17"/>
  <c r="Q957" i="17" s="1"/>
  <c r="R956" i="17"/>
  <c r="S956" i="17" s="1"/>
  <c r="T956" i="17" s="1"/>
  <c r="P956" i="17"/>
  <c r="Q956" i="17" s="1"/>
  <c r="S955" i="17"/>
  <c r="T955" i="17" s="1"/>
  <c r="Q955" i="17"/>
  <c r="R955" i="17" s="1"/>
  <c r="P955" i="17"/>
  <c r="R954" i="17"/>
  <c r="S954" i="17" s="1"/>
  <c r="T954" i="17" s="1"/>
  <c r="P954" i="17"/>
  <c r="Q954" i="17" s="1"/>
  <c r="S953" i="17"/>
  <c r="T953" i="17" s="1"/>
  <c r="Q953" i="17"/>
  <c r="R953" i="17" s="1"/>
  <c r="P953" i="17"/>
  <c r="R952" i="17"/>
  <c r="S952" i="17" s="1"/>
  <c r="T952" i="17" s="1"/>
  <c r="P952" i="17"/>
  <c r="Q952" i="17" s="1"/>
  <c r="S951" i="17"/>
  <c r="T951" i="17" s="1"/>
  <c r="Q951" i="17"/>
  <c r="R951" i="17" s="1"/>
  <c r="P951" i="17"/>
  <c r="R950" i="17"/>
  <c r="S950" i="17" s="1"/>
  <c r="T950" i="17" s="1"/>
  <c r="P950" i="17"/>
  <c r="Q950" i="17" s="1"/>
  <c r="S949" i="17"/>
  <c r="T949" i="17" s="1"/>
  <c r="Q949" i="17"/>
  <c r="R949" i="17" s="1"/>
  <c r="P949" i="17"/>
  <c r="R948" i="17"/>
  <c r="S948" i="17" s="1"/>
  <c r="T948" i="17" s="1"/>
  <c r="P948" i="17"/>
  <c r="Q948" i="17" s="1"/>
  <c r="S947" i="17"/>
  <c r="T947" i="17" s="1"/>
  <c r="Q947" i="17"/>
  <c r="R947" i="17" s="1"/>
  <c r="P947" i="17"/>
  <c r="R946" i="17"/>
  <c r="S946" i="17" s="1"/>
  <c r="T946" i="17" s="1"/>
  <c r="P946" i="17"/>
  <c r="Q946" i="17" s="1"/>
  <c r="S945" i="17"/>
  <c r="T945" i="17" s="1"/>
  <c r="Q945" i="17"/>
  <c r="R945" i="17" s="1"/>
  <c r="P945" i="17"/>
  <c r="R944" i="17"/>
  <c r="S944" i="17" s="1"/>
  <c r="T944" i="17" s="1"/>
  <c r="P944" i="17"/>
  <c r="Q944" i="17" s="1"/>
  <c r="S943" i="17"/>
  <c r="T943" i="17" s="1"/>
  <c r="Q943" i="17"/>
  <c r="R943" i="17" s="1"/>
  <c r="P943" i="17"/>
  <c r="R942" i="17"/>
  <c r="S942" i="17" s="1"/>
  <c r="T942" i="17" s="1"/>
  <c r="P942" i="17"/>
  <c r="Q942" i="17" s="1"/>
  <c r="S941" i="17"/>
  <c r="T941" i="17" s="1"/>
  <c r="Q941" i="17"/>
  <c r="R941" i="17" s="1"/>
  <c r="P941" i="17"/>
  <c r="R940" i="17"/>
  <c r="S940" i="17" s="1"/>
  <c r="T940" i="17" s="1"/>
  <c r="P940" i="17"/>
  <c r="Q940" i="17" s="1"/>
  <c r="S939" i="17"/>
  <c r="T939" i="17" s="1"/>
  <c r="Q939" i="17"/>
  <c r="R939" i="17" s="1"/>
  <c r="P939" i="17"/>
  <c r="R938" i="17"/>
  <c r="S938" i="17" s="1"/>
  <c r="T938" i="17" s="1"/>
  <c r="P938" i="17"/>
  <c r="Q938" i="17" s="1"/>
  <c r="S937" i="17"/>
  <c r="T937" i="17" s="1"/>
  <c r="Q937" i="17"/>
  <c r="R937" i="17" s="1"/>
  <c r="P937" i="17"/>
  <c r="R936" i="17"/>
  <c r="S936" i="17" s="1"/>
  <c r="T936" i="17" s="1"/>
  <c r="P936" i="17"/>
  <c r="Q936" i="17" s="1"/>
  <c r="S935" i="17"/>
  <c r="T935" i="17" s="1"/>
  <c r="Q935" i="17"/>
  <c r="R935" i="17" s="1"/>
  <c r="P935" i="17"/>
  <c r="R934" i="17"/>
  <c r="S934" i="17" s="1"/>
  <c r="T934" i="17" s="1"/>
  <c r="P934" i="17"/>
  <c r="Q934" i="17" s="1"/>
  <c r="S933" i="17"/>
  <c r="T933" i="17" s="1"/>
  <c r="Q933" i="17"/>
  <c r="R933" i="17" s="1"/>
  <c r="P933" i="17"/>
  <c r="R932" i="17"/>
  <c r="S932" i="17" s="1"/>
  <c r="T932" i="17" s="1"/>
  <c r="P932" i="17"/>
  <c r="Q932" i="17" s="1"/>
  <c r="S931" i="17"/>
  <c r="T931" i="17" s="1"/>
  <c r="Q931" i="17"/>
  <c r="R931" i="17" s="1"/>
  <c r="P931" i="17"/>
  <c r="R930" i="17"/>
  <c r="S930" i="17" s="1"/>
  <c r="T930" i="17" s="1"/>
  <c r="P930" i="17"/>
  <c r="Q930" i="17" s="1"/>
  <c r="S929" i="17"/>
  <c r="T929" i="17" s="1"/>
  <c r="Q929" i="17"/>
  <c r="R929" i="17" s="1"/>
  <c r="P929" i="17"/>
  <c r="R928" i="17"/>
  <c r="S928" i="17" s="1"/>
  <c r="T928" i="17" s="1"/>
  <c r="P928" i="17"/>
  <c r="Q928" i="17" s="1"/>
  <c r="S927" i="17"/>
  <c r="T927" i="17" s="1"/>
  <c r="Q927" i="17"/>
  <c r="R927" i="17" s="1"/>
  <c r="P927" i="17"/>
  <c r="R926" i="17"/>
  <c r="S926" i="17" s="1"/>
  <c r="T926" i="17" s="1"/>
  <c r="P926" i="17"/>
  <c r="Q926" i="17" s="1"/>
  <c r="S925" i="17"/>
  <c r="T925" i="17" s="1"/>
  <c r="Q925" i="17"/>
  <c r="R925" i="17" s="1"/>
  <c r="P925" i="17"/>
  <c r="R924" i="17"/>
  <c r="S924" i="17" s="1"/>
  <c r="T924" i="17" s="1"/>
  <c r="P924" i="17"/>
  <c r="Q924" i="17" s="1"/>
  <c r="S923" i="17"/>
  <c r="T923" i="17" s="1"/>
  <c r="Q923" i="17"/>
  <c r="R923" i="17" s="1"/>
  <c r="P923" i="17"/>
  <c r="R922" i="17"/>
  <c r="S922" i="17" s="1"/>
  <c r="T922" i="17" s="1"/>
  <c r="P922" i="17"/>
  <c r="Q922" i="17" s="1"/>
  <c r="S921" i="17"/>
  <c r="T921" i="17" s="1"/>
  <c r="Q921" i="17"/>
  <c r="R921" i="17" s="1"/>
  <c r="P921" i="17"/>
  <c r="R920" i="17"/>
  <c r="S920" i="17" s="1"/>
  <c r="T920" i="17" s="1"/>
  <c r="P920" i="17"/>
  <c r="Q920" i="17" s="1"/>
  <c r="S919" i="17"/>
  <c r="T919" i="17" s="1"/>
  <c r="Q919" i="17"/>
  <c r="R919" i="17" s="1"/>
  <c r="P919" i="17"/>
  <c r="R918" i="17"/>
  <c r="S918" i="17" s="1"/>
  <c r="T918" i="17" s="1"/>
  <c r="P918" i="17"/>
  <c r="Q918" i="17" s="1"/>
  <c r="S917" i="17"/>
  <c r="T917" i="17" s="1"/>
  <c r="Q917" i="17"/>
  <c r="R917" i="17" s="1"/>
  <c r="P917" i="17"/>
  <c r="R916" i="17"/>
  <c r="S916" i="17" s="1"/>
  <c r="T916" i="17" s="1"/>
  <c r="P916" i="17"/>
  <c r="Q916" i="17" s="1"/>
  <c r="S915" i="17"/>
  <c r="T915" i="17" s="1"/>
  <c r="Q915" i="17"/>
  <c r="R915" i="17" s="1"/>
  <c r="P915" i="17"/>
  <c r="R914" i="17"/>
  <c r="S914" i="17" s="1"/>
  <c r="T914" i="17" s="1"/>
  <c r="P914" i="17"/>
  <c r="Q914" i="17" s="1"/>
  <c r="S913" i="17"/>
  <c r="T913" i="17" s="1"/>
  <c r="Q913" i="17"/>
  <c r="R913" i="17" s="1"/>
  <c r="P913" i="17"/>
  <c r="R912" i="17"/>
  <c r="S912" i="17" s="1"/>
  <c r="T912" i="17" s="1"/>
  <c r="P912" i="17"/>
  <c r="Q912" i="17" s="1"/>
  <c r="S911" i="17"/>
  <c r="T911" i="17" s="1"/>
  <c r="Q911" i="17"/>
  <c r="R911" i="17" s="1"/>
  <c r="P911" i="17"/>
  <c r="R910" i="17"/>
  <c r="S910" i="17" s="1"/>
  <c r="T910" i="17" s="1"/>
  <c r="P910" i="17"/>
  <c r="Q910" i="17" s="1"/>
  <c r="S909" i="17"/>
  <c r="T909" i="17" s="1"/>
  <c r="Q909" i="17"/>
  <c r="R909" i="17" s="1"/>
  <c r="P909" i="17"/>
  <c r="R908" i="17"/>
  <c r="S908" i="17" s="1"/>
  <c r="T908" i="17" s="1"/>
  <c r="P908" i="17"/>
  <c r="Q908" i="17" s="1"/>
  <c r="S907" i="17"/>
  <c r="T907" i="17" s="1"/>
  <c r="Q907" i="17"/>
  <c r="R907" i="17" s="1"/>
  <c r="P907" i="17"/>
  <c r="R906" i="17"/>
  <c r="S906" i="17" s="1"/>
  <c r="T906" i="17" s="1"/>
  <c r="P906" i="17"/>
  <c r="Q906" i="17" s="1"/>
  <c r="S905" i="17"/>
  <c r="T905" i="17" s="1"/>
  <c r="Q905" i="17"/>
  <c r="R905" i="17" s="1"/>
  <c r="P905" i="17"/>
  <c r="R904" i="17"/>
  <c r="S904" i="17" s="1"/>
  <c r="T904" i="17" s="1"/>
  <c r="P904" i="17"/>
  <c r="Q904" i="17" s="1"/>
  <c r="S903" i="17"/>
  <c r="T903" i="17" s="1"/>
  <c r="Q903" i="17"/>
  <c r="R903" i="17" s="1"/>
  <c r="P903" i="17"/>
  <c r="R902" i="17"/>
  <c r="S902" i="17" s="1"/>
  <c r="T902" i="17" s="1"/>
  <c r="P902" i="17"/>
  <c r="Q902" i="17" s="1"/>
  <c r="S901" i="17"/>
  <c r="T901" i="17" s="1"/>
  <c r="Q901" i="17"/>
  <c r="R901" i="17" s="1"/>
  <c r="P901" i="17"/>
  <c r="R900" i="17"/>
  <c r="S900" i="17" s="1"/>
  <c r="T900" i="17" s="1"/>
  <c r="P900" i="17"/>
  <c r="Q900" i="17" s="1"/>
  <c r="P899" i="17"/>
  <c r="Q899" i="17" s="1"/>
  <c r="R899" i="17" s="1"/>
  <c r="S899" i="17" s="1"/>
  <c r="T899" i="17" s="1"/>
  <c r="P898" i="17"/>
  <c r="Q898" i="17" s="1"/>
  <c r="R898" i="17" s="1"/>
  <c r="S898" i="17" s="1"/>
  <c r="T898" i="17" s="1"/>
  <c r="R897" i="17"/>
  <c r="S897" i="17" s="1"/>
  <c r="T897" i="17" s="1"/>
  <c r="Q897" i="17"/>
  <c r="P897" i="17"/>
  <c r="P896" i="17"/>
  <c r="Q896" i="17" s="1"/>
  <c r="R896" i="17" s="1"/>
  <c r="S896" i="17" s="1"/>
  <c r="T896" i="17" s="1"/>
  <c r="S895" i="17"/>
  <c r="T895" i="17" s="1"/>
  <c r="P895" i="17"/>
  <c r="Q895" i="17" s="1"/>
  <c r="R895" i="17" s="1"/>
  <c r="P894" i="17"/>
  <c r="Q894" i="17" s="1"/>
  <c r="R894" i="17" s="1"/>
  <c r="S894" i="17" s="1"/>
  <c r="T894" i="17" s="1"/>
  <c r="R893" i="17"/>
  <c r="S893" i="17" s="1"/>
  <c r="T893" i="17" s="1"/>
  <c r="Q893" i="17"/>
  <c r="P893" i="17"/>
  <c r="S892" i="17"/>
  <c r="T892" i="17" s="1"/>
  <c r="P892" i="17"/>
  <c r="Q892" i="17" s="1"/>
  <c r="R892" i="17" s="1"/>
  <c r="P891" i="17"/>
  <c r="Q891" i="17" s="1"/>
  <c r="R891" i="17" s="1"/>
  <c r="S891" i="17" s="1"/>
  <c r="T891" i="17" s="1"/>
  <c r="P890" i="17"/>
  <c r="Q890" i="17" s="1"/>
  <c r="R890" i="17" s="1"/>
  <c r="S890" i="17" s="1"/>
  <c r="T890" i="17" s="1"/>
  <c r="R889" i="17"/>
  <c r="S889" i="17" s="1"/>
  <c r="T889" i="17" s="1"/>
  <c r="Q889" i="17"/>
  <c r="P889" i="17"/>
  <c r="S888" i="17"/>
  <c r="T888" i="17" s="1"/>
  <c r="P888" i="17"/>
  <c r="Q888" i="17" s="1"/>
  <c r="R888" i="17" s="1"/>
  <c r="P887" i="17"/>
  <c r="Q887" i="17" s="1"/>
  <c r="R887" i="17" s="1"/>
  <c r="S887" i="17" s="1"/>
  <c r="T887" i="17" s="1"/>
  <c r="R886" i="17"/>
  <c r="S886" i="17" s="1"/>
  <c r="T886" i="17" s="1"/>
  <c r="P886" i="17"/>
  <c r="Q886" i="17" s="1"/>
  <c r="R885" i="17"/>
  <c r="S885" i="17" s="1"/>
  <c r="T885" i="17" s="1"/>
  <c r="Q885" i="17"/>
  <c r="P885" i="17"/>
  <c r="P884" i="17"/>
  <c r="Q884" i="17" s="1"/>
  <c r="R884" i="17" s="1"/>
  <c r="S884" i="17" s="1"/>
  <c r="T884" i="17" s="1"/>
  <c r="P883" i="17"/>
  <c r="Q883" i="17" s="1"/>
  <c r="R883" i="17" s="1"/>
  <c r="S883" i="17" s="1"/>
  <c r="T883" i="17" s="1"/>
  <c r="P882" i="17"/>
  <c r="Q882" i="17" s="1"/>
  <c r="R882" i="17" s="1"/>
  <c r="S882" i="17" s="1"/>
  <c r="T882" i="17" s="1"/>
  <c r="R881" i="17"/>
  <c r="S881" i="17" s="1"/>
  <c r="T881" i="17" s="1"/>
  <c r="P881" i="17"/>
  <c r="Q881" i="17" s="1"/>
  <c r="Q880" i="17"/>
  <c r="R880" i="17" s="1"/>
  <c r="S880" i="17" s="1"/>
  <c r="T880" i="17" s="1"/>
  <c r="P880" i="17"/>
  <c r="T879" i="17"/>
  <c r="P879" i="17"/>
  <c r="Q879" i="17" s="1"/>
  <c r="R879" i="17" s="1"/>
  <c r="S879" i="17" s="1"/>
  <c r="S878" i="17"/>
  <c r="T878" i="17" s="1"/>
  <c r="Q878" i="17"/>
  <c r="R878" i="17" s="1"/>
  <c r="P878" i="17"/>
  <c r="P877" i="17"/>
  <c r="Q877" i="17" s="1"/>
  <c r="R877" i="17" s="1"/>
  <c r="S877" i="17" s="1"/>
  <c r="T877" i="17" s="1"/>
  <c r="Q876" i="17"/>
  <c r="R876" i="17" s="1"/>
  <c r="S876" i="17" s="1"/>
  <c r="T876" i="17" s="1"/>
  <c r="P876" i="17"/>
  <c r="P875" i="17"/>
  <c r="Q875" i="17" s="1"/>
  <c r="R875" i="17" s="1"/>
  <c r="S875" i="17" s="1"/>
  <c r="T875" i="17" s="1"/>
  <c r="Q874" i="17"/>
  <c r="R874" i="17" s="1"/>
  <c r="S874" i="17" s="1"/>
  <c r="T874" i="17" s="1"/>
  <c r="P874" i="17"/>
  <c r="R873" i="17"/>
  <c r="S873" i="17" s="1"/>
  <c r="T873" i="17" s="1"/>
  <c r="P873" i="17"/>
  <c r="Q873" i="17" s="1"/>
  <c r="Q872" i="17"/>
  <c r="R872" i="17" s="1"/>
  <c r="S872" i="17" s="1"/>
  <c r="T872" i="17" s="1"/>
  <c r="P872" i="17"/>
  <c r="T871" i="17"/>
  <c r="P871" i="17"/>
  <c r="Q871" i="17" s="1"/>
  <c r="R871" i="17" s="1"/>
  <c r="S871" i="17" s="1"/>
  <c r="S870" i="17"/>
  <c r="T870" i="17" s="1"/>
  <c r="Q870" i="17"/>
  <c r="R870" i="17" s="1"/>
  <c r="P870" i="17"/>
  <c r="P869" i="17"/>
  <c r="Q869" i="17" s="1"/>
  <c r="R869" i="17" s="1"/>
  <c r="S869" i="17" s="1"/>
  <c r="T869" i="17" s="1"/>
  <c r="Q868" i="17"/>
  <c r="R868" i="17" s="1"/>
  <c r="S868" i="17" s="1"/>
  <c r="T868" i="17" s="1"/>
  <c r="P868" i="17"/>
  <c r="P867" i="17"/>
  <c r="Q867" i="17" s="1"/>
  <c r="R867" i="17" s="1"/>
  <c r="S867" i="17" s="1"/>
  <c r="T867" i="17" s="1"/>
  <c r="Q866" i="17"/>
  <c r="R866" i="17" s="1"/>
  <c r="S866" i="17" s="1"/>
  <c r="T866" i="17" s="1"/>
  <c r="P866" i="17"/>
  <c r="R865" i="17"/>
  <c r="S865" i="17" s="1"/>
  <c r="T865" i="17" s="1"/>
  <c r="P865" i="17"/>
  <c r="Q865" i="17" s="1"/>
  <c r="Q864" i="17"/>
  <c r="R864" i="17" s="1"/>
  <c r="S864" i="17" s="1"/>
  <c r="T864" i="17" s="1"/>
  <c r="P864" i="17"/>
  <c r="T863" i="17"/>
  <c r="P863" i="17"/>
  <c r="Q863" i="17" s="1"/>
  <c r="R863" i="17" s="1"/>
  <c r="S863" i="17" s="1"/>
  <c r="S862" i="17"/>
  <c r="T862" i="17" s="1"/>
  <c r="Q862" i="17"/>
  <c r="R862" i="17" s="1"/>
  <c r="P862" i="17"/>
  <c r="P861" i="17"/>
  <c r="Q861" i="17" s="1"/>
  <c r="R861" i="17" s="1"/>
  <c r="S861" i="17" s="1"/>
  <c r="T861" i="17" s="1"/>
  <c r="Q860" i="17"/>
  <c r="R860" i="17" s="1"/>
  <c r="S860" i="17" s="1"/>
  <c r="T860" i="17" s="1"/>
  <c r="P860" i="17"/>
  <c r="P859" i="17"/>
  <c r="Q859" i="17" s="1"/>
  <c r="R859" i="17" s="1"/>
  <c r="S859" i="17" s="1"/>
  <c r="T859" i="17" s="1"/>
  <c r="Q858" i="17"/>
  <c r="R858" i="17" s="1"/>
  <c r="S858" i="17" s="1"/>
  <c r="T858" i="17" s="1"/>
  <c r="P858" i="17"/>
  <c r="R857" i="17"/>
  <c r="S857" i="17" s="1"/>
  <c r="T857" i="17" s="1"/>
  <c r="P857" i="17"/>
  <c r="Q857" i="17" s="1"/>
  <c r="Q856" i="17"/>
  <c r="R856" i="17" s="1"/>
  <c r="S856" i="17" s="1"/>
  <c r="T856" i="17" s="1"/>
  <c r="P856" i="17"/>
  <c r="T855" i="17"/>
  <c r="P855" i="17"/>
  <c r="Q855" i="17" s="1"/>
  <c r="R855" i="17" s="1"/>
  <c r="S855" i="17" s="1"/>
  <c r="S854" i="17"/>
  <c r="T854" i="17" s="1"/>
  <c r="Q854" i="17"/>
  <c r="R854" i="17" s="1"/>
  <c r="P854" i="17"/>
  <c r="P853" i="17"/>
  <c r="Q853" i="17" s="1"/>
  <c r="R853" i="17" s="1"/>
  <c r="S853" i="17" s="1"/>
  <c r="T853" i="17" s="1"/>
  <c r="Q852" i="17"/>
  <c r="R852" i="17" s="1"/>
  <c r="S852" i="17" s="1"/>
  <c r="T852" i="17" s="1"/>
  <c r="P852" i="17"/>
  <c r="P851" i="17"/>
  <c r="Q851" i="17" s="1"/>
  <c r="R851" i="17" s="1"/>
  <c r="S851" i="17" s="1"/>
  <c r="T851" i="17" s="1"/>
  <c r="Q850" i="17"/>
  <c r="R850" i="17" s="1"/>
  <c r="S850" i="17" s="1"/>
  <c r="T850" i="17" s="1"/>
  <c r="P850" i="17"/>
  <c r="R849" i="17"/>
  <c r="S849" i="17" s="1"/>
  <c r="T849" i="17" s="1"/>
  <c r="P849" i="17"/>
  <c r="Q849" i="17" s="1"/>
  <c r="Q848" i="17"/>
  <c r="R848" i="17" s="1"/>
  <c r="S848" i="17" s="1"/>
  <c r="T848" i="17" s="1"/>
  <c r="P848" i="17"/>
  <c r="T847" i="17"/>
  <c r="P847" i="17"/>
  <c r="Q847" i="17" s="1"/>
  <c r="R847" i="17" s="1"/>
  <c r="S847" i="17" s="1"/>
  <c r="S846" i="17"/>
  <c r="T846" i="17" s="1"/>
  <c r="Q846" i="17"/>
  <c r="R846" i="17" s="1"/>
  <c r="P846" i="17"/>
  <c r="P845" i="17"/>
  <c r="Q845" i="17" s="1"/>
  <c r="R845" i="17" s="1"/>
  <c r="S845" i="17" s="1"/>
  <c r="T845" i="17" s="1"/>
  <c r="Q844" i="17"/>
  <c r="R844" i="17" s="1"/>
  <c r="S844" i="17" s="1"/>
  <c r="T844" i="17" s="1"/>
  <c r="P844" i="17"/>
  <c r="P843" i="17"/>
  <c r="Q843" i="17" s="1"/>
  <c r="R843" i="17" s="1"/>
  <c r="S843" i="17" s="1"/>
  <c r="T843" i="17" s="1"/>
  <c r="Q842" i="17"/>
  <c r="R842" i="17" s="1"/>
  <c r="S842" i="17" s="1"/>
  <c r="T842" i="17" s="1"/>
  <c r="P842" i="17"/>
  <c r="R841" i="17"/>
  <c r="S841" i="17" s="1"/>
  <c r="T841" i="17" s="1"/>
  <c r="P841" i="17"/>
  <c r="Q841" i="17" s="1"/>
  <c r="Q840" i="17"/>
  <c r="R840" i="17" s="1"/>
  <c r="S840" i="17" s="1"/>
  <c r="T840" i="17" s="1"/>
  <c r="P840" i="17"/>
  <c r="T839" i="17"/>
  <c r="P839" i="17"/>
  <c r="Q839" i="17" s="1"/>
  <c r="R839" i="17" s="1"/>
  <c r="S839" i="17" s="1"/>
  <c r="S838" i="17"/>
  <c r="T838" i="17" s="1"/>
  <c r="Q838" i="17"/>
  <c r="R838" i="17" s="1"/>
  <c r="P838" i="17"/>
  <c r="P837" i="17"/>
  <c r="Q837" i="17" s="1"/>
  <c r="R837" i="17" s="1"/>
  <c r="S837" i="17" s="1"/>
  <c r="T837" i="17" s="1"/>
  <c r="Q836" i="17"/>
  <c r="R836" i="17" s="1"/>
  <c r="S836" i="17" s="1"/>
  <c r="T836" i="17" s="1"/>
  <c r="P836" i="17"/>
  <c r="P835" i="17"/>
  <c r="Q835" i="17" s="1"/>
  <c r="R835" i="17" s="1"/>
  <c r="S835" i="17" s="1"/>
  <c r="T835" i="17" s="1"/>
  <c r="Q834" i="17"/>
  <c r="R834" i="17" s="1"/>
  <c r="S834" i="17" s="1"/>
  <c r="T834" i="17" s="1"/>
  <c r="P834" i="17"/>
  <c r="R833" i="17"/>
  <c r="S833" i="17" s="1"/>
  <c r="T833" i="17" s="1"/>
  <c r="P833" i="17"/>
  <c r="Q833" i="17" s="1"/>
  <c r="Q832" i="17"/>
  <c r="R832" i="17" s="1"/>
  <c r="S832" i="17" s="1"/>
  <c r="T832" i="17" s="1"/>
  <c r="P832" i="17"/>
  <c r="T831" i="17"/>
  <c r="P831" i="17"/>
  <c r="Q831" i="17" s="1"/>
  <c r="R831" i="17" s="1"/>
  <c r="S831" i="17" s="1"/>
  <c r="S830" i="17"/>
  <c r="T830" i="17" s="1"/>
  <c r="Q830" i="17"/>
  <c r="R830" i="17" s="1"/>
  <c r="P830" i="17"/>
  <c r="P829" i="17"/>
  <c r="Q829" i="17" s="1"/>
  <c r="R829" i="17" s="1"/>
  <c r="S829" i="17" s="1"/>
  <c r="T829" i="17" s="1"/>
  <c r="Q828" i="17"/>
  <c r="R828" i="17" s="1"/>
  <c r="S828" i="17" s="1"/>
  <c r="T828" i="17" s="1"/>
  <c r="P828" i="17"/>
  <c r="P827" i="17"/>
  <c r="Q827" i="17" s="1"/>
  <c r="R827" i="17" s="1"/>
  <c r="S827" i="17" s="1"/>
  <c r="T827" i="17" s="1"/>
  <c r="Q826" i="17"/>
  <c r="R826" i="17" s="1"/>
  <c r="S826" i="17" s="1"/>
  <c r="T826" i="17" s="1"/>
  <c r="P826" i="17"/>
  <c r="R825" i="17"/>
  <c r="S825" i="17" s="1"/>
  <c r="T825" i="17" s="1"/>
  <c r="P825" i="17"/>
  <c r="Q825" i="17" s="1"/>
  <c r="Q824" i="17"/>
  <c r="R824" i="17" s="1"/>
  <c r="S824" i="17" s="1"/>
  <c r="T824" i="17" s="1"/>
  <c r="P824" i="17"/>
  <c r="T823" i="17"/>
  <c r="P823" i="17"/>
  <c r="Q823" i="17" s="1"/>
  <c r="R823" i="17" s="1"/>
  <c r="S823" i="17" s="1"/>
  <c r="S822" i="17"/>
  <c r="T822" i="17" s="1"/>
  <c r="Q822" i="17"/>
  <c r="R822" i="17" s="1"/>
  <c r="P822" i="17"/>
  <c r="P821" i="17"/>
  <c r="Q821" i="17" s="1"/>
  <c r="R821" i="17" s="1"/>
  <c r="S821" i="17" s="1"/>
  <c r="T821" i="17" s="1"/>
  <c r="Q820" i="17"/>
  <c r="R820" i="17" s="1"/>
  <c r="S820" i="17" s="1"/>
  <c r="T820" i="17" s="1"/>
  <c r="P820" i="17"/>
  <c r="P819" i="17"/>
  <c r="Q819" i="17" s="1"/>
  <c r="R819" i="17" s="1"/>
  <c r="S819" i="17" s="1"/>
  <c r="T819" i="17" s="1"/>
  <c r="Q818" i="17"/>
  <c r="R818" i="17" s="1"/>
  <c r="S818" i="17" s="1"/>
  <c r="T818" i="17" s="1"/>
  <c r="P818" i="17"/>
  <c r="R817" i="17"/>
  <c r="S817" i="17" s="1"/>
  <c r="T817" i="17" s="1"/>
  <c r="P817" i="17"/>
  <c r="Q817" i="17" s="1"/>
  <c r="Q816" i="17"/>
  <c r="R816" i="17" s="1"/>
  <c r="S816" i="17" s="1"/>
  <c r="T816" i="17" s="1"/>
  <c r="P816" i="17"/>
  <c r="T815" i="17"/>
  <c r="P815" i="17"/>
  <c r="Q815" i="17" s="1"/>
  <c r="R815" i="17" s="1"/>
  <c r="S815" i="17" s="1"/>
  <c r="S814" i="17"/>
  <c r="T814" i="17" s="1"/>
  <c r="Q814" i="17"/>
  <c r="R814" i="17" s="1"/>
  <c r="P814" i="17"/>
  <c r="P813" i="17"/>
  <c r="Q813" i="17" s="1"/>
  <c r="R813" i="17" s="1"/>
  <c r="S813" i="17" s="1"/>
  <c r="T813" i="17" s="1"/>
  <c r="Q812" i="17"/>
  <c r="R812" i="17" s="1"/>
  <c r="S812" i="17" s="1"/>
  <c r="T812" i="17" s="1"/>
  <c r="P812" i="17"/>
  <c r="P811" i="17"/>
  <c r="Q811" i="17" s="1"/>
  <c r="R811" i="17" s="1"/>
  <c r="S811" i="17" s="1"/>
  <c r="T811" i="17" s="1"/>
  <c r="Q810" i="17"/>
  <c r="R810" i="17" s="1"/>
  <c r="S810" i="17" s="1"/>
  <c r="T810" i="17" s="1"/>
  <c r="P810" i="17"/>
  <c r="R809" i="17"/>
  <c r="S809" i="17" s="1"/>
  <c r="T809" i="17" s="1"/>
  <c r="P809" i="17"/>
  <c r="Q809" i="17" s="1"/>
  <c r="Q808" i="17"/>
  <c r="R808" i="17" s="1"/>
  <c r="S808" i="17" s="1"/>
  <c r="T808" i="17" s="1"/>
  <c r="P808" i="17"/>
  <c r="T807" i="17"/>
  <c r="P807" i="17"/>
  <c r="Q807" i="17" s="1"/>
  <c r="R807" i="17" s="1"/>
  <c r="S807" i="17" s="1"/>
  <c r="S806" i="17"/>
  <c r="T806" i="17" s="1"/>
  <c r="Q806" i="17"/>
  <c r="R806" i="17" s="1"/>
  <c r="P806" i="17"/>
  <c r="P805" i="17"/>
  <c r="Q805" i="17" s="1"/>
  <c r="R805" i="17" s="1"/>
  <c r="S805" i="17" s="1"/>
  <c r="T805" i="17" s="1"/>
  <c r="Q804" i="17"/>
  <c r="R804" i="17" s="1"/>
  <c r="S804" i="17" s="1"/>
  <c r="T804" i="17" s="1"/>
  <c r="P804" i="17"/>
  <c r="P803" i="17"/>
  <c r="Q803" i="17" s="1"/>
  <c r="R803" i="17" s="1"/>
  <c r="S803" i="17" s="1"/>
  <c r="T803" i="17" s="1"/>
  <c r="Q802" i="17"/>
  <c r="R802" i="17" s="1"/>
  <c r="S802" i="17" s="1"/>
  <c r="T802" i="17" s="1"/>
  <c r="P802" i="17"/>
  <c r="R801" i="17"/>
  <c r="S801" i="17" s="1"/>
  <c r="T801" i="17" s="1"/>
  <c r="P801" i="17"/>
  <c r="Q801" i="17" s="1"/>
  <c r="Q800" i="17"/>
  <c r="R800" i="17" s="1"/>
  <c r="S800" i="17" s="1"/>
  <c r="T800" i="17" s="1"/>
  <c r="P800" i="17"/>
  <c r="T799" i="17"/>
  <c r="P799" i="17"/>
  <c r="Q799" i="17" s="1"/>
  <c r="R799" i="17" s="1"/>
  <c r="S799" i="17" s="1"/>
  <c r="S798" i="17"/>
  <c r="T798" i="17" s="1"/>
  <c r="Q798" i="17"/>
  <c r="R798" i="17" s="1"/>
  <c r="P798" i="17"/>
  <c r="P797" i="17"/>
  <c r="Q797" i="17" s="1"/>
  <c r="R797" i="17" s="1"/>
  <c r="S797" i="17" s="1"/>
  <c r="T797" i="17" s="1"/>
  <c r="Q796" i="17"/>
  <c r="R796" i="17" s="1"/>
  <c r="S796" i="17" s="1"/>
  <c r="T796" i="17" s="1"/>
  <c r="P796" i="17"/>
  <c r="P795" i="17"/>
  <c r="Q795" i="17" s="1"/>
  <c r="R795" i="17" s="1"/>
  <c r="S795" i="17" s="1"/>
  <c r="T795" i="17" s="1"/>
  <c r="Q794" i="17"/>
  <c r="R794" i="17" s="1"/>
  <c r="S794" i="17" s="1"/>
  <c r="T794" i="17" s="1"/>
  <c r="P794" i="17"/>
  <c r="R793" i="17"/>
  <c r="S793" i="17" s="1"/>
  <c r="T793" i="17" s="1"/>
  <c r="P793" i="17"/>
  <c r="Q793" i="17" s="1"/>
  <c r="Q792" i="17"/>
  <c r="R792" i="17" s="1"/>
  <c r="S792" i="17" s="1"/>
  <c r="T792" i="17" s="1"/>
  <c r="P792" i="17"/>
  <c r="T791" i="17"/>
  <c r="P791" i="17"/>
  <c r="Q791" i="17" s="1"/>
  <c r="R791" i="17" s="1"/>
  <c r="S791" i="17" s="1"/>
  <c r="S790" i="17"/>
  <c r="T790" i="17" s="1"/>
  <c r="Q790" i="17"/>
  <c r="R790" i="17" s="1"/>
  <c r="P790" i="17"/>
  <c r="P789" i="17"/>
  <c r="Q789" i="17" s="1"/>
  <c r="R789" i="17" s="1"/>
  <c r="S789" i="17" s="1"/>
  <c r="T789" i="17" s="1"/>
  <c r="P788" i="17"/>
  <c r="Q788" i="17" s="1"/>
  <c r="R788" i="17" s="1"/>
  <c r="S788" i="17" s="1"/>
  <c r="T788" i="17" s="1"/>
  <c r="P787" i="17"/>
  <c r="Q787" i="17" s="1"/>
  <c r="R787" i="17" s="1"/>
  <c r="S787" i="17" s="1"/>
  <c r="T787" i="17" s="1"/>
  <c r="Q786" i="17"/>
  <c r="R786" i="17" s="1"/>
  <c r="S786" i="17" s="1"/>
  <c r="T786" i="17" s="1"/>
  <c r="P786" i="17"/>
  <c r="T785" i="17"/>
  <c r="P785" i="17"/>
  <c r="Q785" i="17" s="1"/>
  <c r="R785" i="17" s="1"/>
  <c r="S785" i="17" s="1"/>
  <c r="T784" i="17"/>
  <c r="P784" i="17"/>
  <c r="Q784" i="17" s="1"/>
  <c r="R784" i="17" s="1"/>
  <c r="S784" i="17" s="1"/>
  <c r="T783" i="17"/>
  <c r="P783" i="17"/>
  <c r="Q783" i="17" s="1"/>
  <c r="R783" i="17" s="1"/>
  <c r="S783" i="17" s="1"/>
  <c r="S782" i="17"/>
  <c r="T782" i="17" s="1"/>
  <c r="Q782" i="17"/>
  <c r="R782" i="17" s="1"/>
  <c r="P782" i="17"/>
  <c r="P781" i="17"/>
  <c r="Q781" i="17" s="1"/>
  <c r="R781" i="17" s="1"/>
  <c r="S781" i="17" s="1"/>
  <c r="T781" i="17" s="1"/>
  <c r="P780" i="17"/>
  <c r="Q780" i="17" s="1"/>
  <c r="R780" i="17" s="1"/>
  <c r="S780" i="17" s="1"/>
  <c r="T780" i="17" s="1"/>
  <c r="P779" i="17"/>
  <c r="Q779" i="17" s="1"/>
  <c r="R779" i="17" s="1"/>
  <c r="S779" i="17" s="1"/>
  <c r="T779" i="17" s="1"/>
  <c r="Q778" i="17"/>
  <c r="R778" i="17" s="1"/>
  <c r="S778" i="17" s="1"/>
  <c r="T778" i="17" s="1"/>
  <c r="P778" i="17"/>
  <c r="T777" i="17"/>
  <c r="P777" i="17"/>
  <c r="Q777" i="17" s="1"/>
  <c r="R777" i="17" s="1"/>
  <c r="S777" i="17" s="1"/>
  <c r="T776" i="17"/>
  <c r="P776" i="17"/>
  <c r="Q776" i="17" s="1"/>
  <c r="R776" i="17" s="1"/>
  <c r="S776" i="17" s="1"/>
  <c r="T775" i="17"/>
  <c r="P775" i="17"/>
  <c r="Q775" i="17" s="1"/>
  <c r="R775" i="17" s="1"/>
  <c r="S775" i="17" s="1"/>
  <c r="S774" i="17"/>
  <c r="T774" i="17" s="1"/>
  <c r="Q774" i="17"/>
  <c r="R774" i="17" s="1"/>
  <c r="P774" i="17"/>
  <c r="P773" i="17"/>
  <c r="Q773" i="17" s="1"/>
  <c r="R773" i="17" s="1"/>
  <c r="S773" i="17" s="1"/>
  <c r="T773" i="17" s="1"/>
  <c r="P772" i="17"/>
  <c r="Q772" i="17" s="1"/>
  <c r="R772" i="17" s="1"/>
  <c r="S772" i="17" s="1"/>
  <c r="T772" i="17" s="1"/>
  <c r="P771" i="17"/>
  <c r="Q771" i="17" s="1"/>
  <c r="R771" i="17" s="1"/>
  <c r="S771" i="17" s="1"/>
  <c r="T771" i="17" s="1"/>
  <c r="Q770" i="17"/>
  <c r="R770" i="17" s="1"/>
  <c r="S770" i="17" s="1"/>
  <c r="T770" i="17" s="1"/>
  <c r="P770" i="17"/>
  <c r="T769" i="17"/>
  <c r="P769" i="17"/>
  <c r="Q769" i="17" s="1"/>
  <c r="R769" i="17" s="1"/>
  <c r="S769" i="17" s="1"/>
  <c r="T768" i="17"/>
  <c r="P768" i="17"/>
  <c r="Q768" i="17" s="1"/>
  <c r="R768" i="17" s="1"/>
  <c r="S768" i="17" s="1"/>
  <c r="T767" i="17"/>
  <c r="P767" i="17"/>
  <c r="Q767" i="17" s="1"/>
  <c r="R767" i="17" s="1"/>
  <c r="S767" i="17" s="1"/>
  <c r="S766" i="17"/>
  <c r="T766" i="17" s="1"/>
  <c r="Q766" i="17"/>
  <c r="R766" i="17" s="1"/>
  <c r="P766" i="17"/>
  <c r="P765" i="17"/>
  <c r="Q765" i="17" s="1"/>
  <c r="R765" i="17" s="1"/>
  <c r="S765" i="17" s="1"/>
  <c r="T765" i="17" s="1"/>
  <c r="P764" i="17"/>
  <c r="Q764" i="17" s="1"/>
  <c r="R764" i="17" s="1"/>
  <c r="S764" i="17" s="1"/>
  <c r="T764" i="17" s="1"/>
  <c r="P763" i="17"/>
  <c r="Q763" i="17" s="1"/>
  <c r="R763" i="17" s="1"/>
  <c r="S763" i="17" s="1"/>
  <c r="T763" i="17" s="1"/>
  <c r="Q762" i="17"/>
  <c r="R762" i="17" s="1"/>
  <c r="S762" i="17" s="1"/>
  <c r="T762" i="17" s="1"/>
  <c r="P762" i="17"/>
  <c r="T761" i="17"/>
  <c r="P761" i="17"/>
  <c r="Q761" i="17" s="1"/>
  <c r="R761" i="17" s="1"/>
  <c r="S761" i="17" s="1"/>
  <c r="T760" i="17"/>
  <c r="P760" i="17"/>
  <c r="Q760" i="17" s="1"/>
  <c r="R760" i="17" s="1"/>
  <c r="S760" i="17" s="1"/>
  <c r="T759" i="17"/>
  <c r="P759" i="17"/>
  <c r="Q759" i="17" s="1"/>
  <c r="R759" i="17" s="1"/>
  <c r="S759" i="17" s="1"/>
  <c r="S758" i="17"/>
  <c r="T758" i="17" s="1"/>
  <c r="Q758" i="17"/>
  <c r="R758" i="17" s="1"/>
  <c r="P758" i="17"/>
  <c r="P757" i="17"/>
  <c r="Q757" i="17" s="1"/>
  <c r="R757" i="17" s="1"/>
  <c r="S757" i="17" s="1"/>
  <c r="T757" i="17" s="1"/>
  <c r="P756" i="17"/>
  <c r="Q756" i="17" s="1"/>
  <c r="R756" i="17" s="1"/>
  <c r="S756" i="17" s="1"/>
  <c r="T756" i="17" s="1"/>
  <c r="P755" i="17"/>
  <c r="Q755" i="17" s="1"/>
  <c r="R755" i="17" s="1"/>
  <c r="S755" i="17" s="1"/>
  <c r="T755" i="17" s="1"/>
  <c r="Q754" i="17"/>
  <c r="R754" i="17" s="1"/>
  <c r="S754" i="17" s="1"/>
  <c r="T754" i="17" s="1"/>
  <c r="P754" i="17"/>
  <c r="T753" i="17"/>
  <c r="P753" i="17"/>
  <c r="Q753" i="17" s="1"/>
  <c r="R753" i="17" s="1"/>
  <c r="S753" i="17" s="1"/>
  <c r="T752" i="17"/>
  <c r="P752" i="17"/>
  <c r="Q752" i="17" s="1"/>
  <c r="R752" i="17" s="1"/>
  <c r="S752" i="17" s="1"/>
  <c r="T751" i="17"/>
  <c r="P751" i="17"/>
  <c r="Q751" i="17" s="1"/>
  <c r="R751" i="17" s="1"/>
  <c r="S751" i="17" s="1"/>
  <c r="S750" i="17"/>
  <c r="T750" i="17" s="1"/>
  <c r="Q750" i="17"/>
  <c r="R750" i="17" s="1"/>
  <c r="P750" i="17"/>
  <c r="P749" i="17"/>
  <c r="Q749" i="17" s="1"/>
  <c r="R749" i="17" s="1"/>
  <c r="S749" i="17" s="1"/>
  <c r="T749" i="17" s="1"/>
  <c r="P748" i="17"/>
  <c r="Q748" i="17" s="1"/>
  <c r="R748" i="17" s="1"/>
  <c r="S748" i="17" s="1"/>
  <c r="T748" i="17" s="1"/>
  <c r="P747" i="17"/>
  <c r="Q747" i="17" s="1"/>
  <c r="R747" i="17" s="1"/>
  <c r="S747" i="17" s="1"/>
  <c r="T747" i="17" s="1"/>
  <c r="P746" i="17"/>
  <c r="Q746" i="17" s="1"/>
  <c r="R746" i="17" s="1"/>
  <c r="S746" i="17" s="1"/>
  <c r="T746" i="17" s="1"/>
  <c r="Q745" i="17"/>
  <c r="R745" i="17" s="1"/>
  <c r="S745" i="17" s="1"/>
  <c r="T745" i="17" s="1"/>
  <c r="P745" i="17"/>
  <c r="R744" i="17"/>
  <c r="S744" i="17" s="1"/>
  <c r="T744" i="17" s="1"/>
  <c r="Q744" i="17"/>
  <c r="P744" i="17"/>
  <c r="R743" i="17"/>
  <c r="S743" i="17" s="1"/>
  <c r="T743" i="17" s="1"/>
  <c r="P743" i="17"/>
  <c r="Q743" i="17" s="1"/>
  <c r="T742" i="17"/>
  <c r="P742" i="17"/>
  <c r="Q742" i="17" s="1"/>
  <c r="R742" i="17" s="1"/>
  <c r="S742" i="17" s="1"/>
  <c r="Q741" i="17"/>
  <c r="R741" i="17" s="1"/>
  <c r="S741" i="17" s="1"/>
  <c r="T741" i="17" s="1"/>
  <c r="P741" i="17"/>
  <c r="R740" i="17"/>
  <c r="S740" i="17" s="1"/>
  <c r="T740" i="17" s="1"/>
  <c r="Q740" i="17"/>
  <c r="P740" i="17"/>
  <c r="R739" i="17"/>
  <c r="S739" i="17" s="1"/>
  <c r="T739" i="17" s="1"/>
  <c r="P739" i="17"/>
  <c r="Q739" i="17" s="1"/>
  <c r="P738" i="17"/>
  <c r="Q738" i="17" s="1"/>
  <c r="R738" i="17" s="1"/>
  <c r="S738" i="17" s="1"/>
  <c r="T738" i="17" s="1"/>
  <c r="Q737" i="17"/>
  <c r="R737" i="17" s="1"/>
  <c r="S737" i="17" s="1"/>
  <c r="T737" i="17" s="1"/>
  <c r="P737" i="17"/>
  <c r="R736" i="17"/>
  <c r="S736" i="17" s="1"/>
  <c r="T736" i="17" s="1"/>
  <c r="Q736" i="17"/>
  <c r="P736" i="17"/>
  <c r="R735" i="17"/>
  <c r="S735" i="17" s="1"/>
  <c r="T735" i="17" s="1"/>
  <c r="P735" i="17"/>
  <c r="Q735" i="17" s="1"/>
  <c r="T734" i="17"/>
  <c r="P734" i="17"/>
  <c r="Q734" i="17" s="1"/>
  <c r="R734" i="17" s="1"/>
  <c r="S734" i="17" s="1"/>
  <c r="Q733" i="17"/>
  <c r="R733" i="17" s="1"/>
  <c r="S733" i="17" s="1"/>
  <c r="T733" i="17" s="1"/>
  <c r="P733" i="17"/>
  <c r="R732" i="17"/>
  <c r="S732" i="17" s="1"/>
  <c r="T732" i="17" s="1"/>
  <c r="Q732" i="17"/>
  <c r="P732" i="17"/>
  <c r="R731" i="17"/>
  <c r="S731" i="17" s="1"/>
  <c r="T731" i="17" s="1"/>
  <c r="P731" i="17"/>
  <c r="Q731" i="17" s="1"/>
  <c r="P730" i="17"/>
  <c r="Q730" i="17" s="1"/>
  <c r="R730" i="17" s="1"/>
  <c r="S730" i="17" s="1"/>
  <c r="T730" i="17" s="1"/>
  <c r="Q729" i="17"/>
  <c r="R729" i="17" s="1"/>
  <c r="S729" i="17" s="1"/>
  <c r="T729" i="17" s="1"/>
  <c r="P729" i="17"/>
  <c r="R728" i="17"/>
  <c r="S728" i="17" s="1"/>
  <c r="T728" i="17" s="1"/>
  <c r="Q728" i="17"/>
  <c r="P728" i="17"/>
  <c r="R727" i="17"/>
  <c r="S727" i="17" s="1"/>
  <c r="T727" i="17" s="1"/>
  <c r="P727" i="17"/>
  <c r="Q727" i="17" s="1"/>
  <c r="T726" i="17"/>
  <c r="P726" i="17"/>
  <c r="Q726" i="17" s="1"/>
  <c r="R726" i="17" s="1"/>
  <c r="S726" i="17" s="1"/>
  <c r="Q725" i="17"/>
  <c r="R725" i="17" s="1"/>
  <c r="S725" i="17" s="1"/>
  <c r="T725" i="17" s="1"/>
  <c r="P725" i="17"/>
  <c r="R724" i="17"/>
  <c r="S724" i="17" s="1"/>
  <c r="T724" i="17" s="1"/>
  <c r="Q724" i="17"/>
  <c r="P724" i="17"/>
  <c r="R723" i="17"/>
  <c r="S723" i="17" s="1"/>
  <c r="T723" i="17" s="1"/>
  <c r="P723" i="17"/>
  <c r="Q723" i="17" s="1"/>
  <c r="P722" i="17"/>
  <c r="Q722" i="17" s="1"/>
  <c r="R722" i="17" s="1"/>
  <c r="S722" i="17" s="1"/>
  <c r="T722" i="17" s="1"/>
  <c r="Q721" i="17"/>
  <c r="R721" i="17" s="1"/>
  <c r="S721" i="17" s="1"/>
  <c r="T721" i="17" s="1"/>
  <c r="P721" i="17"/>
  <c r="Q720" i="17"/>
  <c r="R720" i="17" s="1"/>
  <c r="S720" i="17" s="1"/>
  <c r="T720" i="17" s="1"/>
  <c r="P720" i="17"/>
  <c r="T719" i="17"/>
  <c r="R719" i="17"/>
  <c r="S719" i="17" s="1"/>
  <c r="P719" i="17"/>
  <c r="Q719" i="17" s="1"/>
  <c r="Q718" i="17"/>
  <c r="R718" i="17" s="1"/>
  <c r="S718" i="17" s="1"/>
  <c r="T718" i="17" s="1"/>
  <c r="P718" i="17"/>
  <c r="T717" i="17"/>
  <c r="Q717" i="17"/>
  <c r="R717" i="17" s="1"/>
  <c r="S717" i="17" s="1"/>
  <c r="P717" i="17"/>
  <c r="Q716" i="17"/>
  <c r="R716" i="17" s="1"/>
  <c r="S716" i="17" s="1"/>
  <c r="T716" i="17" s="1"/>
  <c r="P716" i="17"/>
  <c r="T715" i="17"/>
  <c r="R715" i="17"/>
  <c r="S715" i="17" s="1"/>
  <c r="P715" i="17"/>
  <c r="Q715" i="17" s="1"/>
  <c r="Q714" i="17"/>
  <c r="R714" i="17" s="1"/>
  <c r="S714" i="17" s="1"/>
  <c r="T714" i="17" s="1"/>
  <c r="P714" i="17"/>
  <c r="T713" i="17"/>
  <c r="Q713" i="17"/>
  <c r="R713" i="17" s="1"/>
  <c r="S713" i="17" s="1"/>
  <c r="P713" i="17"/>
  <c r="Q712" i="17"/>
  <c r="R712" i="17" s="1"/>
  <c r="S712" i="17" s="1"/>
  <c r="T712" i="17" s="1"/>
  <c r="P712" i="17"/>
  <c r="T711" i="17"/>
  <c r="R711" i="17"/>
  <c r="S711" i="17" s="1"/>
  <c r="P711" i="17"/>
  <c r="Q711" i="17" s="1"/>
  <c r="Q710" i="17"/>
  <c r="R710" i="17" s="1"/>
  <c r="S710" i="17" s="1"/>
  <c r="T710" i="17" s="1"/>
  <c r="P710" i="17"/>
  <c r="T709" i="17"/>
  <c r="Q709" i="17"/>
  <c r="R709" i="17" s="1"/>
  <c r="S709" i="17" s="1"/>
  <c r="P709" i="17"/>
  <c r="Q708" i="17"/>
  <c r="R708" i="17" s="1"/>
  <c r="S708" i="17" s="1"/>
  <c r="T708" i="17" s="1"/>
  <c r="P708" i="17"/>
  <c r="T707" i="17"/>
  <c r="R707" i="17"/>
  <c r="S707" i="17" s="1"/>
  <c r="P707" i="17"/>
  <c r="Q707" i="17" s="1"/>
  <c r="Q706" i="17"/>
  <c r="R706" i="17" s="1"/>
  <c r="S706" i="17" s="1"/>
  <c r="T706" i="17" s="1"/>
  <c r="P706" i="17"/>
  <c r="T705" i="17"/>
  <c r="Q705" i="17"/>
  <c r="R705" i="17" s="1"/>
  <c r="S705" i="17" s="1"/>
  <c r="P705" i="17"/>
  <c r="Q704" i="17"/>
  <c r="R704" i="17" s="1"/>
  <c r="S704" i="17" s="1"/>
  <c r="T704" i="17" s="1"/>
  <c r="P704" i="17"/>
  <c r="T703" i="17"/>
  <c r="R703" i="17"/>
  <c r="S703" i="17" s="1"/>
  <c r="P703" i="17"/>
  <c r="Q703" i="17" s="1"/>
  <c r="Q702" i="17"/>
  <c r="R702" i="17" s="1"/>
  <c r="S702" i="17" s="1"/>
  <c r="T702" i="17" s="1"/>
  <c r="P702" i="17"/>
  <c r="T701" i="17"/>
  <c r="Q701" i="17"/>
  <c r="R701" i="17" s="1"/>
  <c r="S701" i="17" s="1"/>
  <c r="P701" i="17"/>
  <c r="Q700" i="17"/>
  <c r="R700" i="17" s="1"/>
  <c r="S700" i="17" s="1"/>
  <c r="T700" i="17" s="1"/>
  <c r="P700" i="17"/>
  <c r="T699" i="17"/>
  <c r="R699" i="17"/>
  <c r="S699" i="17" s="1"/>
  <c r="P699" i="17"/>
  <c r="Q699" i="17" s="1"/>
  <c r="Q698" i="17"/>
  <c r="R698" i="17" s="1"/>
  <c r="S698" i="17" s="1"/>
  <c r="T698" i="17" s="1"/>
  <c r="P698" i="17"/>
  <c r="T697" i="17"/>
  <c r="Q697" i="17"/>
  <c r="R697" i="17" s="1"/>
  <c r="S697" i="17" s="1"/>
  <c r="P697" i="17"/>
  <c r="Q696" i="17"/>
  <c r="R696" i="17" s="1"/>
  <c r="S696" i="17" s="1"/>
  <c r="T696" i="17" s="1"/>
  <c r="P696" i="17"/>
  <c r="T695" i="17"/>
  <c r="R695" i="17"/>
  <c r="S695" i="17" s="1"/>
  <c r="P695" i="17"/>
  <c r="Q695" i="17" s="1"/>
  <c r="Q694" i="17"/>
  <c r="R694" i="17" s="1"/>
  <c r="S694" i="17" s="1"/>
  <c r="T694" i="17" s="1"/>
  <c r="P694" i="17"/>
  <c r="T693" i="17"/>
  <c r="Q693" i="17"/>
  <c r="R693" i="17" s="1"/>
  <c r="S693" i="17" s="1"/>
  <c r="P693" i="17"/>
  <c r="Q692" i="17"/>
  <c r="R692" i="17" s="1"/>
  <c r="S692" i="17" s="1"/>
  <c r="T692" i="17" s="1"/>
  <c r="P692" i="17"/>
  <c r="T691" i="17"/>
  <c r="R691" i="17"/>
  <c r="S691" i="17" s="1"/>
  <c r="P691" i="17"/>
  <c r="Q691" i="17" s="1"/>
  <c r="Q690" i="17"/>
  <c r="R690" i="17" s="1"/>
  <c r="S690" i="17" s="1"/>
  <c r="T690" i="17" s="1"/>
  <c r="P690" i="17"/>
  <c r="T689" i="17"/>
  <c r="Q689" i="17"/>
  <c r="R689" i="17" s="1"/>
  <c r="S689" i="17" s="1"/>
  <c r="P689" i="17"/>
  <c r="Q688" i="17"/>
  <c r="R688" i="17" s="1"/>
  <c r="S688" i="17" s="1"/>
  <c r="T688" i="17" s="1"/>
  <c r="P688" i="17"/>
  <c r="T687" i="17"/>
  <c r="R687" i="17"/>
  <c r="S687" i="17" s="1"/>
  <c r="P687" i="17"/>
  <c r="Q687" i="17" s="1"/>
  <c r="Q686" i="17"/>
  <c r="R686" i="17" s="1"/>
  <c r="S686" i="17" s="1"/>
  <c r="T686" i="17" s="1"/>
  <c r="P686" i="17"/>
  <c r="T685" i="17"/>
  <c r="Q685" i="17"/>
  <c r="R685" i="17" s="1"/>
  <c r="S685" i="17" s="1"/>
  <c r="P685" i="17"/>
  <c r="Q684" i="17"/>
  <c r="R684" i="17" s="1"/>
  <c r="S684" i="17" s="1"/>
  <c r="T684" i="17" s="1"/>
  <c r="P684" i="17"/>
  <c r="T683" i="17"/>
  <c r="R683" i="17"/>
  <c r="S683" i="17" s="1"/>
  <c r="P683" i="17"/>
  <c r="Q683" i="17" s="1"/>
  <c r="Q682" i="17"/>
  <c r="R682" i="17" s="1"/>
  <c r="S682" i="17" s="1"/>
  <c r="T682" i="17" s="1"/>
  <c r="P682" i="17"/>
  <c r="T681" i="17"/>
  <c r="Q681" i="17"/>
  <c r="R681" i="17" s="1"/>
  <c r="S681" i="17" s="1"/>
  <c r="P681" i="17"/>
  <c r="Q680" i="17"/>
  <c r="R680" i="17" s="1"/>
  <c r="S680" i="17" s="1"/>
  <c r="T680" i="17" s="1"/>
  <c r="P680" i="17"/>
  <c r="T679" i="17"/>
  <c r="R679" i="17"/>
  <c r="S679" i="17" s="1"/>
  <c r="P679" i="17"/>
  <c r="Q679" i="17" s="1"/>
  <c r="Q678" i="17"/>
  <c r="R678" i="17" s="1"/>
  <c r="S678" i="17" s="1"/>
  <c r="T678" i="17" s="1"/>
  <c r="P678" i="17"/>
  <c r="T677" i="17"/>
  <c r="Q677" i="17"/>
  <c r="R677" i="17" s="1"/>
  <c r="S677" i="17" s="1"/>
  <c r="P677" i="17"/>
  <c r="Q676" i="17"/>
  <c r="R676" i="17" s="1"/>
  <c r="S676" i="17" s="1"/>
  <c r="T676" i="17" s="1"/>
  <c r="P676" i="17"/>
  <c r="T675" i="17"/>
  <c r="R675" i="17"/>
  <c r="S675" i="17" s="1"/>
  <c r="P675" i="17"/>
  <c r="Q675" i="17" s="1"/>
  <c r="Q674" i="17"/>
  <c r="R674" i="17" s="1"/>
  <c r="S674" i="17" s="1"/>
  <c r="T674" i="17" s="1"/>
  <c r="P674" i="17"/>
  <c r="T673" i="17"/>
  <c r="Q673" i="17"/>
  <c r="R673" i="17" s="1"/>
  <c r="S673" i="17" s="1"/>
  <c r="P673" i="17"/>
  <c r="Q672" i="17"/>
  <c r="R672" i="17" s="1"/>
  <c r="S672" i="17" s="1"/>
  <c r="T672" i="17" s="1"/>
  <c r="P672" i="17"/>
  <c r="T671" i="17"/>
  <c r="R671" i="17"/>
  <c r="S671" i="17" s="1"/>
  <c r="P671" i="17"/>
  <c r="Q671" i="17" s="1"/>
  <c r="Q670" i="17"/>
  <c r="R670" i="17" s="1"/>
  <c r="S670" i="17" s="1"/>
  <c r="T670" i="17" s="1"/>
  <c r="P670" i="17"/>
  <c r="T669" i="17"/>
  <c r="Q669" i="17"/>
  <c r="R669" i="17" s="1"/>
  <c r="S669" i="17" s="1"/>
  <c r="P669" i="17"/>
  <c r="Q668" i="17"/>
  <c r="R668" i="17" s="1"/>
  <c r="S668" i="17" s="1"/>
  <c r="T668" i="17" s="1"/>
  <c r="P668" i="17"/>
  <c r="T667" i="17"/>
  <c r="R667" i="17"/>
  <c r="S667" i="17" s="1"/>
  <c r="P667" i="17"/>
  <c r="Q667" i="17" s="1"/>
  <c r="Q666" i="17"/>
  <c r="R666" i="17" s="1"/>
  <c r="S666" i="17" s="1"/>
  <c r="T666" i="17" s="1"/>
  <c r="P666" i="17"/>
  <c r="T665" i="17"/>
  <c r="Q665" i="17"/>
  <c r="R665" i="17" s="1"/>
  <c r="S665" i="17" s="1"/>
  <c r="P665" i="17"/>
  <c r="Q664" i="17"/>
  <c r="R664" i="17" s="1"/>
  <c r="S664" i="17" s="1"/>
  <c r="T664" i="17" s="1"/>
  <c r="P664" i="17"/>
  <c r="T663" i="17"/>
  <c r="R663" i="17"/>
  <c r="S663" i="17" s="1"/>
  <c r="P663" i="17"/>
  <c r="Q663" i="17" s="1"/>
  <c r="Q662" i="17"/>
  <c r="R662" i="17" s="1"/>
  <c r="S662" i="17" s="1"/>
  <c r="T662" i="17" s="1"/>
  <c r="P662" i="17"/>
  <c r="T661" i="17"/>
  <c r="Q661" i="17"/>
  <c r="R661" i="17" s="1"/>
  <c r="S661" i="17" s="1"/>
  <c r="P661" i="17"/>
  <c r="Q660" i="17"/>
  <c r="R660" i="17" s="1"/>
  <c r="S660" i="17" s="1"/>
  <c r="T660" i="17" s="1"/>
  <c r="P660" i="17"/>
  <c r="T659" i="17"/>
  <c r="R659" i="17"/>
  <c r="S659" i="17" s="1"/>
  <c r="P659" i="17"/>
  <c r="Q659" i="17" s="1"/>
  <c r="Q658" i="17"/>
  <c r="R658" i="17" s="1"/>
  <c r="S658" i="17" s="1"/>
  <c r="T658" i="17" s="1"/>
  <c r="P658" i="17"/>
  <c r="T657" i="17"/>
  <c r="Q657" i="17"/>
  <c r="R657" i="17" s="1"/>
  <c r="S657" i="17" s="1"/>
  <c r="P657" i="17"/>
  <c r="Q656" i="17"/>
  <c r="R656" i="17" s="1"/>
  <c r="S656" i="17" s="1"/>
  <c r="T656" i="17" s="1"/>
  <c r="P656" i="17"/>
  <c r="T655" i="17"/>
  <c r="R655" i="17"/>
  <c r="S655" i="17" s="1"/>
  <c r="P655" i="17"/>
  <c r="Q655" i="17" s="1"/>
  <c r="Q654" i="17"/>
  <c r="R654" i="17" s="1"/>
  <c r="S654" i="17" s="1"/>
  <c r="T654" i="17" s="1"/>
  <c r="P654" i="17"/>
  <c r="T653" i="17"/>
  <c r="Q653" i="17"/>
  <c r="R653" i="17" s="1"/>
  <c r="S653" i="17" s="1"/>
  <c r="P653" i="17"/>
  <c r="Q652" i="17"/>
  <c r="R652" i="17" s="1"/>
  <c r="S652" i="17" s="1"/>
  <c r="T652" i="17" s="1"/>
  <c r="P652" i="17"/>
  <c r="T651" i="17"/>
  <c r="R651" i="17"/>
  <c r="S651" i="17" s="1"/>
  <c r="P651" i="17"/>
  <c r="Q651" i="17" s="1"/>
  <c r="Q650" i="17"/>
  <c r="R650" i="17" s="1"/>
  <c r="S650" i="17" s="1"/>
  <c r="T650" i="17" s="1"/>
  <c r="P650" i="17"/>
  <c r="T649" i="17"/>
  <c r="Q649" i="17"/>
  <c r="R649" i="17" s="1"/>
  <c r="S649" i="17" s="1"/>
  <c r="P649" i="17"/>
  <c r="Q648" i="17"/>
  <c r="R648" i="17" s="1"/>
  <c r="S648" i="17" s="1"/>
  <c r="T648" i="17" s="1"/>
  <c r="P648" i="17"/>
  <c r="T647" i="17"/>
  <c r="R647" i="17"/>
  <c r="S647" i="17" s="1"/>
  <c r="P647" i="17"/>
  <c r="Q647" i="17" s="1"/>
  <c r="Q646" i="17"/>
  <c r="R646" i="17" s="1"/>
  <c r="S646" i="17" s="1"/>
  <c r="T646" i="17" s="1"/>
  <c r="P646" i="17"/>
  <c r="T645" i="17"/>
  <c r="Q645" i="17"/>
  <c r="R645" i="17" s="1"/>
  <c r="S645" i="17" s="1"/>
  <c r="P645" i="17"/>
  <c r="Q644" i="17"/>
  <c r="R644" i="17" s="1"/>
  <c r="S644" i="17" s="1"/>
  <c r="T644" i="17" s="1"/>
  <c r="P644" i="17"/>
  <c r="T643" i="17"/>
  <c r="R643" i="17"/>
  <c r="S643" i="17" s="1"/>
  <c r="P643" i="17"/>
  <c r="Q643" i="17" s="1"/>
  <c r="Q642" i="17"/>
  <c r="R642" i="17" s="1"/>
  <c r="S642" i="17" s="1"/>
  <c r="T642" i="17" s="1"/>
  <c r="P642" i="17"/>
  <c r="T641" i="17"/>
  <c r="Q641" i="17"/>
  <c r="R641" i="17" s="1"/>
  <c r="S641" i="17" s="1"/>
  <c r="P641" i="17"/>
  <c r="Q640" i="17"/>
  <c r="R640" i="17" s="1"/>
  <c r="S640" i="17" s="1"/>
  <c r="T640" i="17" s="1"/>
  <c r="P640" i="17"/>
  <c r="T639" i="17"/>
  <c r="R639" i="17"/>
  <c r="S639" i="17" s="1"/>
  <c r="P639" i="17"/>
  <c r="Q639" i="17" s="1"/>
  <c r="Q638" i="17"/>
  <c r="R638" i="17" s="1"/>
  <c r="S638" i="17" s="1"/>
  <c r="T638" i="17" s="1"/>
  <c r="P638" i="17"/>
  <c r="T637" i="17"/>
  <c r="Q637" i="17"/>
  <c r="R637" i="17" s="1"/>
  <c r="S637" i="17" s="1"/>
  <c r="P637" i="17"/>
  <c r="Q636" i="17"/>
  <c r="R636" i="17" s="1"/>
  <c r="S636" i="17" s="1"/>
  <c r="T636" i="17" s="1"/>
  <c r="P636" i="17"/>
  <c r="T635" i="17"/>
  <c r="R635" i="17"/>
  <c r="S635" i="17" s="1"/>
  <c r="P635" i="17"/>
  <c r="Q635" i="17" s="1"/>
  <c r="Q634" i="17"/>
  <c r="R634" i="17" s="1"/>
  <c r="S634" i="17" s="1"/>
  <c r="T634" i="17" s="1"/>
  <c r="P634" i="17"/>
  <c r="T633" i="17"/>
  <c r="Q633" i="17"/>
  <c r="R633" i="17" s="1"/>
  <c r="S633" i="17" s="1"/>
  <c r="P633" i="17"/>
  <c r="Q632" i="17"/>
  <c r="R632" i="17" s="1"/>
  <c r="S632" i="17" s="1"/>
  <c r="T632" i="17" s="1"/>
  <c r="P632" i="17"/>
  <c r="T631" i="17"/>
  <c r="R631" i="17"/>
  <c r="S631" i="17" s="1"/>
  <c r="P631" i="17"/>
  <c r="Q631" i="17" s="1"/>
  <c r="Q630" i="17"/>
  <c r="R630" i="17" s="1"/>
  <c r="S630" i="17" s="1"/>
  <c r="T630" i="17" s="1"/>
  <c r="P630" i="17"/>
  <c r="T629" i="17"/>
  <c r="Q629" i="17"/>
  <c r="R629" i="17" s="1"/>
  <c r="S629" i="17" s="1"/>
  <c r="P629" i="17"/>
  <c r="Q628" i="17"/>
  <c r="R628" i="17" s="1"/>
  <c r="S628" i="17" s="1"/>
  <c r="T628" i="17" s="1"/>
  <c r="P628" i="17"/>
  <c r="T627" i="17"/>
  <c r="R627" i="17"/>
  <c r="S627" i="17" s="1"/>
  <c r="P627" i="17"/>
  <c r="Q627" i="17" s="1"/>
  <c r="Q626" i="17"/>
  <c r="R626" i="17" s="1"/>
  <c r="S626" i="17" s="1"/>
  <c r="T626" i="17" s="1"/>
  <c r="P626" i="17"/>
  <c r="T625" i="17"/>
  <c r="Q625" i="17"/>
  <c r="R625" i="17" s="1"/>
  <c r="S625" i="17" s="1"/>
  <c r="P625" i="17"/>
  <c r="Q624" i="17"/>
  <c r="R624" i="17" s="1"/>
  <c r="S624" i="17" s="1"/>
  <c r="T624" i="17" s="1"/>
  <c r="P624" i="17"/>
  <c r="T623" i="17"/>
  <c r="R623" i="17"/>
  <c r="S623" i="17" s="1"/>
  <c r="P623" i="17"/>
  <c r="Q623" i="17" s="1"/>
  <c r="Q622" i="17"/>
  <c r="R622" i="17" s="1"/>
  <c r="S622" i="17" s="1"/>
  <c r="T622" i="17" s="1"/>
  <c r="P622" i="17"/>
  <c r="T621" i="17"/>
  <c r="Q621" i="17"/>
  <c r="R621" i="17" s="1"/>
  <c r="S621" i="17" s="1"/>
  <c r="P621" i="17"/>
  <c r="Q620" i="17"/>
  <c r="R620" i="17" s="1"/>
  <c r="S620" i="17" s="1"/>
  <c r="T620" i="17" s="1"/>
  <c r="P620" i="17"/>
  <c r="T619" i="17"/>
  <c r="R619" i="17"/>
  <c r="S619" i="17" s="1"/>
  <c r="P619" i="17"/>
  <c r="Q619" i="17" s="1"/>
  <c r="Q618" i="17"/>
  <c r="R618" i="17" s="1"/>
  <c r="S618" i="17" s="1"/>
  <c r="T618" i="17" s="1"/>
  <c r="P618" i="17"/>
  <c r="T617" i="17"/>
  <c r="Q617" i="17"/>
  <c r="R617" i="17" s="1"/>
  <c r="S617" i="17" s="1"/>
  <c r="P617" i="17"/>
  <c r="Q616" i="17"/>
  <c r="R616" i="17" s="1"/>
  <c r="S616" i="17" s="1"/>
  <c r="T616" i="17" s="1"/>
  <c r="P616" i="17"/>
  <c r="T615" i="17"/>
  <c r="R615" i="17"/>
  <c r="S615" i="17" s="1"/>
  <c r="P615" i="17"/>
  <c r="Q615" i="17" s="1"/>
  <c r="Q614" i="17"/>
  <c r="R614" i="17" s="1"/>
  <c r="S614" i="17" s="1"/>
  <c r="T614" i="17" s="1"/>
  <c r="P614" i="17"/>
  <c r="T613" i="17"/>
  <c r="Q613" i="17"/>
  <c r="R613" i="17" s="1"/>
  <c r="S613" i="17" s="1"/>
  <c r="P613" i="17"/>
  <c r="Q612" i="17"/>
  <c r="R612" i="17" s="1"/>
  <c r="S612" i="17" s="1"/>
  <c r="T612" i="17" s="1"/>
  <c r="P612" i="17"/>
  <c r="T611" i="17"/>
  <c r="R611" i="17"/>
  <c r="S611" i="17" s="1"/>
  <c r="P611" i="17"/>
  <c r="Q611" i="17" s="1"/>
  <c r="Q610" i="17"/>
  <c r="R610" i="17" s="1"/>
  <c r="S610" i="17" s="1"/>
  <c r="T610" i="17" s="1"/>
  <c r="P610" i="17"/>
  <c r="T609" i="17"/>
  <c r="Q609" i="17"/>
  <c r="R609" i="17" s="1"/>
  <c r="S609" i="17" s="1"/>
  <c r="P609" i="17"/>
  <c r="Q608" i="17"/>
  <c r="R608" i="17" s="1"/>
  <c r="S608" i="17" s="1"/>
  <c r="T608" i="17" s="1"/>
  <c r="P608" i="17"/>
  <c r="T607" i="17"/>
  <c r="R607" i="17"/>
  <c r="S607" i="17" s="1"/>
  <c r="P607" i="17"/>
  <c r="Q607" i="17" s="1"/>
  <c r="Q606" i="17"/>
  <c r="R606" i="17" s="1"/>
  <c r="S606" i="17" s="1"/>
  <c r="T606" i="17" s="1"/>
  <c r="P606" i="17"/>
  <c r="T605" i="17"/>
  <c r="Q605" i="17"/>
  <c r="R605" i="17" s="1"/>
  <c r="S605" i="17" s="1"/>
  <c r="P605" i="17"/>
  <c r="Q604" i="17"/>
  <c r="R604" i="17" s="1"/>
  <c r="S604" i="17" s="1"/>
  <c r="T604" i="17" s="1"/>
  <c r="P604" i="17"/>
  <c r="T603" i="17"/>
  <c r="R603" i="17"/>
  <c r="S603" i="17" s="1"/>
  <c r="P603" i="17"/>
  <c r="Q603" i="17" s="1"/>
  <c r="Q602" i="17"/>
  <c r="R602" i="17" s="1"/>
  <c r="S602" i="17" s="1"/>
  <c r="T602" i="17" s="1"/>
  <c r="P602" i="17"/>
  <c r="T601" i="17"/>
  <c r="Q601" i="17"/>
  <c r="R601" i="17" s="1"/>
  <c r="S601" i="17" s="1"/>
  <c r="P601" i="17"/>
  <c r="Q600" i="17"/>
  <c r="R600" i="17" s="1"/>
  <c r="S600" i="17" s="1"/>
  <c r="T600" i="17" s="1"/>
  <c r="P600" i="17"/>
  <c r="T599" i="17"/>
  <c r="R599" i="17"/>
  <c r="S599" i="17" s="1"/>
  <c r="P599" i="17"/>
  <c r="Q599" i="17" s="1"/>
  <c r="Q598" i="17"/>
  <c r="R598" i="17" s="1"/>
  <c r="S598" i="17" s="1"/>
  <c r="T598" i="17" s="1"/>
  <c r="P598" i="17"/>
  <c r="T597" i="17"/>
  <c r="Q597" i="17"/>
  <c r="R597" i="17" s="1"/>
  <c r="S597" i="17" s="1"/>
  <c r="P597" i="17"/>
  <c r="Q596" i="17"/>
  <c r="R596" i="17" s="1"/>
  <c r="S596" i="17" s="1"/>
  <c r="T596" i="17" s="1"/>
  <c r="P596" i="17"/>
  <c r="T595" i="17"/>
  <c r="R595" i="17"/>
  <c r="S595" i="17" s="1"/>
  <c r="P595" i="17"/>
  <c r="Q595" i="17" s="1"/>
  <c r="Q594" i="17"/>
  <c r="R594" i="17" s="1"/>
  <c r="S594" i="17" s="1"/>
  <c r="T594" i="17" s="1"/>
  <c r="P594" i="17"/>
  <c r="T593" i="17"/>
  <c r="Q593" i="17"/>
  <c r="R593" i="17" s="1"/>
  <c r="S593" i="17" s="1"/>
  <c r="P593" i="17"/>
  <c r="Q592" i="17"/>
  <c r="R592" i="17" s="1"/>
  <c r="S592" i="17" s="1"/>
  <c r="T592" i="17" s="1"/>
  <c r="P592" i="17"/>
  <c r="T591" i="17"/>
  <c r="R591" i="17"/>
  <c r="S591" i="17" s="1"/>
  <c r="P591" i="17"/>
  <c r="Q591" i="17" s="1"/>
  <c r="Q590" i="17"/>
  <c r="R590" i="17" s="1"/>
  <c r="S590" i="17" s="1"/>
  <c r="T590" i="17" s="1"/>
  <c r="P590" i="17"/>
  <c r="T589" i="17"/>
  <c r="Q589" i="17"/>
  <c r="R589" i="17" s="1"/>
  <c r="S589" i="17" s="1"/>
  <c r="P589" i="17"/>
  <c r="Q588" i="17"/>
  <c r="R588" i="17" s="1"/>
  <c r="S588" i="17" s="1"/>
  <c r="T588" i="17" s="1"/>
  <c r="P588" i="17"/>
  <c r="T587" i="17"/>
  <c r="R587" i="17"/>
  <c r="S587" i="17" s="1"/>
  <c r="P587" i="17"/>
  <c r="Q587" i="17" s="1"/>
  <c r="Q586" i="17"/>
  <c r="R586" i="17" s="1"/>
  <c r="S586" i="17" s="1"/>
  <c r="T586" i="17" s="1"/>
  <c r="P586" i="17"/>
  <c r="T585" i="17"/>
  <c r="Q585" i="17"/>
  <c r="R585" i="17" s="1"/>
  <c r="S585" i="17" s="1"/>
  <c r="P585" i="17"/>
  <c r="Q584" i="17"/>
  <c r="R584" i="17" s="1"/>
  <c r="S584" i="17" s="1"/>
  <c r="T584" i="17" s="1"/>
  <c r="P584" i="17"/>
  <c r="T583" i="17"/>
  <c r="R583" i="17"/>
  <c r="S583" i="17" s="1"/>
  <c r="P583" i="17"/>
  <c r="Q583" i="17" s="1"/>
  <c r="Q582" i="17"/>
  <c r="R582" i="17" s="1"/>
  <c r="S582" i="17" s="1"/>
  <c r="T582" i="17" s="1"/>
  <c r="P582" i="17"/>
  <c r="T581" i="17"/>
  <c r="Q581" i="17"/>
  <c r="R581" i="17" s="1"/>
  <c r="S581" i="17" s="1"/>
  <c r="P581" i="17"/>
  <c r="Q580" i="17"/>
  <c r="R580" i="17" s="1"/>
  <c r="S580" i="17" s="1"/>
  <c r="T580" i="17" s="1"/>
  <c r="P580" i="17"/>
  <c r="T579" i="17"/>
  <c r="P579" i="17"/>
  <c r="Q579" i="17" s="1"/>
  <c r="R579" i="17" s="1"/>
  <c r="S579" i="17" s="1"/>
  <c r="Q578" i="17"/>
  <c r="R578" i="17" s="1"/>
  <c r="S578" i="17" s="1"/>
  <c r="T578" i="17" s="1"/>
  <c r="P578" i="17"/>
  <c r="T577" i="17"/>
  <c r="P577" i="17"/>
  <c r="Q577" i="17" s="1"/>
  <c r="R577" i="17" s="1"/>
  <c r="S577" i="17" s="1"/>
  <c r="Q576" i="17"/>
  <c r="R576" i="17" s="1"/>
  <c r="S576" i="17" s="1"/>
  <c r="T576" i="17" s="1"/>
  <c r="P576" i="17"/>
  <c r="T575" i="17"/>
  <c r="Q575" i="17"/>
  <c r="R575" i="17" s="1"/>
  <c r="S575" i="17" s="1"/>
  <c r="P575" i="17"/>
  <c r="Q574" i="17"/>
  <c r="R574" i="17" s="1"/>
  <c r="S574" i="17" s="1"/>
  <c r="T574" i="17" s="1"/>
  <c r="P574" i="17"/>
  <c r="T573" i="17"/>
  <c r="R573" i="17"/>
  <c r="S573" i="17" s="1"/>
  <c r="P573" i="17"/>
  <c r="Q573" i="17" s="1"/>
  <c r="Q572" i="17"/>
  <c r="R572" i="17" s="1"/>
  <c r="S572" i="17" s="1"/>
  <c r="T572" i="17" s="1"/>
  <c r="P572" i="17"/>
  <c r="T571" i="17"/>
  <c r="Q571" i="17"/>
  <c r="R571" i="17" s="1"/>
  <c r="S571" i="17" s="1"/>
  <c r="P571" i="17"/>
  <c r="Q570" i="17"/>
  <c r="R570" i="17" s="1"/>
  <c r="S570" i="17" s="1"/>
  <c r="T570" i="17" s="1"/>
  <c r="P570" i="17"/>
  <c r="T569" i="17"/>
  <c r="R569" i="17"/>
  <c r="S569" i="17" s="1"/>
  <c r="P569" i="17"/>
  <c r="Q569" i="17" s="1"/>
  <c r="Q568" i="17"/>
  <c r="R568" i="17" s="1"/>
  <c r="S568" i="17" s="1"/>
  <c r="T568" i="17" s="1"/>
  <c r="P568" i="17"/>
  <c r="T567" i="17"/>
  <c r="Q567" i="17"/>
  <c r="R567" i="17" s="1"/>
  <c r="S567" i="17" s="1"/>
  <c r="P567" i="17"/>
  <c r="Q566" i="17"/>
  <c r="R566" i="17" s="1"/>
  <c r="S566" i="17" s="1"/>
  <c r="T566" i="17" s="1"/>
  <c r="P566" i="17"/>
  <c r="T565" i="17"/>
  <c r="R565" i="17"/>
  <c r="S565" i="17" s="1"/>
  <c r="P565" i="17"/>
  <c r="Q565" i="17" s="1"/>
  <c r="Q564" i="17"/>
  <c r="R564" i="17" s="1"/>
  <c r="S564" i="17" s="1"/>
  <c r="T564" i="17" s="1"/>
  <c r="P564" i="17"/>
  <c r="T563" i="17"/>
  <c r="Q563" i="17"/>
  <c r="R563" i="17" s="1"/>
  <c r="S563" i="17" s="1"/>
  <c r="P563" i="17"/>
  <c r="Q562" i="17"/>
  <c r="R562" i="17" s="1"/>
  <c r="S562" i="17" s="1"/>
  <c r="T562" i="17" s="1"/>
  <c r="P562" i="17"/>
  <c r="T561" i="17"/>
  <c r="R561" i="17"/>
  <c r="S561" i="17" s="1"/>
  <c r="P561" i="17"/>
  <c r="Q561" i="17" s="1"/>
  <c r="Q560" i="17"/>
  <c r="R560" i="17" s="1"/>
  <c r="S560" i="17" s="1"/>
  <c r="T560" i="17" s="1"/>
  <c r="P560" i="17"/>
  <c r="T559" i="17"/>
  <c r="Q559" i="17"/>
  <c r="R559" i="17" s="1"/>
  <c r="S559" i="17" s="1"/>
  <c r="P559" i="17"/>
  <c r="Q558" i="17"/>
  <c r="R558" i="17" s="1"/>
  <c r="S558" i="17" s="1"/>
  <c r="T558" i="17" s="1"/>
  <c r="P558" i="17"/>
  <c r="T557" i="17"/>
  <c r="R557" i="17"/>
  <c r="S557" i="17" s="1"/>
  <c r="P557" i="17"/>
  <c r="Q557" i="17" s="1"/>
  <c r="Q556" i="17"/>
  <c r="R556" i="17" s="1"/>
  <c r="S556" i="17" s="1"/>
  <c r="T556" i="17" s="1"/>
  <c r="P556" i="17"/>
  <c r="T555" i="17"/>
  <c r="Q555" i="17"/>
  <c r="R555" i="17" s="1"/>
  <c r="S555" i="17" s="1"/>
  <c r="P555" i="17"/>
  <c r="Q554" i="17"/>
  <c r="R554" i="17" s="1"/>
  <c r="S554" i="17" s="1"/>
  <c r="T554" i="17" s="1"/>
  <c r="P554" i="17"/>
  <c r="T553" i="17"/>
  <c r="R553" i="17"/>
  <c r="S553" i="17" s="1"/>
  <c r="P553" i="17"/>
  <c r="Q553" i="17" s="1"/>
  <c r="Q552" i="17"/>
  <c r="R552" i="17" s="1"/>
  <c r="S552" i="17" s="1"/>
  <c r="T552" i="17" s="1"/>
  <c r="P552" i="17"/>
  <c r="T551" i="17"/>
  <c r="Q551" i="17"/>
  <c r="R551" i="17" s="1"/>
  <c r="S551" i="17" s="1"/>
  <c r="P551" i="17"/>
  <c r="Q550" i="17"/>
  <c r="R550" i="17" s="1"/>
  <c r="S550" i="17" s="1"/>
  <c r="T550" i="17" s="1"/>
  <c r="P550" i="17"/>
  <c r="T549" i="17"/>
  <c r="R549" i="17"/>
  <c r="S549" i="17" s="1"/>
  <c r="P549" i="17"/>
  <c r="Q549" i="17" s="1"/>
  <c r="Q548" i="17"/>
  <c r="R548" i="17" s="1"/>
  <c r="S548" i="17" s="1"/>
  <c r="T548" i="17" s="1"/>
  <c r="P548" i="17"/>
  <c r="T547" i="17"/>
  <c r="Q547" i="17"/>
  <c r="R547" i="17" s="1"/>
  <c r="S547" i="17" s="1"/>
  <c r="P547" i="17"/>
  <c r="Q546" i="17"/>
  <c r="R546" i="17" s="1"/>
  <c r="S546" i="17" s="1"/>
  <c r="T546" i="17" s="1"/>
  <c r="P546" i="17"/>
  <c r="T545" i="17"/>
  <c r="R545" i="17"/>
  <c r="S545" i="17" s="1"/>
  <c r="P545" i="17"/>
  <c r="Q545" i="17" s="1"/>
  <c r="Q544" i="17"/>
  <c r="R544" i="17" s="1"/>
  <c r="S544" i="17" s="1"/>
  <c r="T544" i="17" s="1"/>
  <c r="P544" i="17"/>
  <c r="T543" i="17"/>
  <c r="Q543" i="17"/>
  <c r="R543" i="17" s="1"/>
  <c r="S543" i="17" s="1"/>
  <c r="P543" i="17"/>
  <c r="Q542" i="17"/>
  <c r="R542" i="17" s="1"/>
  <c r="S542" i="17" s="1"/>
  <c r="T542" i="17" s="1"/>
  <c r="P542" i="17"/>
  <c r="T541" i="17"/>
  <c r="R541" i="17"/>
  <c r="S541" i="17" s="1"/>
  <c r="P541" i="17"/>
  <c r="Q541" i="17" s="1"/>
  <c r="Q540" i="17"/>
  <c r="R540" i="17" s="1"/>
  <c r="S540" i="17" s="1"/>
  <c r="T540" i="17" s="1"/>
  <c r="P540" i="17"/>
  <c r="T539" i="17"/>
  <c r="Q539" i="17"/>
  <c r="R539" i="17" s="1"/>
  <c r="S539" i="17" s="1"/>
  <c r="P539" i="17"/>
  <c r="Q538" i="17"/>
  <c r="R538" i="17" s="1"/>
  <c r="S538" i="17" s="1"/>
  <c r="T538" i="17" s="1"/>
  <c r="P538" i="17"/>
  <c r="T537" i="17"/>
  <c r="R537" i="17"/>
  <c r="S537" i="17" s="1"/>
  <c r="P537" i="17"/>
  <c r="Q537" i="17" s="1"/>
  <c r="Q536" i="17"/>
  <c r="R536" i="17" s="1"/>
  <c r="S536" i="17" s="1"/>
  <c r="T536" i="17" s="1"/>
  <c r="P536" i="17"/>
  <c r="T535" i="17"/>
  <c r="Q535" i="17"/>
  <c r="R535" i="17" s="1"/>
  <c r="S535" i="17" s="1"/>
  <c r="P535" i="17"/>
  <c r="Q534" i="17"/>
  <c r="R534" i="17" s="1"/>
  <c r="S534" i="17" s="1"/>
  <c r="T534" i="17" s="1"/>
  <c r="P534" i="17"/>
  <c r="T533" i="17"/>
  <c r="R533" i="17"/>
  <c r="S533" i="17" s="1"/>
  <c r="P533" i="17"/>
  <c r="Q533" i="17" s="1"/>
  <c r="Q532" i="17"/>
  <c r="R532" i="17" s="1"/>
  <c r="S532" i="17" s="1"/>
  <c r="T532" i="17" s="1"/>
  <c r="P532" i="17"/>
  <c r="T531" i="17"/>
  <c r="Q531" i="17"/>
  <c r="R531" i="17" s="1"/>
  <c r="S531" i="17" s="1"/>
  <c r="P531" i="17"/>
  <c r="Q530" i="17"/>
  <c r="R530" i="17" s="1"/>
  <c r="S530" i="17" s="1"/>
  <c r="T530" i="17" s="1"/>
  <c r="P530" i="17"/>
  <c r="T529" i="17"/>
  <c r="R529" i="17"/>
  <c r="S529" i="17" s="1"/>
  <c r="P529" i="17"/>
  <c r="Q529" i="17" s="1"/>
  <c r="Q528" i="17"/>
  <c r="R528" i="17" s="1"/>
  <c r="S528" i="17" s="1"/>
  <c r="T528" i="17" s="1"/>
  <c r="P528" i="17"/>
  <c r="T527" i="17"/>
  <c r="Q527" i="17"/>
  <c r="R527" i="17" s="1"/>
  <c r="S527" i="17" s="1"/>
  <c r="P527" i="17"/>
  <c r="Q526" i="17"/>
  <c r="R526" i="17" s="1"/>
  <c r="S526" i="17" s="1"/>
  <c r="T526" i="17" s="1"/>
  <c r="P526" i="17"/>
  <c r="T525" i="17"/>
  <c r="R525" i="17"/>
  <c r="S525" i="17" s="1"/>
  <c r="P525" i="17"/>
  <c r="Q525" i="17" s="1"/>
  <c r="Q524" i="17"/>
  <c r="R524" i="17" s="1"/>
  <c r="S524" i="17" s="1"/>
  <c r="T524" i="17" s="1"/>
  <c r="P524" i="17"/>
  <c r="T523" i="17"/>
  <c r="Q523" i="17"/>
  <c r="R523" i="17" s="1"/>
  <c r="S523" i="17" s="1"/>
  <c r="P523" i="17"/>
  <c r="Q522" i="17"/>
  <c r="R522" i="17" s="1"/>
  <c r="S522" i="17" s="1"/>
  <c r="T522" i="17" s="1"/>
  <c r="P522" i="17"/>
  <c r="T521" i="17"/>
  <c r="R521" i="17"/>
  <c r="S521" i="17" s="1"/>
  <c r="P521" i="17"/>
  <c r="Q521" i="17" s="1"/>
  <c r="Q520" i="17"/>
  <c r="R520" i="17" s="1"/>
  <c r="S520" i="17" s="1"/>
  <c r="T520" i="17" s="1"/>
  <c r="P520" i="17"/>
  <c r="T519" i="17"/>
  <c r="Q519" i="17"/>
  <c r="R519" i="17" s="1"/>
  <c r="S519" i="17" s="1"/>
  <c r="P519" i="17"/>
  <c r="Q518" i="17"/>
  <c r="R518" i="17" s="1"/>
  <c r="S518" i="17" s="1"/>
  <c r="T518" i="17" s="1"/>
  <c r="P518" i="17"/>
  <c r="T517" i="17"/>
  <c r="R517" i="17"/>
  <c r="S517" i="17" s="1"/>
  <c r="P517" i="17"/>
  <c r="Q517" i="17" s="1"/>
  <c r="Q516" i="17"/>
  <c r="R516" i="17" s="1"/>
  <c r="S516" i="17" s="1"/>
  <c r="T516" i="17" s="1"/>
  <c r="P516" i="17"/>
  <c r="T515" i="17"/>
  <c r="Q515" i="17"/>
  <c r="R515" i="17" s="1"/>
  <c r="S515" i="17" s="1"/>
  <c r="P515" i="17"/>
  <c r="Q514" i="17"/>
  <c r="R514" i="17" s="1"/>
  <c r="S514" i="17" s="1"/>
  <c r="T514" i="17" s="1"/>
  <c r="P514" i="17"/>
  <c r="T513" i="17"/>
  <c r="R513" i="17"/>
  <c r="S513" i="17" s="1"/>
  <c r="P513" i="17"/>
  <c r="Q513" i="17" s="1"/>
  <c r="Q512" i="17"/>
  <c r="R512" i="17" s="1"/>
  <c r="S512" i="17" s="1"/>
  <c r="T512" i="17" s="1"/>
  <c r="P512" i="17"/>
  <c r="T511" i="17"/>
  <c r="Q511" i="17"/>
  <c r="R511" i="17" s="1"/>
  <c r="S511" i="17" s="1"/>
  <c r="P511" i="17"/>
  <c r="Q510" i="17"/>
  <c r="R510" i="17" s="1"/>
  <c r="S510" i="17" s="1"/>
  <c r="T510" i="17" s="1"/>
  <c r="P510" i="17"/>
  <c r="T509" i="17"/>
  <c r="R509" i="17"/>
  <c r="S509" i="17" s="1"/>
  <c r="P509" i="17"/>
  <c r="Q509" i="17" s="1"/>
  <c r="Q508" i="17"/>
  <c r="R508" i="17" s="1"/>
  <c r="S508" i="17" s="1"/>
  <c r="T508" i="17" s="1"/>
  <c r="P508" i="17"/>
  <c r="T507" i="17"/>
  <c r="Q507" i="17"/>
  <c r="R507" i="17" s="1"/>
  <c r="S507" i="17" s="1"/>
  <c r="P507" i="17"/>
  <c r="Q506" i="17"/>
  <c r="R506" i="17" s="1"/>
  <c r="S506" i="17" s="1"/>
  <c r="T506" i="17" s="1"/>
  <c r="P506" i="17"/>
  <c r="T505" i="17"/>
  <c r="R505" i="17"/>
  <c r="S505" i="17" s="1"/>
  <c r="P505" i="17"/>
  <c r="Q505" i="17" s="1"/>
  <c r="Q504" i="17"/>
  <c r="R504" i="17" s="1"/>
  <c r="S504" i="17" s="1"/>
  <c r="T504" i="17" s="1"/>
  <c r="P504" i="17"/>
  <c r="T503" i="17"/>
  <c r="Q503" i="17"/>
  <c r="R503" i="17" s="1"/>
  <c r="S503" i="17" s="1"/>
  <c r="P503" i="17"/>
  <c r="Q502" i="17"/>
  <c r="R502" i="17" s="1"/>
  <c r="S502" i="17" s="1"/>
  <c r="T502" i="17" s="1"/>
  <c r="P502" i="17"/>
  <c r="T501" i="17"/>
  <c r="R501" i="17"/>
  <c r="S501" i="17" s="1"/>
  <c r="P501" i="17"/>
  <c r="Q501" i="17" s="1"/>
  <c r="Q500" i="17"/>
  <c r="R500" i="17" s="1"/>
  <c r="S500" i="17" s="1"/>
  <c r="T500" i="17" s="1"/>
  <c r="P500" i="17"/>
  <c r="T499" i="17"/>
  <c r="Q499" i="17"/>
  <c r="R499" i="17" s="1"/>
  <c r="S499" i="17" s="1"/>
  <c r="P499" i="17"/>
  <c r="Q498" i="17"/>
  <c r="R498" i="17" s="1"/>
  <c r="S498" i="17" s="1"/>
  <c r="T498" i="17" s="1"/>
  <c r="P498" i="17"/>
  <c r="T497" i="17"/>
  <c r="R497" i="17"/>
  <c r="S497" i="17" s="1"/>
  <c r="P497" i="17"/>
  <c r="Q497" i="17" s="1"/>
  <c r="Q496" i="17"/>
  <c r="R496" i="17" s="1"/>
  <c r="S496" i="17" s="1"/>
  <c r="T496" i="17" s="1"/>
  <c r="P496" i="17"/>
  <c r="T495" i="17"/>
  <c r="Q495" i="17"/>
  <c r="R495" i="17" s="1"/>
  <c r="S495" i="17" s="1"/>
  <c r="P495" i="17"/>
  <c r="Q494" i="17"/>
  <c r="R494" i="17" s="1"/>
  <c r="S494" i="17" s="1"/>
  <c r="T494" i="17" s="1"/>
  <c r="P494" i="17"/>
  <c r="T493" i="17"/>
  <c r="R493" i="17"/>
  <c r="S493" i="17" s="1"/>
  <c r="P493" i="17"/>
  <c r="Q493" i="17" s="1"/>
  <c r="Q492" i="17"/>
  <c r="R492" i="17" s="1"/>
  <c r="S492" i="17" s="1"/>
  <c r="T492" i="17" s="1"/>
  <c r="P492" i="17"/>
  <c r="T491" i="17"/>
  <c r="Q491" i="17"/>
  <c r="R491" i="17" s="1"/>
  <c r="S491" i="17" s="1"/>
  <c r="P491" i="17"/>
  <c r="Q490" i="17"/>
  <c r="R490" i="17" s="1"/>
  <c r="S490" i="17" s="1"/>
  <c r="T490" i="17" s="1"/>
  <c r="P490" i="17"/>
  <c r="T489" i="17"/>
  <c r="R489" i="17"/>
  <c r="S489" i="17" s="1"/>
  <c r="P489" i="17"/>
  <c r="Q489" i="17" s="1"/>
  <c r="Q488" i="17"/>
  <c r="R488" i="17" s="1"/>
  <c r="S488" i="17" s="1"/>
  <c r="T488" i="17" s="1"/>
  <c r="P488" i="17"/>
  <c r="T487" i="17"/>
  <c r="Q487" i="17"/>
  <c r="R487" i="17" s="1"/>
  <c r="S487" i="17" s="1"/>
  <c r="P487" i="17"/>
  <c r="Q486" i="17"/>
  <c r="R486" i="17" s="1"/>
  <c r="S486" i="17" s="1"/>
  <c r="T486" i="17" s="1"/>
  <c r="P486" i="17"/>
  <c r="T485" i="17"/>
  <c r="R485" i="17"/>
  <c r="S485" i="17" s="1"/>
  <c r="P485" i="17"/>
  <c r="Q485" i="17" s="1"/>
  <c r="Q484" i="17"/>
  <c r="R484" i="17" s="1"/>
  <c r="S484" i="17" s="1"/>
  <c r="T484" i="17" s="1"/>
  <c r="P484" i="17"/>
  <c r="T483" i="17"/>
  <c r="Q483" i="17"/>
  <c r="R483" i="17" s="1"/>
  <c r="S483" i="17" s="1"/>
  <c r="P483" i="17"/>
  <c r="Q482" i="17"/>
  <c r="R482" i="17" s="1"/>
  <c r="S482" i="17" s="1"/>
  <c r="T482" i="17" s="1"/>
  <c r="P482" i="17"/>
  <c r="T481" i="17"/>
  <c r="R481" i="17"/>
  <c r="S481" i="17" s="1"/>
  <c r="P481" i="17"/>
  <c r="Q481" i="17" s="1"/>
  <c r="Q480" i="17"/>
  <c r="R480" i="17" s="1"/>
  <c r="S480" i="17" s="1"/>
  <c r="T480" i="17" s="1"/>
  <c r="P480" i="17"/>
  <c r="T479" i="17"/>
  <c r="Q479" i="17"/>
  <c r="R479" i="17" s="1"/>
  <c r="S479" i="17" s="1"/>
  <c r="P479" i="17"/>
  <c r="Q478" i="17"/>
  <c r="R478" i="17" s="1"/>
  <c r="S478" i="17" s="1"/>
  <c r="T478" i="17" s="1"/>
  <c r="P478" i="17"/>
  <c r="T477" i="17"/>
  <c r="R477" i="17"/>
  <c r="S477" i="17" s="1"/>
  <c r="P477" i="17"/>
  <c r="Q477" i="17" s="1"/>
  <c r="Q476" i="17"/>
  <c r="R476" i="17" s="1"/>
  <c r="S476" i="17" s="1"/>
  <c r="T476" i="17" s="1"/>
  <c r="P476" i="17"/>
  <c r="T475" i="17"/>
  <c r="Q475" i="17"/>
  <c r="R475" i="17" s="1"/>
  <c r="S475" i="17" s="1"/>
  <c r="P475" i="17"/>
  <c r="Q474" i="17"/>
  <c r="R474" i="17" s="1"/>
  <c r="S474" i="17" s="1"/>
  <c r="T474" i="17" s="1"/>
  <c r="P474" i="17"/>
  <c r="T473" i="17"/>
  <c r="R473" i="17"/>
  <c r="S473" i="17" s="1"/>
  <c r="P473" i="17"/>
  <c r="Q473" i="17" s="1"/>
  <c r="Q472" i="17"/>
  <c r="R472" i="17" s="1"/>
  <c r="S472" i="17" s="1"/>
  <c r="T472" i="17" s="1"/>
  <c r="P472" i="17"/>
  <c r="T471" i="17"/>
  <c r="Q471" i="17"/>
  <c r="R471" i="17" s="1"/>
  <c r="S471" i="17" s="1"/>
  <c r="P471" i="17"/>
  <c r="Q470" i="17"/>
  <c r="R470" i="17" s="1"/>
  <c r="S470" i="17" s="1"/>
  <c r="T470" i="17" s="1"/>
  <c r="P470" i="17"/>
  <c r="T469" i="17"/>
  <c r="R469" i="17"/>
  <c r="S469" i="17" s="1"/>
  <c r="P469" i="17"/>
  <c r="Q469" i="17" s="1"/>
  <c r="Q468" i="17"/>
  <c r="R468" i="17" s="1"/>
  <c r="S468" i="17" s="1"/>
  <c r="T468" i="17" s="1"/>
  <c r="P468" i="17"/>
  <c r="T467" i="17"/>
  <c r="Q467" i="17"/>
  <c r="R467" i="17" s="1"/>
  <c r="S467" i="17" s="1"/>
  <c r="P467" i="17"/>
  <c r="Q466" i="17"/>
  <c r="R466" i="17" s="1"/>
  <c r="S466" i="17" s="1"/>
  <c r="T466" i="17" s="1"/>
  <c r="P466" i="17"/>
  <c r="T465" i="17"/>
  <c r="R465" i="17"/>
  <c r="S465" i="17" s="1"/>
  <c r="P465" i="17"/>
  <c r="Q465" i="17" s="1"/>
  <c r="Q464" i="17"/>
  <c r="R464" i="17" s="1"/>
  <c r="S464" i="17" s="1"/>
  <c r="T464" i="17" s="1"/>
  <c r="P464" i="17"/>
  <c r="T463" i="17"/>
  <c r="Q463" i="17"/>
  <c r="R463" i="17" s="1"/>
  <c r="S463" i="17" s="1"/>
  <c r="P463" i="17"/>
  <c r="Q462" i="17"/>
  <c r="R462" i="17" s="1"/>
  <c r="S462" i="17" s="1"/>
  <c r="T462" i="17" s="1"/>
  <c r="P462" i="17"/>
  <c r="T461" i="17"/>
  <c r="R461" i="17"/>
  <c r="S461" i="17" s="1"/>
  <c r="P461" i="17"/>
  <c r="Q461" i="17" s="1"/>
  <c r="Q460" i="17"/>
  <c r="R460" i="17" s="1"/>
  <c r="S460" i="17" s="1"/>
  <c r="T460" i="17" s="1"/>
  <c r="P460" i="17"/>
  <c r="T459" i="17"/>
  <c r="Q459" i="17"/>
  <c r="R459" i="17" s="1"/>
  <c r="S459" i="17" s="1"/>
  <c r="P459" i="17"/>
  <c r="Q458" i="17"/>
  <c r="R458" i="17" s="1"/>
  <c r="S458" i="17" s="1"/>
  <c r="T458" i="17" s="1"/>
  <c r="P458" i="17"/>
  <c r="T457" i="17"/>
  <c r="R457" i="17"/>
  <c r="S457" i="17" s="1"/>
  <c r="P457" i="17"/>
  <c r="Q457" i="17" s="1"/>
  <c r="Q456" i="17"/>
  <c r="R456" i="17" s="1"/>
  <c r="S456" i="17" s="1"/>
  <c r="T456" i="17" s="1"/>
  <c r="P456" i="17"/>
  <c r="T455" i="17"/>
  <c r="Q455" i="17"/>
  <c r="R455" i="17" s="1"/>
  <c r="S455" i="17" s="1"/>
  <c r="P455" i="17"/>
  <c r="Q454" i="17"/>
  <c r="R454" i="17" s="1"/>
  <c r="S454" i="17" s="1"/>
  <c r="T454" i="17" s="1"/>
  <c r="P454" i="17"/>
  <c r="T453" i="17"/>
  <c r="R453" i="17"/>
  <c r="S453" i="17" s="1"/>
  <c r="P453" i="17"/>
  <c r="Q453" i="17" s="1"/>
  <c r="Q452" i="17"/>
  <c r="R452" i="17" s="1"/>
  <c r="S452" i="17" s="1"/>
  <c r="T452" i="17" s="1"/>
  <c r="P452" i="17"/>
  <c r="T451" i="17"/>
  <c r="Q451" i="17"/>
  <c r="R451" i="17" s="1"/>
  <c r="S451" i="17" s="1"/>
  <c r="P451" i="17"/>
  <c r="Q450" i="17"/>
  <c r="R450" i="17" s="1"/>
  <c r="S450" i="17" s="1"/>
  <c r="T450" i="17" s="1"/>
  <c r="P450" i="17"/>
  <c r="T449" i="17"/>
  <c r="R449" i="17"/>
  <c r="S449" i="17" s="1"/>
  <c r="P449" i="17"/>
  <c r="Q449" i="17" s="1"/>
  <c r="Q448" i="17"/>
  <c r="R448" i="17" s="1"/>
  <c r="S448" i="17" s="1"/>
  <c r="T448" i="17" s="1"/>
  <c r="P448" i="17"/>
  <c r="T447" i="17"/>
  <c r="Q447" i="17"/>
  <c r="R447" i="17" s="1"/>
  <c r="S447" i="17" s="1"/>
  <c r="P447" i="17"/>
  <c r="Q446" i="17"/>
  <c r="R446" i="17" s="1"/>
  <c r="S446" i="17" s="1"/>
  <c r="T446" i="17" s="1"/>
  <c r="P446" i="17"/>
  <c r="T445" i="17"/>
  <c r="R445" i="17"/>
  <c r="S445" i="17" s="1"/>
  <c r="P445" i="17"/>
  <c r="Q445" i="17" s="1"/>
  <c r="Q444" i="17"/>
  <c r="R444" i="17" s="1"/>
  <c r="S444" i="17" s="1"/>
  <c r="T444" i="17" s="1"/>
  <c r="P444" i="17"/>
  <c r="T443" i="17"/>
  <c r="Q443" i="17"/>
  <c r="R443" i="17" s="1"/>
  <c r="S443" i="17" s="1"/>
  <c r="P443" i="17"/>
  <c r="Q442" i="17"/>
  <c r="R442" i="17" s="1"/>
  <c r="S442" i="17" s="1"/>
  <c r="T442" i="17" s="1"/>
  <c r="P442" i="17"/>
  <c r="T441" i="17"/>
  <c r="R441" i="17"/>
  <c r="S441" i="17" s="1"/>
  <c r="P441" i="17"/>
  <c r="Q441" i="17" s="1"/>
  <c r="Q440" i="17"/>
  <c r="R440" i="17" s="1"/>
  <c r="S440" i="17" s="1"/>
  <c r="T440" i="17" s="1"/>
  <c r="P440" i="17"/>
  <c r="T439" i="17"/>
  <c r="Q439" i="17"/>
  <c r="R439" i="17" s="1"/>
  <c r="S439" i="17" s="1"/>
  <c r="P439" i="17"/>
  <c r="Q438" i="17"/>
  <c r="R438" i="17" s="1"/>
  <c r="S438" i="17" s="1"/>
  <c r="T438" i="17" s="1"/>
  <c r="P438" i="17"/>
  <c r="T437" i="17"/>
  <c r="R437" i="17"/>
  <c r="S437" i="17" s="1"/>
  <c r="P437" i="17"/>
  <c r="Q437" i="17" s="1"/>
  <c r="Q436" i="17"/>
  <c r="R436" i="17" s="1"/>
  <c r="S436" i="17" s="1"/>
  <c r="T436" i="17" s="1"/>
  <c r="P436" i="17"/>
  <c r="T435" i="17"/>
  <c r="Q435" i="17"/>
  <c r="R435" i="17" s="1"/>
  <c r="S435" i="17" s="1"/>
  <c r="P435" i="17"/>
  <c r="Q434" i="17"/>
  <c r="R434" i="17" s="1"/>
  <c r="S434" i="17" s="1"/>
  <c r="T434" i="17" s="1"/>
  <c r="P434" i="17"/>
  <c r="T433" i="17"/>
  <c r="R433" i="17"/>
  <c r="S433" i="17" s="1"/>
  <c r="P433" i="17"/>
  <c r="Q433" i="17" s="1"/>
  <c r="Q432" i="17"/>
  <c r="R432" i="17" s="1"/>
  <c r="S432" i="17" s="1"/>
  <c r="T432" i="17" s="1"/>
  <c r="P432" i="17"/>
  <c r="T431" i="17"/>
  <c r="Q431" i="17"/>
  <c r="R431" i="17" s="1"/>
  <c r="S431" i="17" s="1"/>
  <c r="P431" i="17"/>
  <c r="Q430" i="17"/>
  <c r="R430" i="17" s="1"/>
  <c r="S430" i="17" s="1"/>
  <c r="T430" i="17" s="1"/>
  <c r="P430" i="17"/>
  <c r="T429" i="17"/>
  <c r="R429" i="17"/>
  <c r="S429" i="17" s="1"/>
  <c r="P429" i="17"/>
  <c r="Q429" i="17" s="1"/>
  <c r="Q428" i="17"/>
  <c r="R428" i="17" s="1"/>
  <c r="S428" i="17" s="1"/>
  <c r="T428" i="17" s="1"/>
  <c r="P428" i="17"/>
  <c r="T427" i="17"/>
  <c r="Q427" i="17"/>
  <c r="R427" i="17" s="1"/>
  <c r="S427" i="17" s="1"/>
  <c r="P427" i="17"/>
  <c r="Q426" i="17"/>
  <c r="R426" i="17" s="1"/>
  <c r="S426" i="17" s="1"/>
  <c r="T426" i="17" s="1"/>
  <c r="P426" i="17"/>
  <c r="T425" i="17"/>
  <c r="R425" i="17"/>
  <c r="S425" i="17" s="1"/>
  <c r="P425" i="17"/>
  <c r="Q425" i="17" s="1"/>
  <c r="Q424" i="17"/>
  <c r="R424" i="17" s="1"/>
  <c r="S424" i="17" s="1"/>
  <c r="T424" i="17" s="1"/>
  <c r="P424" i="17"/>
  <c r="T423" i="17"/>
  <c r="Q423" i="17"/>
  <c r="R423" i="17" s="1"/>
  <c r="S423" i="17" s="1"/>
  <c r="P423" i="17"/>
  <c r="Q422" i="17"/>
  <c r="R422" i="17" s="1"/>
  <c r="S422" i="17" s="1"/>
  <c r="T422" i="17" s="1"/>
  <c r="P422" i="17"/>
  <c r="T421" i="17"/>
  <c r="R421" i="17"/>
  <c r="S421" i="17" s="1"/>
  <c r="P421" i="17"/>
  <c r="Q421" i="17" s="1"/>
  <c r="Q420" i="17"/>
  <c r="R420" i="17" s="1"/>
  <c r="S420" i="17" s="1"/>
  <c r="T420" i="17" s="1"/>
  <c r="P420" i="17"/>
  <c r="T419" i="17"/>
  <c r="Q419" i="17"/>
  <c r="R419" i="17" s="1"/>
  <c r="S419" i="17" s="1"/>
  <c r="P419" i="17"/>
  <c r="Q418" i="17"/>
  <c r="R418" i="17" s="1"/>
  <c r="S418" i="17" s="1"/>
  <c r="T418" i="17" s="1"/>
  <c r="P418" i="17"/>
  <c r="T417" i="17"/>
  <c r="R417" i="17"/>
  <c r="S417" i="17" s="1"/>
  <c r="P417" i="17"/>
  <c r="Q417" i="17" s="1"/>
  <c r="R416" i="17"/>
  <c r="S416" i="17" s="1"/>
  <c r="T416" i="17" s="1"/>
  <c r="P416" i="17"/>
  <c r="Q416" i="17" s="1"/>
  <c r="S415" i="17"/>
  <c r="T415" i="17" s="1"/>
  <c r="Q415" i="17"/>
  <c r="R415" i="17" s="1"/>
  <c r="P415" i="17"/>
  <c r="R414" i="17"/>
  <c r="S414" i="17" s="1"/>
  <c r="T414" i="17" s="1"/>
  <c r="P414" i="17"/>
  <c r="Q414" i="17" s="1"/>
  <c r="S413" i="17"/>
  <c r="T413" i="17" s="1"/>
  <c r="Q413" i="17"/>
  <c r="R413" i="17" s="1"/>
  <c r="P413" i="17"/>
  <c r="R412" i="17"/>
  <c r="S412" i="17" s="1"/>
  <c r="T412" i="17" s="1"/>
  <c r="P412" i="17"/>
  <c r="Q412" i="17" s="1"/>
  <c r="S411" i="17"/>
  <c r="T411" i="17" s="1"/>
  <c r="Q411" i="17"/>
  <c r="R411" i="17" s="1"/>
  <c r="P411" i="17"/>
  <c r="R410" i="17"/>
  <c r="S410" i="17" s="1"/>
  <c r="T410" i="17" s="1"/>
  <c r="P410" i="17"/>
  <c r="Q410" i="17" s="1"/>
  <c r="S409" i="17"/>
  <c r="T409" i="17" s="1"/>
  <c r="Q409" i="17"/>
  <c r="R409" i="17" s="1"/>
  <c r="P409" i="17"/>
  <c r="R408" i="17"/>
  <c r="S408" i="17" s="1"/>
  <c r="T408" i="17" s="1"/>
  <c r="P408" i="17"/>
  <c r="Q408" i="17" s="1"/>
  <c r="S407" i="17"/>
  <c r="T407" i="17" s="1"/>
  <c r="Q407" i="17"/>
  <c r="R407" i="17" s="1"/>
  <c r="P407" i="17"/>
  <c r="R406" i="17"/>
  <c r="S406" i="17" s="1"/>
  <c r="T406" i="17" s="1"/>
  <c r="P406" i="17"/>
  <c r="Q406" i="17" s="1"/>
  <c r="S405" i="17"/>
  <c r="T405" i="17" s="1"/>
  <c r="Q405" i="17"/>
  <c r="R405" i="17" s="1"/>
  <c r="P405" i="17"/>
  <c r="R404" i="17"/>
  <c r="S404" i="17" s="1"/>
  <c r="T404" i="17" s="1"/>
  <c r="P404" i="17"/>
  <c r="Q404" i="17" s="1"/>
  <c r="S403" i="17"/>
  <c r="T403" i="17" s="1"/>
  <c r="Q403" i="17"/>
  <c r="R403" i="17" s="1"/>
  <c r="P403" i="17"/>
  <c r="R402" i="17"/>
  <c r="S402" i="17" s="1"/>
  <c r="T402" i="17" s="1"/>
  <c r="P402" i="17"/>
  <c r="Q402" i="17" s="1"/>
  <c r="S401" i="17"/>
  <c r="T401" i="17" s="1"/>
  <c r="Q401" i="17"/>
  <c r="R401" i="17" s="1"/>
  <c r="P401" i="17"/>
  <c r="R400" i="17"/>
  <c r="S400" i="17" s="1"/>
  <c r="T400" i="17" s="1"/>
  <c r="P400" i="17"/>
  <c r="Q400" i="17" s="1"/>
  <c r="S399" i="17"/>
  <c r="T399" i="17" s="1"/>
  <c r="Q399" i="17"/>
  <c r="R399" i="17" s="1"/>
  <c r="P399" i="17"/>
  <c r="R398" i="17"/>
  <c r="S398" i="17" s="1"/>
  <c r="T398" i="17" s="1"/>
  <c r="P398" i="17"/>
  <c r="Q398" i="17" s="1"/>
  <c r="S397" i="17"/>
  <c r="T397" i="17" s="1"/>
  <c r="Q397" i="17"/>
  <c r="R397" i="17" s="1"/>
  <c r="P397" i="17"/>
  <c r="R396" i="17"/>
  <c r="S396" i="17" s="1"/>
  <c r="T396" i="17" s="1"/>
  <c r="P396" i="17"/>
  <c r="Q396" i="17" s="1"/>
  <c r="S395" i="17"/>
  <c r="T395" i="17" s="1"/>
  <c r="Q395" i="17"/>
  <c r="R395" i="17" s="1"/>
  <c r="P395" i="17"/>
  <c r="R394" i="17"/>
  <c r="S394" i="17" s="1"/>
  <c r="T394" i="17" s="1"/>
  <c r="P394" i="17"/>
  <c r="Q394" i="17" s="1"/>
  <c r="S393" i="17"/>
  <c r="T393" i="17" s="1"/>
  <c r="Q393" i="17"/>
  <c r="R393" i="17" s="1"/>
  <c r="P393" i="17"/>
  <c r="R392" i="17"/>
  <c r="S392" i="17" s="1"/>
  <c r="T392" i="17" s="1"/>
  <c r="P392" i="17"/>
  <c r="Q392" i="17" s="1"/>
  <c r="S391" i="17"/>
  <c r="T391" i="17" s="1"/>
  <c r="Q391" i="17"/>
  <c r="R391" i="17" s="1"/>
  <c r="P391" i="17"/>
  <c r="R390" i="17"/>
  <c r="S390" i="17" s="1"/>
  <c r="T390" i="17" s="1"/>
  <c r="P390" i="17"/>
  <c r="Q390" i="17" s="1"/>
  <c r="S389" i="17"/>
  <c r="T389" i="17" s="1"/>
  <c r="Q389" i="17"/>
  <c r="R389" i="17" s="1"/>
  <c r="P389" i="17"/>
  <c r="R388" i="17"/>
  <c r="S388" i="17" s="1"/>
  <c r="T388" i="17" s="1"/>
  <c r="P388" i="17"/>
  <c r="Q388" i="17" s="1"/>
  <c r="S387" i="17"/>
  <c r="T387" i="17" s="1"/>
  <c r="Q387" i="17"/>
  <c r="R387" i="17" s="1"/>
  <c r="P387" i="17"/>
  <c r="R386" i="17"/>
  <c r="S386" i="17" s="1"/>
  <c r="T386" i="17" s="1"/>
  <c r="P386" i="17"/>
  <c r="Q386" i="17" s="1"/>
  <c r="S385" i="17"/>
  <c r="T385" i="17" s="1"/>
  <c r="Q385" i="17"/>
  <c r="R385" i="17" s="1"/>
  <c r="P385" i="17"/>
  <c r="R384" i="17"/>
  <c r="S384" i="17" s="1"/>
  <c r="T384" i="17" s="1"/>
  <c r="P384" i="17"/>
  <c r="Q384" i="17" s="1"/>
  <c r="S383" i="17"/>
  <c r="T383" i="17" s="1"/>
  <c r="Q383" i="17"/>
  <c r="R383" i="17" s="1"/>
  <c r="P383" i="17"/>
  <c r="R382" i="17"/>
  <c r="S382" i="17" s="1"/>
  <c r="T382" i="17" s="1"/>
  <c r="P382" i="17"/>
  <c r="Q382" i="17" s="1"/>
  <c r="S381" i="17"/>
  <c r="T381" i="17" s="1"/>
  <c r="Q381" i="17"/>
  <c r="R381" i="17" s="1"/>
  <c r="P381" i="17"/>
  <c r="R380" i="17"/>
  <c r="S380" i="17" s="1"/>
  <c r="T380" i="17" s="1"/>
  <c r="P380" i="17"/>
  <c r="Q380" i="17" s="1"/>
  <c r="S379" i="17"/>
  <c r="T379" i="17" s="1"/>
  <c r="Q379" i="17"/>
  <c r="R379" i="17" s="1"/>
  <c r="P379" i="17"/>
  <c r="R378" i="17"/>
  <c r="S378" i="17" s="1"/>
  <c r="T378" i="17" s="1"/>
  <c r="P378" i="17"/>
  <c r="Q378" i="17" s="1"/>
  <c r="S377" i="17"/>
  <c r="T377" i="17" s="1"/>
  <c r="Q377" i="17"/>
  <c r="R377" i="17" s="1"/>
  <c r="P377" i="17"/>
  <c r="R376" i="17"/>
  <c r="S376" i="17" s="1"/>
  <c r="T376" i="17" s="1"/>
  <c r="P376" i="17"/>
  <c r="Q376" i="17" s="1"/>
  <c r="S375" i="17"/>
  <c r="T375" i="17" s="1"/>
  <c r="Q375" i="17"/>
  <c r="R375" i="17" s="1"/>
  <c r="P375" i="17"/>
  <c r="R374" i="17"/>
  <c r="S374" i="17" s="1"/>
  <c r="T374" i="17" s="1"/>
  <c r="P374" i="17"/>
  <c r="Q374" i="17" s="1"/>
  <c r="S373" i="17"/>
  <c r="T373" i="17" s="1"/>
  <c r="Q373" i="17"/>
  <c r="R373" i="17" s="1"/>
  <c r="P373" i="17"/>
  <c r="R372" i="17"/>
  <c r="S372" i="17" s="1"/>
  <c r="T372" i="17" s="1"/>
  <c r="P372" i="17"/>
  <c r="Q372" i="17" s="1"/>
  <c r="S371" i="17"/>
  <c r="T371" i="17" s="1"/>
  <c r="Q371" i="17"/>
  <c r="R371" i="17" s="1"/>
  <c r="P371" i="17"/>
  <c r="R370" i="17"/>
  <c r="S370" i="17" s="1"/>
  <c r="T370" i="17" s="1"/>
  <c r="P370" i="17"/>
  <c r="Q370" i="17" s="1"/>
  <c r="S369" i="17"/>
  <c r="T369" i="17" s="1"/>
  <c r="Q369" i="17"/>
  <c r="R369" i="17" s="1"/>
  <c r="P369" i="17"/>
  <c r="R368" i="17"/>
  <c r="S368" i="17" s="1"/>
  <c r="T368" i="17" s="1"/>
  <c r="P368" i="17"/>
  <c r="Q368" i="17" s="1"/>
  <c r="S367" i="17"/>
  <c r="T367" i="17" s="1"/>
  <c r="Q367" i="17"/>
  <c r="R367" i="17" s="1"/>
  <c r="P367" i="17"/>
  <c r="R366" i="17"/>
  <c r="S366" i="17" s="1"/>
  <c r="T366" i="17" s="1"/>
  <c r="P366" i="17"/>
  <c r="Q366" i="17" s="1"/>
  <c r="S365" i="17"/>
  <c r="T365" i="17" s="1"/>
  <c r="Q365" i="17"/>
  <c r="R365" i="17" s="1"/>
  <c r="P365" i="17"/>
  <c r="R364" i="17"/>
  <c r="S364" i="17" s="1"/>
  <c r="T364" i="17" s="1"/>
  <c r="P364" i="17"/>
  <c r="Q364" i="17" s="1"/>
  <c r="S363" i="17"/>
  <c r="T363" i="17" s="1"/>
  <c r="Q363" i="17"/>
  <c r="R363" i="17" s="1"/>
  <c r="P363" i="17"/>
  <c r="R362" i="17"/>
  <c r="S362" i="17" s="1"/>
  <c r="T362" i="17" s="1"/>
  <c r="P362" i="17"/>
  <c r="Q362" i="17" s="1"/>
  <c r="S361" i="17"/>
  <c r="T361" i="17" s="1"/>
  <c r="Q361" i="17"/>
  <c r="R361" i="17" s="1"/>
  <c r="P361" i="17"/>
  <c r="R360" i="17"/>
  <c r="S360" i="17" s="1"/>
  <c r="T360" i="17" s="1"/>
  <c r="P360" i="17"/>
  <c r="Q360" i="17" s="1"/>
  <c r="S359" i="17"/>
  <c r="T359" i="17" s="1"/>
  <c r="Q359" i="17"/>
  <c r="R359" i="17" s="1"/>
  <c r="P359" i="17"/>
  <c r="R358" i="17"/>
  <c r="S358" i="17" s="1"/>
  <c r="T358" i="17" s="1"/>
  <c r="P358" i="17"/>
  <c r="Q358" i="17" s="1"/>
  <c r="S357" i="17"/>
  <c r="T357" i="17" s="1"/>
  <c r="Q357" i="17"/>
  <c r="R357" i="17" s="1"/>
  <c r="P357" i="17"/>
  <c r="R356" i="17"/>
  <c r="S356" i="17" s="1"/>
  <c r="T356" i="17" s="1"/>
  <c r="P356" i="17"/>
  <c r="Q356" i="17" s="1"/>
  <c r="S355" i="17"/>
  <c r="T355" i="17" s="1"/>
  <c r="Q355" i="17"/>
  <c r="R355" i="17" s="1"/>
  <c r="P355" i="17"/>
  <c r="R354" i="17"/>
  <c r="S354" i="17" s="1"/>
  <c r="T354" i="17" s="1"/>
  <c r="P354" i="17"/>
  <c r="Q354" i="17" s="1"/>
  <c r="S353" i="17"/>
  <c r="T353" i="17" s="1"/>
  <c r="Q353" i="17"/>
  <c r="R353" i="17" s="1"/>
  <c r="P353" i="17"/>
  <c r="R352" i="17"/>
  <c r="S352" i="17" s="1"/>
  <c r="T352" i="17" s="1"/>
  <c r="P352" i="17"/>
  <c r="Q352" i="17" s="1"/>
  <c r="S351" i="17"/>
  <c r="T351" i="17" s="1"/>
  <c r="Q351" i="17"/>
  <c r="R351" i="17" s="1"/>
  <c r="P351" i="17"/>
  <c r="R350" i="17"/>
  <c r="S350" i="17" s="1"/>
  <c r="T350" i="17" s="1"/>
  <c r="P350" i="17"/>
  <c r="Q350" i="17" s="1"/>
  <c r="S349" i="17"/>
  <c r="T349" i="17" s="1"/>
  <c r="Q349" i="17"/>
  <c r="R349" i="17" s="1"/>
  <c r="P349" i="17"/>
  <c r="R348" i="17"/>
  <c r="S348" i="17" s="1"/>
  <c r="T348" i="17" s="1"/>
  <c r="P348" i="17"/>
  <c r="Q348" i="17" s="1"/>
  <c r="S347" i="17"/>
  <c r="T347" i="17" s="1"/>
  <c r="Q347" i="17"/>
  <c r="R347" i="17" s="1"/>
  <c r="P347" i="17"/>
  <c r="R346" i="17"/>
  <c r="S346" i="17" s="1"/>
  <c r="T346" i="17" s="1"/>
  <c r="P346" i="17"/>
  <c r="Q346" i="17" s="1"/>
  <c r="S345" i="17"/>
  <c r="T345" i="17" s="1"/>
  <c r="Q345" i="17"/>
  <c r="R345" i="17" s="1"/>
  <c r="P345" i="17"/>
  <c r="R344" i="17"/>
  <c r="S344" i="17" s="1"/>
  <c r="T344" i="17" s="1"/>
  <c r="P344" i="17"/>
  <c r="Q344" i="17" s="1"/>
  <c r="S343" i="17"/>
  <c r="T343" i="17" s="1"/>
  <c r="Q343" i="17"/>
  <c r="R343" i="17" s="1"/>
  <c r="P343" i="17"/>
  <c r="R342" i="17"/>
  <c r="S342" i="17" s="1"/>
  <c r="T342" i="17" s="1"/>
  <c r="P342" i="17"/>
  <c r="Q342" i="17" s="1"/>
  <c r="S341" i="17"/>
  <c r="T341" i="17" s="1"/>
  <c r="Q341" i="17"/>
  <c r="R341" i="17" s="1"/>
  <c r="P341" i="17"/>
  <c r="R340" i="17"/>
  <c r="S340" i="17" s="1"/>
  <c r="T340" i="17" s="1"/>
  <c r="P340" i="17"/>
  <c r="Q340" i="17" s="1"/>
  <c r="S339" i="17"/>
  <c r="T339" i="17" s="1"/>
  <c r="Q339" i="17"/>
  <c r="R339" i="17" s="1"/>
  <c r="P339" i="17"/>
  <c r="R338" i="17"/>
  <c r="S338" i="17" s="1"/>
  <c r="T338" i="17" s="1"/>
  <c r="P338" i="17"/>
  <c r="Q338" i="17" s="1"/>
  <c r="S337" i="17"/>
  <c r="T337" i="17" s="1"/>
  <c r="Q337" i="17"/>
  <c r="R337" i="17" s="1"/>
  <c r="P337" i="17"/>
  <c r="R336" i="17"/>
  <c r="S336" i="17" s="1"/>
  <c r="T336" i="17" s="1"/>
  <c r="P336" i="17"/>
  <c r="Q336" i="17" s="1"/>
  <c r="S335" i="17"/>
  <c r="T335" i="17" s="1"/>
  <c r="Q335" i="17"/>
  <c r="R335" i="17" s="1"/>
  <c r="P335" i="17"/>
  <c r="R334" i="17"/>
  <c r="S334" i="17" s="1"/>
  <c r="T334" i="17" s="1"/>
  <c r="P334" i="17"/>
  <c r="Q334" i="17" s="1"/>
  <c r="S333" i="17"/>
  <c r="T333" i="17" s="1"/>
  <c r="Q333" i="17"/>
  <c r="R333" i="17" s="1"/>
  <c r="P333" i="17"/>
  <c r="R332" i="17"/>
  <c r="S332" i="17" s="1"/>
  <c r="T332" i="17" s="1"/>
  <c r="P332" i="17"/>
  <c r="Q332" i="17" s="1"/>
  <c r="S331" i="17"/>
  <c r="T331" i="17" s="1"/>
  <c r="Q331" i="17"/>
  <c r="R331" i="17" s="1"/>
  <c r="P331" i="17"/>
  <c r="R330" i="17"/>
  <c r="S330" i="17" s="1"/>
  <c r="T330" i="17" s="1"/>
  <c r="P330" i="17"/>
  <c r="Q330" i="17" s="1"/>
  <c r="S329" i="17"/>
  <c r="T329" i="17" s="1"/>
  <c r="Q329" i="17"/>
  <c r="R329" i="17" s="1"/>
  <c r="P329" i="17"/>
  <c r="R328" i="17"/>
  <c r="S328" i="17" s="1"/>
  <c r="T328" i="17" s="1"/>
  <c r="P328" i="17"/>
  <c r="Q328" i="17" s="1"/>
  <c r="S327" i="17"/>
  <c r="T327" i="17" s="1"/>
  <c r="Q327" i="17"/>
  <c r="R327" i="17" s="1"/>
  <c r="P327" i="17"/>
  <c r="R326" i="17"/>
  <c r="S326" i="17" s="1"/>
  <c r="T326" i="17" s="1"/>
  <c r="P326" i="17"/>
  <c r="Q326" i="17" s="1"/>
  <c r="S325" i="17"/>
  <c r="T325" i="17" s="1"/>
  <c r="Q325" i="17"/>
  <c r="R325" i="17" s="1"/>
  <c r="P325" i="17"/>
  <c r="R324" i="17"/>
  <c r="S324" i="17" s="1"/>
  <c r="T324" i="17" s="1"/>
  <c r="P324" i="17"/>
  <c r="Q324" i="17" s="1"/>
  <c r="S323" i="17"/>
  <c r="T323" i="17" s="1"/>
  <c r="Q323" i="17"/>
  <c r="R323" i="17" s="1"/>
  <c r="P323" i="17"/>
  <c r="R322" i="17"/>
  <c r="S322" i="17" s="1"/>
  <c r="T322" i="17" s="1"/>
  <c r="P322" i="17"/>
  <c r="Q322" i="17" s="1"/>
  <c r="S321" i="17"/>
  <c r="T321" i="17" s="1"/>
  <c r="Q321" i="17"/>
  <c r="R321" i="17" s="1"/>
  <c r="P321" i="17"/>
  <c r="R320" i="17"/>
  <c r="S320" i="17" s="1"/>
  <c r="T320" i="17" s="1"/>
  <c r="P320" i="17"/>
  <c r="Q320" i="17" s="1"/>
  <c r="S319" i="17"/>
  <c r="T319" i="17" s="1"/>
  <c r="Q319" i="17"/>
  <c r="R319" i="17" s="1"/>
  <c r="P319" i="17"/>
  <c r="R318" i="17"/>
  <c r="S318" i="17" s="1"/>
  <c r="T318" i="17" s="1"/>
  <c r="P318" i="17"/>
  <c r="Q318" i="17" s="1"/>
  <c r="S317" i="17"/>
  <c r="T317" i="17" s="1"/>
  <c r="Q317" i="17"/>
  <c r="R317" i="17" s="1"/>
  <c r="P317" i="17"/>
  <c r="R316" i="17"/>
  <c r="S316" i="17" s="1"/>
  <c r="T316" i="17" s="1"/>
  <c r="P316" i="17"/>
  <c r="Q316" i="17" s="1"/>
  <c r="S315" i="17"/>
  <c r="T315" i="17" s="1"/>
  <c r="Q315" i="17"/>
  <c r="R315" i="17" s="1"/>
  <c r="P315" i="17"/>
  <c r="R314" i="17"/>
  <c r="S314" i="17" s="1"/>
  <c r="T314" i="17" s="1"/>
  <c r="P314" i="17"/>
  <c r="Q314" i="17" s="1"/>
  <c r="S313" i="17"/>
  <c r="T313" i="17" s="1"/>
  <c r="Q313" i="17"/>
  <c r="R313" i="17" s="1"/>
  <c r="P313" i="17"/>
  <c r="R312" i="17"/>
  <c r="S312" i="17" s="1"/>
  <c r="T312" i="17" s="1"/>
  <c r="P312" i="17"/>
  <c r="Q312" i="17" s="1"/>
  <c r="S311" i="17"/>
  <c r="T311" i="17" s="1"/>
  <c r="Q311" i="17"/>
  <c r="R311" i="17" s="1"/>
  <c r="P311" i="17"/>
  <c r="R310" i="17"/>
  <c r="S310" i="17" s="1"/>
  <c r="T310" i="17" s="1"/>
  <c r="P310" i="17"/>
  <c r="Q310" i="17" s="1"/>
  <c r="S309" i="17"/>
  <c r="T309" i="17" s="1"/>
  <c r="Q309" i="17"/>
  <c r="R309" i="17" s="1"/>
  <c r="P309" i="17"/>
  <c r="R308" i="17"/>
  <c r="S308" i="17" s="1"/>
  <c r="T308" i="17" s="1"/>
  <c r="P308" i="17"/>
  <c r="Q308" i="17" s="1"/>
  <c r="S307" i="17"/>
  <c r="T307" i="17" s="1"/>
  <c r="Q307" i="17"/>
  <c r="R307" i="17" s="1"/>
  <c r="P307" i="17"/>
  <c r="R306" i="17"/>
  <c r="S306" i="17" s="1"/>
  <c r="T306" i="17" s="1"/>
  <c r="P306" i="17"/>
  <c r="Q306" i="17" s="1"/>
  <c r="S305" i="17"/>
  <c r="T305" i="17" s="1"/>
  <c r="Q305" i="17"/>
  <c r="R305" i="17" s="1"/>
  <c r="P305" i="17"/>
  <c r="R304" i="17"/>
  <c r="S304" i="17" s="1"/>
  <c r="T304" i="17" s="1"/>
  <c r="P304" i="17"/>
  <c r="Q304" i="17" s="1"/>
  <c r="S303" i="17"/>
  <c r="T303" i="17" s="1"/>
  <c r="Q303" i="17"/>
  <c r="R303" i="17" s="1"/>
  <c r="P303" i="17"/>
  <c r="R302" i="17"/>
  <c r="S302" i="17" s="1"/>
  <c r="T302" i="17" s="1"/>
  <c r="P302" i="17"/>
  <c r="Q302" i="17" s="1"/>
  <c r="S301" i="17"/>
  <c r="T301" i="17" s="1"/>
  <c r="Q301" i="17"/>
  <c r="R301" i="17" s="1"/>
  <c r="P301" i="17"/>
  <c r="R300" i="17"/>
  <c r="S300" i="17" s="1"/>
  <c r="T300" i="17" s="1"/>
  <c r="P300" i="17"/>
  <c r="Q300" i="17" s="1"/>
  <c r="S299" i="17"/>
  <c r="T299" i="17" s="1"/>
  <c r="Q299" i="17"/>
  <c r="R299" i="17" s="1"/>
  <c r="P299" i="17"/>
  <c r="R298" i="17"/>
  <c r="S298" i="17" s="1"/>
  <c r="T298" i="17" s="1"/>
  <c r="P298" i="17"/>
  <c r="Q298" i="17" s="1"/>
  <c r="S297" i="17"/>
  <c r="T297" i="17" s="1"/>
  <c r="Q297" i="17"/>
  <c r="R297" i="17" s="1"/>
  <c r="P297" i="17"/>
  <c r="R296" i="17"/>
  <c r="S296" i="17" s="1"/>
  <c r="T296" i="17" s="1"/>
  <c r="P296" i="17"/>
  <c r="Q296" i="17" s="1"/>
  <c r="S295" i="17"/>
  <c r="T295" i="17" s="1"/>
  <c r="Q295" i="17"/>
  <c r="R295" i="17" s="1"/>
  <c r="P295" i="17"/>
  <c r="R294" i="17"/>
  <c r="S294" i="17" s="1"/>
  <c r="T294" i="17" s="1"/>
  <c r="P294" i="17"/>
  <c r="Q294" i="17" s="1"/>
  <c r="S293" i="17"/>
  <c r="T293" i="17" s="1"/>
  <c r="Q293" i="17"/>
  <c r="R293" i="17" s="1"/>
  <c r="P293" i="17"/>
  <c r="R292" i="17"/>
  <c r="S292" i="17" s="1"/>
  <c r="T292" i="17" s="1"/>
  <c r="P292" i="17"/>
  <c r="Q292" i="17" s="1"/>
  <c r="S291" i="17"/>
  <c r="T291" i="17" s="1"/>
  <c r="Q291" i="17"/>
  <c r="R291" i="17" s="1"/>
  <c r="P291" i="17"/>
  <c r="R290" i="17"/>
  <c r="S290" i="17" s="1"/>
  <c r="T290" i="17" s="1"/>
  <c r="P290" i="17"/>
  <c r="Q290" i="17" s="1"/>
  <c r="S289" i="17"/>
  <c r="T289" i="17" s="1"/>
  <c r="Q289" i="17"/>
  <c r="R289" i="17" s="1"/>
  <c r="P289" i="17"/>
  <c r="R288" i="17"/>
  <c r="S288" i="17" s="1"/>
  <c r="T288" i="17" s="1"/>
  <c r="P288" i="17"/>
  <c r="Q288" i="17" s="1"/>
  <c r="S287" i="17"/>
  <c r="T287" i="17" s="1"/>
  <c r="Q287" i="17"/>
  <c r="R287" i="17" s="1"/>
  <c r="P287" i="17"/>
  <c r="R286" i="17"/>
  <c r="S286" i="17" s="1"/>
  <c r="T286" i="17" s="1"/>
  <c r="P286" i="17"/>
  <c r="Q286" i="17" s="1"/>
  <c r="P285" i="17"/>
  <c r="Q285" i="17" s="1"/>
  <c r="R285" i="17" s="1"/>
  <c r="S285" i="17" s="1"/>
  <c r="T285" i="17" s="1"/>
  <c r="R284" i="17"/>
  <c r="S284" i="17" s="1"/>
  <c r="T284" i="17" s="1"/>
  <c r="P284" i="17"/>
  <c r="Q284" i="17" s="1"/>
  <c r="R283" i="17"/>
  <c r="S283" i="17" s="1"/>
  <c r="T283" i="17" s="1"/>
  <c r="Q283" i="17"/>
  <c r="P283" i="17"/>
  <c r="P282" i="17"/>
  <c r="Q282" i="17" s="1"/>
  <c r="R282" i="17" s="1"/>
  <c r="S282" i="17" s="1"/>
  <c r="T282" i="17" s="1"/>
  <c r="S281" i="17"/>
  <c r="T281" i="17" s="1"/>
  <c r="P281" i="17"/>
  <c r="Q281" i="17" s="1"/>
  <c r="R281" i="17" s="1"/>
  <c r="P280" i="17"/>
  <c r="Q280" i="17" s="1"/>
  <c r="R280" i="17" s="1"/>
  <c r="S280" i="17" s="1"/>
  <c r="T280" i="17" s="1"/>
  <c r="R279" i="17"/>
  <c r="S279" i="17" s="1"/>
  <c r="T279" i="17" s="1"/>
  <c r="Q279" i="17"/>
  <c r="P279" i="17"/>
  <c r="P278" i="17"/>
  <c r="Q278" i="17" s="1"/>
  <c r="R278" i="17" s="1"/>
  <c r="S278" i="17" s="1"/>
  <c r="T278" i="17" s="1"/>
  <c r="S277" i="17"/>
  <c r="T277" i="17" s="1"/>
  <c r="P277" i="17"/>
  <c r="Q277" i="17" s="1"/>
  <c r="R277" i="17" s="1"/>
  <c r="P276" i="17"/>
  <c r="Q276" i="17" s="1"/>
  <c r="R276" i="17" s="1"/>
  <c r="S276" i="17" s="1"/>
  <c r="T276" i="17" s="1"/>
  <c r="R275" i="17"/>
  <c r="S275" i="17" s="1"/>
  <c r="T275" i="17" s="1"/>
  <c r="Q275" i="17"/>
  <c r="P275" i="17"/>
  <c r="S274" i="17"/>
  <c r="T274" i="17" s="1"/>
  <c r="P274" i="17"/>
  <c r="Q274" i="17" s="1"/>
  <c r="R274" i="17" s="1"/>
  <c r="P273" i="17"/>
  <c r="Q273" i="17" s="1"/>
  <c r="R273" i="17" s="1"/>
  <c r="S273" i="17" s="1"/>
  <c r="T273" i="17" s="1"/>
  <c r="R272" i="17"/>
  <c r="S272" i="17" s="1"/>
  <c r="T272" i="17" s="1"/>
  <c r="P272" i="17"/>
  <c r="Q272" i="17" s="1"/>
  <c r="R271" i="17"/>
  <c r="S271" i="17" s="1"/>
  <c r="T271" i="17" s="1"/>
  <c r="Q271" i="17"/>
  <c r="P271" i="17"/>
  <c r="S270" i="17"/>
  <c r="T270" i="17" s="1"/>
  <c r="P270" i="17"/>
  <c r="Q270" i="17" s="1"/>
  <c r="R270" i="17" s="1"/>
  <c r="P269" i="17"/>
  <c r="Q269" i="17" s="1"/>
  <c r="R269" i="17" s="1"/>
  <c r="S269" i="17" s="1"/>
  <c r="T269" i="17" s="1"/>
  <c r="R268" i="17"/>
  <c r="S268" i="17" s="1"/>
  <c r="T268" i="17" s="1"/>
  <c r="P268" i="17"/>
  <c r="Q268" i="17" s="1"/>
  <c r="R267" i="17"/>
  <c r="S267" i="17" s="1"/>
  <c r="T267" i="17" s="1"/>
  <c r="Q267" i="17"/>
  <c r="P267" i="17"/>
  <c r="P266" i="17"/>
  <c r="Q266" i="17" s="1"/>
  <c r="R266" i="17" s="1"/>
  <c r="S266" i="17" s="1"/>
  <c r="T266" i="17" s="1"/>
  <c r="S265" i="17"/>
  <c r="T265" i="17" s="1"/>
  <c r="P265" i="17"/>
  <c r="Q265" i="17" s="1"/>
  <c r="R265" i="17" s="1"/>
  <c r="P264" i="17"/>
  <c r="Q264" i="17" s="1"/>
  <c r="R264" i="17" s="1"/>
  <c r="S264" i="17" s="1"/>
  <c r="T264" i="17" s="1"/>
  <c r="R263" i="17"/>
  <c r="S263" i="17" s="1"/>
  <c r="T263" i="17" s="1"/>
  <c r="Q263" i="17"/>
  <c r="P263" i="17"/>
  <c r="P262" i="17"/>
  <c r="Q262" i="17" s="1"/>
  <c r="R262" i="17" s="1"/>
  <c r="S262" i="17" s="1"/>
  <c r="T262" i="17" s="1"/>
  <c r="S261" i="17"/>
  <c r="T261" i="17" s="1"/>
  <c r="P261" i="17"/>
  <c r="Q261" i="17" s="1"/>
  <c r="R261" i="17" s="1"/>
  <c r="P260" i="17"/>
  <c r="Q260" i="17" s="1"/>
  <c r="R260" i="17" s="1"/>
  <c r="S260" i="17" s="1"/>
  <c r="T260" i="17" s="1"/>
  <c r="R259" i="17"/>
  <c r="S259" i="17" s="1"/>
  <c r="T259" i="17" s="1"/>
  <c r="Q259" i="17"/>
  <c r="P259" i="17"/>
  <c r="S258" i="17"/>
  <c r="T258" i="17" s="1"/>
  <c r="P258" i="17"/>
  <c r="Q258" i="17" s="1"/>
  <c r="R258" i="17" s="1"/>
  <c r="P257" i="17"/>
  <c r="Q257" i="17" s="1"/>
  <c r="R257" i="17" s="1"/>
  <c r="S257" i="17" s="1"/>
  <c r="T257" i="17" s="1"/>
  <c r="R256" i="17"/>
  <c r="S256" i="17" s="1"/>
  <c r="T256" i="17" s="1"/>
  <c r="P256" i="17"/>
  <c r="Q256" i="17" s="1"/>
  <c r="R255" i="17"/>
  <c r="S255" i="17" s="1"/>
  <c r="T255" i="17" s="1"/>
  <c r="Q255" i="17"/>
  <c r="P255" i="17"/>
  <c r="S254" i="17"/>
  <c r="T254" i="17" s="1"/>
  <c r="P254" i="17"/>
  <c r="Q254" i="17" s="1"/>
  <c r="R254" i="17" s="1"/>
  <c r="P253" i="17"/>
  <c r="Q253" i="17" s="1"/>
  <c r="R253" i="17" s="1"/>
  <c r="S253" i="17" s="1"/>
  <c r="T253" i="17" s="1"/>
  <c r="R252" i="17"/>
  <c r="S252" i="17" s="1"/>
  <c r="T252" i="17" s="1"/>
  <c r="P252" i="17"/>
  <c r="Q252" i="17" s="1"/>
  <c r="R251" i="17"/>
  <c r="S251" i="17" s="1"/>
  <c r="T251" i="17" s="1"/>
  <c r="Q251" i="17"/>
  <c r="P251" i="17"/>
  <c r="P250" i="17"/>
  <c r="Q250" i="17" s="1"/>
  <c r="R250" i="17" s="1"/>
  <c r="S250" i="17" s="1"/>
  <c r="T250" i="17" s="1"/>
  <c r="S249" i="17"/>
  <c r="T249" i="17" s="1"/>
  <c r="P249" i="17"/>
  <c r="Q249" i="17" s="1"/>
  <c r="R249" i="17" s="1"/>
  <c r="P248" i="17"/>
  <c r="Q248" i="17" s="1"/>
  <c r="R248" i="17" s="1"/>
  <c r="S248" i="17" s="1"/>
  <c r="T248" i="17" s="1"/>
  <c r="R247" i="17"/>
  <c r="S247" i="17" s="1"/>
  <c r="T247" i="17" s="1"/>
  <c r="Q247" i="17"/>
  <c r="P247" i="17"/>
  <c r="P246" i="17"/>
  <c r="Q246" i="17" s="1"/>
  <c r="R246" i="17" s="1"/>
  <c r="S246" i="17" s="1"/>
  <c r="T246" i="17" s="1"/>
  <c r="S245" i="17"/>
  <c r="T245" i="17" s="1"/>
  <c r="P245" i="17"/>
  <c r="Q245" i="17" s="1"/>
  <c r="R245" i="17" s="1"/>
  <c r="P244" i="17"/>
  <c r="Q244" i="17" s="1"/>
  <c r="R244" i="17" s="1"/>
  <c r="S244" i="17" s="1"/>
  <c r="T244" i="17" s="1"/>
  <c r="R243" i="17"/>
  <c r="S243" i="17" s="1"/>
  <c r="T243" i="17" s="1"/>
  <c r="Q243" i="17"/>
  <c r="P243" i="17"/>
  <c r="S242" i="17"/>
  <c r="T242" i="17" s="1"/>
  <c r="P242" i="17"/>
  <c r="Q242" i="17" s="1"/>
  <c r="R242" i="17" s="1"/>
  <c r="P241" i="17"/>
  <c r="Q241" i="17" s="1"/>
  <c r="R241" i="17" s="1"/>
  <c r="S241" i="17" s="1"/>
  <c r="T241" i="17" s="1"/>
  <c r="R240" i="17"/>
  <c r="S240" i="17" s="1"/>
  <c r="T240" i="17" s="1"/>
  <c r="P240" i="17"/>
  <c r="Q240" i="17" s="1"/>
  <c r="R239" i="17"/>
  <c r="S239" i="17" s="1"/>
  <c r="T239" i="17" s="1"/>
  <c r="Q239" i="17"/>
  <c r="P239" i="17"/>
  <c r="S238" i="17"/>
  <c r="T238" i="17" s="1"/>
  <c r="P238" i="17"/>
  <c r="Q238" i="17" s="1"/>
  <c r="R238" i="17" s="1"/>
  <c r="P237" i="17"/>
  <c r="Q237" i="17" s="1"/>
  <c r="R237" i="17" s="1"/>
  <c r="S237" i="17" s="1"/>
  <c r="T237" i="17" s="1"/>
  <c r="R236" i="17"/>
  <c r="S236" i="17" s="1"/>
  <c r="T236" i="17" s="1"/>
  <c r="P236" i="17"/>
  <c r="Q236" i="17" s="1"/>
  <c r="R235" i="17"/>
  <c r="S235" i="17" s="1"/>
  <c r="T235" i="17" s="1"/>
  <c r="Q235" i="17"/>
  <c r="P235" i="17"/>
  <c r="P234" i="17"/>
  <c r="Q234" i="17" s="1"/>
  <c r="R234" i="17" s="1"/>
  <c r="S234" i="17" s="1"/>
  <c r="T234" i="17" s="1"/>
  <c r="S233" i="17"/>
  <c r="T233" i="17" s="1"/>
  <c r="P233" i="17"/>
  <c r="Q233" i="17" s="1"/>
  <c r="R233" i="17" s="1"/>
  <c r="P232" i="17"/>
  <c r="Q232" i="17" s="1"/>
  <c r="R232" i="17" s="1"/>
  <c r="S232" i="17" s="1"/>
  <c r="T232" i="17" s="1"/>
  <c r="R231" i="17"/>
  <c r="S231" i="17" s="1"/>
  <c r="T231" i="17" s="1"/>
  <c r="Q231" i="17"/>
  <c r="P231" i="17"/>
  <c r="P230" i="17"/>
  <c r="Q230" i="17" s="1"/>
  <c r="R230" i="17" s="1"/>
  <c r="S230" i="17" s="1"/>
  <c r="T230" i="17" s="1"/>
  <c r="S229" i="17"/>
  <c r="T229" i="17" s="1"/>
  <c r="P229" i="17"/>
  <c r="Q229" i="17" s="1"/>
  <c r="R229" i="17" s="1"/>
  <c r="P228" i="17"/>
  <c r="Q228" i="17" s="1"/>
  <c r="R228" i="17" s="1"/>
  <c r="S228" i="17" s="1"/>
  <c r="T228" i="17" s="1"/>
  <c r="R227" i="17"/>
  <c r="S227" i="17" s="1"/>
  <c r="T227" i="17" s="1"/>
  <c r="Q227" i="17"/>
  <c r="P227" i="17"/>
  <c r="S226" i="17"/>
  <c r="T226" i="17" s="1"/>
  <c r="P226" i="17"/>
  <c r="Q226" i="17" s="1"/>
  <c r="R226" i="17" s="1"/>
  <c r="P225" i="17"/>
  <c r="Q225" i="17" s="1"/>
  <c r="R225" i="17" s="1"/>
  <c r="S225" i="17" s="1"/>
  <c r="T225" i="17" s="1"/>
  <c r="R224" i="17"/>
  <c r="S224" i="17" s="1"/>
  <c r="T224" i="17" s="1"/>
  <c r="P224" i="17"/>
  <c r="Q224" i="17" s="1"/>
  <c r="R223" i="17"/>
  <c r="S223" i="17" s="1"/>
  <c r="T223" i="17" s="1"/>
  <c r="Q223" i="17"/>
  <c r="P223" i="17"/>
  <c r="S222" i="17"/>
  <c r="T222" i="17" s="1"/>
  <c r="P222" i="17"/>
  <c r="Q222" i="17" s="1"/>
  <c r="R222" i="17" s="1"/>
  <c r="P221" i="17"/>
  <c r="Q221" i="17" s="1"/>
  <c r="R221" i="17" s="1"/>
  <c r="S221" i="17" s="1"/>
  <c r="T221" i="17" s="1"/>
  <c r="R220" i="17"/>
  <c r="S220" i="17" s="1"/>
  <c r="T220" i="17" s="1"/>
  <c r="P220" i="17"/>
  <c r="Q220" i="17" s="1"/>
  <c r="R219" i="17"/>
  <c r="S219" i="17" s="1"/>
  <c r="T219" i="17" s="1"/>
  <c r="Q219" i="17"/>
  <c r="P219" i="17"/>
  <c r="P218" i="17"/>
  <c r="Q218" i="17" s="1"/>
  <c r="R218" i="17" s="1"/>
  <c r="S218" i="17" s="1"/>
  <c r="T218" i="17" s="1"/>
  <c r="S217" i="17"/>
  <c r="T217" i="17" s="1"/>
  <c r="P217" i="17"/>
  <c r="Q217" i="17" s="1"/>
  <c r="R217" i="17" s="1"/>
  <c r="P216" i="17"/>
  <c r="Q216" i="17" s="1"/>
  <c r="R216" i="17" s="1"/>
  <c r="S216" i="17" s="1"/>
  <c r="T216" i="17" s="1"/>
  <c r="R215" i="17"/>
  <c r="S215" i="17" s="1"/>
  <c r="T215" i="17" s="1"/>
  <c r="Q215" i="17"/>
  <c r="P215" i="17"/>
  <c r="P214" i="17"/>
  <c r="Q214" i="17" s="1"/>
  <c r="R214" i="17" s="1"/>
  <c r="S214" i="17" s="1"/>
  <c r="T214" i="17" s="1"/>
  <c r="S213" i="17"/>
  <c r="T213" i="17" s="1"/>
  <c r="P213" i="17"/>
  <c r="Q213" i="17" s="1"/>
  <c r="R213" i="17" s="1"/>
  <c r="P212" i="17"/>
  <c r="Q212" i="17" s="1"/>
  <c r="R212" i="17" s="1"/>
  <c r="S212" i="17" s="1"/>
  <c r="T212" i="17" s="1"/>
  <c r="R211" i="17"/>
  <c r="S211" i="17" s="1"/>
  <c r="T211" i="17" s="1"/>
  <c r="Q211" i="17"/>
  <c r="P211" i="17"/>
  <c r="S210" i="17"/>
  <c r="T210" i="17" s="1"/>
  <c r="P210" i="17"/>
  <c r="Q210" i="17" s="1"/>
  <c r="R210" i="17" s="1"/>
  <c r="P209" i="17"/>
  <c r="Q209" i="17" s="1"/>
  <c r="R209" i="17" s="1"/>
  <c r="S209" i="17" s="1"/>
  <c r="T209" i="17" s="1"/>
  <c r="R208" i="17"/>
  <c r="S208" i="17" s="1"/>
  <c r="T208" i="17" s="1"/>
  <c r="P208" i="17"/>
  <c r="Q208" i="17" s="1"/>
  <c r="R207" i="17"/>
  <c r="S207" i="17" s="1"/>
  <c r="T207" i="17" s="1"/>
  <c r="Q207" i="17"/>
  <c r="P207" i="17"/>
  <c r="S206" i="17"/>
  <c r="T206" i="17" s="1"/>
  <c r="P206" i="17"/>
  <c r="Q206" i="17" s="1"/>
  <c r="R206" i="17" s="1"/>
  <c r="P205" i="17"/>
  <c r="Q205" i="17" s="1"/>
  <c r="R205" i="17" s="1"/>
  <c r="S205" i="17" s="1"/>
  <c r="T205" i="17" s="1"/>
  <c r="R204" i="17"/>
  <c r="S204" i="17" s="1"/>
  <c r="T204" i="17" s="1"/>
  <c r="P204" i="17"/>
  <c r="Q204" i="17" s="1"/>
  <c r="R203" i="17"/>
  <c r="S203" i="17" s="1"/>
  <c r="T203" i="17" s="1"/>
  <c r="Q203" i="17"/>
  <c r="P203" i="17"/>
  <c r="P202" i="17"/>
  <c r="Q202" i="17" s="1"/>
  <c r="R202" i="17" s="1"/>
  <c r="S202" i="17" s="1"/>
  <c r="T202" i="17" s="1"/>
  <c r="S201" i="17"/>
  <c r="T201" i="17" s="1"/>
  <c r="P201" i="17"/>
  <c r="Q201" i="17" s="1"/>
  <c r="R201" i="17" s="1"/>
  <c r="P200" i="17"/>
  <c r="Q200" i="17" s="1"/>
  <c r="R200" i="17" s="1"/>
  <c r="S200" i="17" s="1"/>
  <c r="T200" i="17" s="1"/>
  <c r="R199" i="17"/>
  <c r="S199" i="17" s="1"/>
  <c r="T199" i="17" s="1"/>
  <c r="Q199" i="17"/>
  <c r="P199" i="17"/>
  <c r="P198" i="17"/>
  <c r="Q198" i="17" s="1"/>
  <c r="R198" i="17" s="1"/>
  <c r="S198" i="17" s="1"/>
  <c r="T198" i="17" s="1"/>
  <c r="S197" i="17"/>
  <c r="T197" i="17" s="1"/>
  <c r="P197" i="17"/>
  <c r="Q197" i="17" s="1"/>
  <c r="R197" i="17" s="1"/>
  <c r="P196" i="17"/>
  <c r="Q196" i="17" s="1"/>
  <c r="R196" i="17" s="1"/>
  <c r="S196" i="17" s="1"/>
  <c r="T196" i="17" s="1"/>
  <c r="R195" i="17"/>
  <c r="S195" i="17" s="1"/>
  <c r="T195" i="17" s="1"/>
  <c r="Q195" i="17"/>
  <c r="P195" i="17"/>
  <c r="S194" i="17"/>
  <c r="T194" i="17" s="1"/>
  <c r="P194" i="17"/>
  <c r="Q194" i="17" s="1"/>
  <c r="R194" i="17" s="1"/>
  <c r="P193" i="17"/>
  <c r="Q193" i="17" s="1"/>
  <c r="R193" i="17" s="1"/>
  <c r="S193" i="17" s="1"/>
  <c r="T193" i="17" s="1"/>
  <c r="R192" i="17"/>
  <c r="S192" i="17" s="1"/>
  <c r="T192" i="17" s="1"/>
  <c r="P192" i="17"/>
  <c r="Q192" i="17" s="1"/>
  <c r="R191" i="17"/>
  <c r="S191" i="17" s="1"/>
  <c r="T191" i="17" s="1"/>
  <c r="Q191" i="17"/>
  <c r="P191" i="17"/>
  <c r="S190" i="17"/>
  <c r="T190" i="17" s="1"/>
  <c r="P190" i="17"/>
  <c r="Q190" i="17" s="1"/>
  <c r="R190" i="17" s="1"/>
  <c r="P189" i="17"/>
  <c r="Q189" i="17" s="1"/>
  <c r="R189" i="17" s="1"/>
  <c r="S189" i="17" s="1"/>
  <c r="T189" i="17" s="1"/>
  <c r="R188" i="17"/>
  <c r="S188" i="17" s="1"/>
  <c r="T188" i="17" s="1"/>
  <c r="P188" i="17"/>
  <c r="Q188" i="17" s="1"/>
  <c r="R187" i="17"/>
  <c r="S187" i="17" s="1"/>
  <c r="T187" i="17" s="1"/>
  <c r="Q187" i="17"/>
  <c r="P187" i="17"/>
  <c r="P186" i="17"/>
  <c r="Q186" i="17" s="1"/>
  <c r="R186" i="17" s="1"/>
  <c r="S186" i="17" s="1"/>
  <c r="T186" i="17" s="1"/>
  <c r="S185" i="17"/>
  <c r="T185" i="17" s="1"/>
  <c r="P185" i="17"/>
  <c r="Q185" i="17" s="1"/>
  <c r="R185" i="17" s="1"/>
  <c r="P184" i="17"/>
  <c r="Q184" i="17" s="1"/>
  <c r="R184" i="17" s="1"/>
  <c r="S184" i="17" s="1"/>
  <c r="T184" i="17" s="1"/>
  <c r="R183" i="17"/>
  <c r="S183" i="17" s="1"/>
  <c r="T183" i="17" s="1"/>
  <c r="Q183" i="17"/>
  <c r="P183" i="17"/>
  <c r="P182" i="17"/>
  <c r="Q182" i="17" s="1"/>
  <c r="R182" i="17" s="1"/>
  <c r="S182" i="17" s="1"/>
  <c r="T182" i="17" s="1"/>
  <c r="S181" i="17"/>
  <c r="T181" i="17" s="1"/>
  <c r="P181" i="17"/>
  <c r="Q181" i="17" s="1"/>
  <c r="R181" i="17" s="1"/>
  <c r="P180" i="17"/>
  <c r="Q180" i="17" s="1"/>
  <c r="R180" i="17" s="1"/>
  <c r="S180" i="17" s="1"/>
  <c r="T180" i="17" s="1"/>
  <c r="R179" i="17"/>
  <c r="S179" i="17" s="1"/>
  <c r="T179" i="17" s="1"/>
  <c r="Q179" i="17"/>
  <c r="P179" i="17"/>
  <c r="S178" i="17"/>
  <c r="T178" i="17" s="1"/>
  <c r="P178" i="17"/>
  <c r="Q178" i="17" s="1"/>
  <c r="R178" i="17" s="1"/>
  <c r="P177" i="17"/>
  <c r="Q177" i="17" s="1"/>
  <c r="R177" i="17" s="1"/>
  <c r="S177" i="17" s="1"/>
  <c r="T177" i="17" s="1"/>
  <c r="R176" i="17"/>
  <c r="S176" i="17" s="1"/>
  <c r="T176" i="17" s="1"/>
  <c r="P176" i="17"/>
  <c r="Q176" i="17" s="1"/>
  <c r="R175" i="17"/>
  <c r="S175" i="17" s="1"/>
  <c r="T175" i="17" s="1"/>
  <c r="Q175" i="17"/>
  <c r="P175" i="17"/>
  <c r="S174" i="17"/>
  <c r="T174" i="17" s="1"/>
  <c r="P174" i="17"/>
  <c r="Q174" i="17" s="1"/>
  <c r="R174" i="17" s="1"/>
  <c r="P173" i="17"/>
  <c r="Q173" i="17" s="1"/>
  <c r="R173" i="17" s="1"/>
  <c r="S173" i="17" s="1"/>
  <c r="T173" i="17" s="1"/>
  <c r="R172" i="17"/>
  <c r="S172" i="17" s="1"/>
  <c r="T172" i="17" s="1"/>
  <c r="P172" i="17"/>
  <c r="Q172" i="17" s="1"/>
  <c r="R171" i="17"/>
  <c r="S171" i="17" s="1"/>
  <c r="T171" i="17" s="1"/>
  <c r="Q171" i="17"/>
  <c r="P171" i="17"/>
  <c r="P170" i="17"/>
  <c r="Q170" i="17" s="1"/>
  <c r="R170" i="17" s="1"/>
  <c r="S170" i="17" s="1"/>
  <c r="T170" i="17" s="1"/>
  <c r="S169" i="17"/>
  <c r="T169" i="17" s="1"/>
  <c r="P169" i="17"/>
  <c r="Q169" i="17" s="1"/>
  <c r="R169" i="17" s="1"/>
  <c r="P168" i="17"/>
  <c r="Q168" i="17" s="1"/>
  <c r="R168" i="17" s="1"/>
  <c r="S168" i="17" s="1"/>
  <c r="T168" i="17" s="1"/>
  <c r="R167" i="17"/>
  <c r="S167" i="17" s="1"/>
  <c r="T167" i="17" s="1"/>
  <c r="Q167" i="17"/>
  <c r="P167" i="17"/>
  <c r="P166" i="17"/>
  <c r="Q166" i="17" s="1"/>
  <c r="R166" i="17" s="1"/>
  <c r="S166" i="17" s="1"/>
  <c r="T166" i="17" s="1"/>
  <c r="S165" i="17"/>
  <c r="T165" i="17" s="1"/>
  <c r="P165" i="17"/>
  <c r="Q165" i="17" s="1"/>
  <c r="R165" i="17" s="1"/>
  <c r="P164" i="17"/>
  <c r="Q164" i="17" s="1"/>
  <c r="R164" i="17" s="1"/>
  <c r="S164" i="17" s="1"/>
  <c r="T164" i="17" s="1"/>
  <c r="R163" i="17"/>
  <c r="S163" i="17" s="1"/>
  <c r="T163" i="17" s="1"/>
  <c r="Q163" i="17"/>
  <c r="P163" i="17"/>
  <c r="S162" i="17"/>
  <c r="T162" i="17" s="1"/>
  <c r="P162" i="17"/>
  <c r="Q162" i="17" s="1"/>
  <c r="R162" i="17" s="1"/>
  <c r="P161" i="17"/>
  <c r="Q161" i="17" s="1"/>
  <c r="R161" i="17" s="1"/>
  <c r="S161" i="17" s="1"/>
  <c r="T161" i="17" s="1"/>
  <c r="R160" i="17"/>
  <c r="S160" i="17" s="1"/>
  <c r="T160" i="17" s="1"/>
  <c r="P160" i="17"/>
  <c r="Q160" i="17" s="1"/>
  <c r="R159" i="17"/>
  <c r="S159" i="17" s="1"/>
  <c r="T159" i="17" s="1"/>
  <c r="Q159" i="17"/>
  <c r="P159" i="17"/>
  <c r="S158" i="17"/>
  <c r="T158" i="17" s="1"/>
  <c r="P158" i="17"/>
  <c r="Q158" i="17" s="1"/>
  <c r="R158" i="17" s="1"/>
  <c r="P157" i="17"/>
  <c r="Q157" i="17" s="1"/>
  <c r="R157" i="17" s="1"/>
  <c r="S157" i="17" s="1"/>
  <c r="T157" i="17" s="1"/>
  <c r="R156" i="17"/>
  <c r="S156" i="17" s="1"/>
  <c r="T156" i="17" s="1"/>
  <c r="P156" i="17"/>
  <c r="Q156" i="17" s="1"/>
  <c r="R155" i="17"/>
  <c r="S155" i="17" s="1"/>
  <c r="T155" i="17" s="1"/>
  <c r="Q155" i="17"/>
  <c r="P155" i="17"/>
  <c r="P154" i="17"/>
  <c r="Q154" i="17" s="1"/>
  <c r="R154" i="17" s="1"/>
  <c r="S154" i="17" s="1"/>
  <c r="T154" i="17" s="1"/>
  <c r="S153" i="17"/>
  <c r="T153" i="17" s="1"/>
  <c r="P153" i="17"/>
  <c r="Q153" i="17" s="1"/>
  <c r="R153" i="17" s="1"/>
  <c r="P152" i="17"/>
  <c r="Q152" i="17" s="1"/>
  <c r="R152" i="17" s="1"/>
  <c r="S152" i="17" s="1"/>
  <c r="T152" i="17" s="1"/>
  <c r="R151" i="17"/>
  <c r="S151" i="17" s="1"/>
  <c r="T151" i="17" s="1"/>
  <c r="Q151" i="17"/>
  <c r="P151" i="17"/>
  <c r="P150" i="17"/>
  <c r="Q150" i="17" s="1"/>
  <c r="R150" i="17" s="1"/>
  <c r="S150" i="17" s="1"/>
  <c r="T150" i="17" s="1"/>
  <c r="S149" i="17"/>
  <c r="T149" i="17" s="1"/>
  <c r="P149" i="17"/>
  <c r="Q149" i="17" s="1"/>
  <c r="R149" i="17" s="1"/>
  <c r="P148" i="17"/>
  <c r="Q148" i="17" s="1"/>
  <c r="R148" i="17" s="1"/>
  <c r="S148" i="17" s="1"/>
  <c r="T148" i="17" s="1"/>
  <c r="R147" i="17"/>
  <c r="S147" i="17" s="1"/>
  <c r="T147" i="17" s="1"/>
  <c r="Q147" i="17"/>
  <c r="P147" i="17"/>
  <c r="S146" i="17"/>
  <c r="T146" i="17" s="1"/>
  <c r="P146" i="17"/>
  <c r="Q146" i="17" s="1"/>
  <c r="R146" i="17" s="1"/>
  <c r="P145" i="17"/>
  <c r="Q145" i="17" s="1"/>
  <c r="R145" i="17" s="1"/>
  <c r="S145" i="17" s="1"/>
  <c r="T145" i="17" s="1"/>
  <c r="R144" i="17"/>
  <c r="S144" i="17" s="1"/>
  <c r="T144" i="17" s="1"/>
  <c r="P144" i="17"/>
  <c r="Q144" i="17" s="1"/>
  <c r="R143" i="17"/>
  <c r="S143" i="17" s="1"/>
  <c r="T143" i="17" s="1"/>
  <c r="Q143" i="17"/>
  <c r="P143" i="17"/>
  <c r="S142" i="17"/>
  <c r="T142" i="17" s="1"/>
  <c r="P142" i="17"/>
  <c r="Q142" i="17" s="1"/>
  <c r="R142" i="17" s="1"/>
  <c r="P141" i="17"/>
  <c r="Q141" i="17" s="1"/>
  <c r="R141" i="17" s="1"/>
  <c r="S141" i="17" s="1"/>
  <c r="T141" i="17" s="1"/>
  <c r="R140" i="17"/>
  <c r="S140" i="17" s="1"/>
  <c r="T140" i="17" s="1"/>
  <c r="P140" i="17"/>
  <c r="Q140" i="17" s="1"/>
  <c r="R139" i="17"/>
  <c r="S139" i="17" s="1"/>
  <c r="T139" i="17" s="1"/>
  <c r="Q139" i="17"/>
  <c r="P139" i="17"/>
  <c r="P138" i="17"/>
  <c r="Q138" i="17" s="1"/>
  <c r="R138" i="17" s="1"/>
  <c r="S138" i="17" s="1"/>
  <c r="T138" i="17" s="1"/>
  <c r="S137" i="17"/>
  <c r="T137" i="17" s="1"/>
  <c r="P137" i="17"/>
  <c r="Q137" i="17" s="1"/>
  <c r="R137" i="17" s="1"/>
  <c r="P136" i="17"/>
  <c r="Q136" i="17" s="1"/>
  <c r="R136" i="17" s="1"/>
  <c r="S136" i="17" s="1"/>
  <c r="T136" i="17" s="1"/>
  <c r="R135" i="17"/>
  <c r="S135" i="17" s="1"/>
  <c r="T135" i="17" s="1"/>
  <c r="Q135" i="17"/>
  <c r="P135" i="17"/>
  <c r="P134" i="17"/>
  <c r="Q134" i="17" s="1"/>
  <c r="R134" i="17" s="1"/>
  <c r="S134" i="17" s="1"/>
  <c r="T134" i="17" s="1"/>
  <c r="S133" i="17"/>
  <c r="T133" i="17" s="1"/>
  <c r="P133" i="17"/>
  <c r="Q133" i="17" s="1"/>
  <c r="R133" i="17" s="1"/>
  <c r="P132" i="17"/>
  <c r="Q132" i="17" s="1"/>
  <c r="R132" i="17" s="1"/>
  <c r="S132" i="17" s="1"/>
  <c r="T132" i="17" s="1"/>
  <c r="R131" i="17"/>
  <c r="S131" i="17" s="1"/>
  <c r="T131" i="17" s="1"/>
  <c r="Q131" i="17"/>
  <c r="P131" i="17"/>
  <c r="S130" i="17"/>
  <c r="T130" i="17" s="1"/>
  <c r="P130" i="17"/>
  <c r="Q130" i="17" s="1"/>
  <c r="R130" i="17" s="1"/>
  <c r="P129" i="17"/>
  <c r="Q129" i="17" s="1"/>
  <c r="R129" i="17" s="1"/>
  <c r="S129" i="17" s="1"/>
  <c r="T129" i="17" s="1"/>
  <c r="R128" i="17"/>
  <c r="S128" i="17" s="1"/>
  <c r="T128" i="17" s="1"/>
  <c r="P128" i="17"/>
  <c r="Q128" i="17" s="1"/>
  <c r="R127" i="17"/>
  <c r="S127" i="17" s="1"/>
  <c r="T127" i="17" s="1"/>
  <c r="Q127" i="17"/>
  <c r="P127" i="17"/>
  <c r="S126" i="17"/>
  <c r="T126" i="17" s="1"/>
  <c r="P126" i="17"/>
  <c r="Q126" i="17" s="1"/>
  <c r="R126" i="17" s="1"/>
  <c r="P125" i="17"/>
  <c r="Q125" i="17" s="1"/>
  <c r="R125" i="17" s="1"/>
  <c r="S125" i="17" s="1"/>
  <c r="T125" i="17" s="1"/>
  <c r="R124" i="17"/>
  <c r="S124" i="17" s="1"/>
  <c r="T124" i="17" s="1"/>
  <c r="P124" i="17"/>
  <c r="Q124" i="17" s="1"/>
  <c r="R123" i="17"/>
  <c r="S123" i="17" s="1"/>
  <c r="T123" i="17" s="1"/>
  <c r="Q123" i="17"/>
  <c r="P123" i="17"/>
  <c r="P122" i="17"/>
  <c r="Q122" i="17" s="1"/>
  <c r="R122" i="17" s="1"/>
  <c r="S122" i="17" s="1"/>
  <c r="T122" i="17" s="1"/>
  <c r="P121" i="17"/>
  <c r="Q121" i="17" s="1"/>
  <c r="R121" i="17" s="1"/>
  <c r="S121" i="17" s="1"/>
  <c r="T121" i="17" s="1"/>
  <c r="P120" i="17"/>
  <c r="Q120" i="17" s="1"/>
  <c r="R120" i="17" s="1"/>
  <c r="S120" i="17" s="1"/>
  <c r="T120" i="17" s="1"/>
  <c r="R119" i="17"/>
  <c r="S119" i="17" s="1"/>
  <c r="T119" i="17" s="1"/>
  <c r="Q119" i="17"/>
  <c r="P119" i="17"/>
  <c r="P118" i="17"/>
  <c r="Q118" i="17" s="1"/>
  <c r="R118" i="17" s="1"/>
  <c r="S118" i="17" s="1"/>
  <c r="T118" i="17" s="1"/>
  <c r="S117" i="17"/>
  <c r="T117" i="17" s="1"/>
  <c r="P117" i="17"/>
  <c r="Q117" i="17" s="1"/>
  <c r="R117" i="17" s="1"/>
  <c r="P116" i="17"/>
  <c r="Q116" i="17" s="1"/>
  <c r="R116" i="17" s="1"/>
  <c r="S116" i="17" s="1"/>
  <c r="T116" i="17" s="1"/>
  <c r="R115" i="17"/>
  <c r="S115" i="17" s="1"/>
  <c r="T115" i="17" s="1"/>
  <c r="Q115" i="17"/>
  <c r="P115" i="17"/>
  <c r="P114" i="17"/>
  <c r="Q114" i="17" s="1"/>
  <c r="R114" i="17" s="1"/>
  <c r="S114" i="17" s="1"/>
  <c r="T114" i="17" s="1"/>
  <c r="P113" i="17"/>
  <c r="Q113" i="17" s="1"/>
  <c r="R113" i="17" s="1"/>
  <c r="S113" i="17" s="1"/>
  <c r="T113" i="17" s="1"/>
  <c r="P112" i="17"/>
  <c r="Q112" i="17" s="1"/>
  <c r="R112" i="17" s="1"/>
  <c r="S112" i="17" s="1"/>
  <c r="T112" i="17" s="1"/>
  <c r="R111" i="17"/>
  <c r="S111" i="17" s="1"/>
  <c r="T111" i="17" s="1"/>
  <c r="Q111" i="17"/>
  <c r="P111" i="17"/>
  <c r="S110" i="17"/>
  <c r="T110" i="17" s="1"/>
  <c r="P110" i="17"/>
  <c r="Q110" i="17" s="1"/>
  <c r="R110" i="17" s="1"/>
  <c r="P109" i="17"/>
  <c r="Q109" i="17" s="1"/>
  <c r="R109" i="17" s="1"/>
  <c r="S109" i="17" s="1"/>
  <c r="T109" i="17" s="1"/>
  <c r="R108" i="17"/>
  <c r="S108" i="17" s="1"/>
  <c r="T108" i="17" s="1"/>
  <c r="P108" i="17"/>
  <c r="Q108" i="17" s="1"/>
  <c r="R107" i="17"/>
  <c r="S107" i="17" s="1"/>
  <c r="T107" i="17" s="1"/>
  <c r="Q107" i="17"/>
  <c r="P107" i="17"/>
  <c r="P106" i="17"/>
  <c r="Q106" i="17" s="1"/>
  <c r="R106" i="17" s="1"/>
  <c r="S106" i="17" s="1"/>
  <c r="T106" i="17" s="1"/>
  <c r="S105" i="17"/>
  <c r="T105" i="17" s="1"/>
  <c r="P105" i="17"/>
  <c r="Q105" i="17" s="1"/>
  <c r="R105" i="17" s="1"/>
  <c r="P104" i="17"/>
  <c r="Q104" i="17" s="1"/>
  <c r="R104" i="17" s="1"/>
  <c r="S104" i="17" s="1"/>
  <c r="T104" i="17" s="1"/>
  <c r="R103" i="17"/>
  <c r="S103" i="17" s="1"/>
  <c r="T103" i="17" s="1"/>
  <c r="Q103" i="17"/>
  <c r="P103" i="17"/>
  <c r="P102" i="17"/>
  <c r="Q102" i="17" s="1"/>
  <c r="R102" i="17" s="1"/>
  <c r="S102" i="17" s="1"/>
  <c r="T102" i="17" s="1"/>
  <c r="S101" i="17"/>
  <c r="T101" i="17" s="1"/>
  <c r="P101" i="17"/>
  <c r="Q101" i="17" s="1"/>
  <c r="R101" i="17" s="1"/>
  <c r="P100" i="17"/>
  <c r="Q100" i="17" s="1"/>
  <c r="R100" i="17" s="1"/>
  <c r="S100" i="17" s="1"/>
  <c r="T100" i="17" s="1"/>
  <c r="R99" i="17"/>
  <c r="S99" i="17" s="1"/>
  <c r="T99" i="17" s="1"/>
  <c r="Q99" i="17"/>
  <c r="P99" i="17"/>
  <c r="S98" i="17"/>
  <c r="T98" i="17" s="1"/>
  <c r="P98" i="17"/>
  <c r="Q98" i="17" s="1"/>
  <c r="R98" i="17" s="1"/>
  <c r="P97" i="17"/>
  <c r="Q97" i="17" s="1"/>
  <c r="R97" i="17" s="1"/>
  <c r="S97" i="17" s="1"/>
  <c r="T97" i="17" s="1"/>
  <c r="R96" i="17"/>
  <c r="S96" i="17" s="1"/>
  <c r="T96" i="17" s="1"/>
  <c r="P96" i="17"/>
  <c r="Q96" i="17" s="1"/>
  <c r="R95" i="17"/>
  <c r="S95" i="17" s="1"/>
  <c r="T95" i="17" s="1"/>
  <c r="Q95" i="17"/>
  <c r="P95" i="17"/>
  <c r="S94" i="17"/>
  <c r="T94" i="17" s="1"/>
  <c r="P94" i="17"/>
  <c r="Q94" i="17" s="1"/>
  <c r="R94" i="17" s="1"/>
  <c r="P93" i="17"/>
  <c r="Q93" i="17" s="1"/>
  <c r="R93" i="17" s="1"/>
  <c r="S93" i="17" s="1"/>
  <c r="T93" i="17" s="1"/>
  <c r="R92" i="17"/>
  <c r="S92" i="17" s="1"/>
  <c r="T92" i="17" s="1"/>
  <c r="P92" i="17"/>
  <c r="Q92" i="17" s="1"/>
  <c r="R91" i="17"/>
  <c r="S91" i="17" s="1"/>
  <c r="T91" i="17" s="1"/>
  <c r="Q91" i="17"/>
  <c r="P91" i="17"/>
  <c r="P90" i="17"/>
  <c r="Q90" i="17" s="1"/>
  <c r="R90" i="17" s="1"/>
  <c r="S90" i="17" s="1"/>
  <c r="T90" i="17" s="1"/>
  <c r="P89" i="17"/>
  <c r="Q89" i="17" s="1"/>
  <c r="R89" i="17" s="1"/>
  <c r="S89" i="17" s="1"/>
  <c r="T89" i="17" s="1"/>
  <c r="P88" i="17"/>
  <c r="Q88" i="17" s="1"/>
  <c r="R88" i="17" s="1"/>
  <c r="S88" i="17" s="1"/>
  <c r="T88" i="17" s="1"/>
  <c r="R87" i="17"/>
  <c r="S87" i="17" s="1"/>
  <c r="T87" i="17" s="1"/>
  <c r="Q87" i="17"/>
  <c r="P87" i="17"/>
  <c r="P86" i="17"/>
  <c r="Q86" i="17" s="1"/>
  <c r="R86" i="17" s="1"/>
  <c r="S86" i="17" s="1"/>
  <c r="T86" i="17" s="1"/>
  <c r="S85" i="17"/>
  <c r="T85" i="17" s="1"/>
  <c r="P85" i="17"/>
  <c r="Q85" i="17" s="1"/>
  <c r="R85" i="17" s="1"/>
  <c r="P84" i="17"/>
  <c r="Q84" i="17" s="1"/>
  <c r="R84" i="17" s="1"/>
  <c r="S84" i="17" s="1"/>
  <c r="T84" i="17" s="1"/>
  <c r="R83" i="17"/>
  <c r="S83" i="17" s="1"/>
  <c r="T83" i="17" s="1"/>
  <c r="Q83" i="17"/>
  <c r="P83" i="17"/>
  <c r="P82" i="17"/>
  <c r="Q82" i="17" s="1"/>
  <c r="R82" i="17" s="1"/>
  <c r="S82" i="17" s="1"/>
  <c r="T82" i="17" s="1"/>
  <c r="P81" i="17"/>
  <c r="Q81" i="17" s="1"/>
  <c r="R81" i="17" s="1"/>
  <c r="S81" i="17" s="1"/>
  <c r="T81" i="17" s="1"/>
  <c r="P80" i="17"/>
  <c r="Q80" i="17" s="1"/>
  <c r="R80" i="17" s="1"/>
  <c r="S80" i="17" s="1"/>
  <c r="T80" i="17" s="1"/>
  <c r="R79" i="17"/>
  <c r="S79" i="17" s="1"/>
  <c r="T79" i="17" s="1"/>
  <c r="Q79" i="17"/>
  <c r="P79" i="17"/>
  <c r="S78" i="17"/>
  <c r="T78" i="17" s="1"/>
  <c r="P78" i="17"/>
  <c r="Q78" i="17" s="1"/>
  <c r="R78" i="17" s="1"/>
  <c r="P77" i="17"/>
  <c r="Q77" i="17" s="1"/>
  <c r="R77" i="17" s="1"/>
  <c r="S77" i="17" s="1"/>
  <c r="T77" i="17" s="1"/>
  <c r="R76" i="17"/>
  <c r="S76" i="17" s="1"/>
  <c r="T76" i="17" s="1"/>
  <c r="P76" i="17"/>
  <c r="Q76" i="17" s="1"/>
  <c r="R75" i="17"/>
  <c r="S75" i="17" s="1"/>
  <c r="T75" i="17" s="1"/>
  <c r="Q75" i="17"/>
  <c r="P75" i="17"/>
  <c r="P74" i="17"/>
  <c r="Q74" i="17" s="1"/>
  <c r="R74" i="17" s="1"/>
  <c r="S74" i="17" s="1"/>
  <c r="T74" i="17" s="1"/>
  <c r="S73" i="17"/>
  <c r="T73" i="17" s="1"/>
  <c r="P73" i="17"/>
  <c r="Q73" i="17" s="1"/>
  <c r="R73" i="17" s="1"/>
  <c r="P72" i="17"/>
  <c r="Q72" i="17" s="1"/>
  <c r="R72" i="17" s="1"/>
  <c r="S72" i="17" s="1"/>
  <c r="T72" i="17" s="1"/>
  <c r="R71" i="17"/>
  <c r="S71" i="17" s="1"/>
  <c r="T71" i="17" s="1"/>
  <c r="Q71" i="17"/>
  <c r="P71" i="17"/>
  <c r="P70" i="17"/>
  <c r="Q70" i="17" s="1"/>
  <c r="R70" i="17" s="1"/>
  <c r="S70" i="17" s="1"/>
  <c r="T70" i="17" s="1"/>
  <c r="S69" i="17"/>
  <c r="T69" i="17" s="1"/>
  <c r="P69" i="17"/>
  <c r="Q69" i="17" s="1"/>
  <c r="R69" i="17" s="1"/>
  <c r="P68" i="17"/>
  <c r="Q68" i="17" s="1"/>
  <c r="R68" i="17" s="1"/>
  <c r="S68" i="17" s="1"/>
  <c r="T68" i="17" s="1"/>
  <c r="R67" i="17"/>
  <c r="S67" i="17" s="1"/>
  <c r="T67" i="17" s="1"/>
  <c r="Q67" i="17"/>
  <c r="P67" i="17"/>
  <c r="S66" i="17"/>
  <c r="T66" i="17" s="1"/>
  <c r="P66" i="17"/>
  <c r="Q66" i="17" s="1"/>
  <c r="R66" i="17" s="1"/>
  <c r="P65" i="17"/>
  <c r="Q65" i="17" s="1"/>
  <c r="R65" i="17" s="1"/>
  <c r="S65" i="17" s="1"/>
  <c r="T65" i="17" s="1"/>
  <c r="R64" i="17"/>
  <c r="S64" i="17" s="1"/>
  <c r="T64" i="17" s="1"/>
  <c r="P64" i="17"/>
  <c r="Q64" i="17" s="1"/>
  <c r="R63" i="17"/>
  <c r="S63" i="17" s="1"/>
  <c r="T63" i="17" s="1"/>
  <c r="Q63" i="17"/>
  <c r="P63" i="17"/>
  <c r="S62" i="17"/>
  <c r="T62" i="17" s="1"/>
  <c r="P62" i="17"/>
  <c r="Q62" i="17" s="1"/>
  <c r="R62" i="17" s="1"/>
  <c r="P61" i="17"/>
  <c r="Q61" i="17" s="1"/>
  <c r="R61" i="17" s="1"/>
  <c r="S61" i="17" s="1"/>
  <c r="T61" i="17" s="1"/>
  <c r="R60" i="17"/>
  <c r="S60" i="17" s="1"/>
  <c r="T60" i="17" s="1"/>
  <c r="P60" i="17"/>
  <c r="Q60" i="17" s="1"/>
  <c r="R59" i="17"/>
  <c r="S59" i="17" s="1"/>
  <c r="T59" i="17" s="1"/>
  <c r="Q59" i="17"/>
  <c r="P59" i="17"/>
  <c r="P58" i="17"/>
  <c r="Q58" i="17" s="1"/>
  <c r="R58" i="17" s="1"/>
  <c r="S58" i="17" s="1"/>
  <c r="T58" i="17" s="1"/>
  <c r="P57" i="17"/>
  <c r="Q57" i="17" s="1"/>
  <c r="R57" i="17" s="1"/>
  <c r="S57" i="17" s="1"/>
  <c r="T57" i="17" s="1"/>
  <c r="P56" i="17"/>
  <c r="Q56" i="17" s="1"/>
  <c r="R56" i="17" s="1"/>
  <c r="S56" i="17" s="1"/>
  <c r="T56" i="17" s="1"/>
  <c r="R55" i="17"/>
  <c r="S55" i="17" s="1"/>
  <c r="T55" i="17" s="1"/>
  <c r="P55" i="17"/>
  <c r="Q55" i="17" s="1"/>
  <c r="Q54" i="17"/>
  <c r="R54" i="17" s="1"/>
  <c r="S54" i="17" s="1"/>
  <c r="T54" i="17" s="1"/>
  <c r="P54" i="17"/>
  <c r="T53" i="17"/>
  <c r="P53" i="17"/>
  <c r="Q53" i="17" s="1"/>
  <c r="R53" i="17" s="1"/>
  <c r="S53" i="17" s="1"/>
  <c r="S52" i="17"/>
  <c r="T52" i="17" s="1"/>
  <c r="Q52" i="17"/>
  <c r="R52" i="17" s="1"/>
  <c r="P52" i="17"/>
  <c r="P51" i="17"/>
  <c r="Q51" i="17" s="1"/>
  <c r="R51" i="17" s="1"/>
  <c r="S51" i="17" s="1"/>
  <c r="T51" i="17" s="1"/>
  <c r="Q50" i="17"/>
  <c r="R50" i="17" s="1"/>
  <c r="S50" i="17" s="1"/>
  <c r="T50" i="17" s="1"/>
  <c r="P50" i="17"/>
  <c r="P49" i="17"/>
  <c r="Q49" i="17" s="1"/>
  <c r="R49" i="17" s="1"/>
  <c r="S49" i="17" s="1"/>
  <c r="T49" i="17" s="1"/>
  <c r="Q48" i="17"/>
  <c r="R48" i="17" s="1"/>
  <c r="S48" i="17" s="1"/>
  <c r="T48" i="17" s="1"/>
  <c r="P48" i="17"/>
  <c r="P47" i="17"/>
  <c r="Q47" i="17" s="1"/>
  <c r="R47" i="17" s="1"/>
  <c r="S47" i="17" s="1"/>
  <c r="T47" i="17" s="1"/>
  <c r="Q46" i="17"/>
  <c r="R46" i="17" s="1"/>
  <c r="S46" i="17" s="1"/>
  <c r="T46" i="17" s="1"/>
  <c r="P46" i="17"/>
  <c r="P45" i="17"/>
  <c r="Q45" i="17" s="1"/>
  <c r="R45" i="17" s="1"/>
  <c r="S45" i="17" s="1"/>
  <c r="T45" i="17" s="1"/>
  <c r="S44" i="17"/>
  <c r="T44" i="17" s="1"/>
  <c r="Q44" i="17"/>
  <c r="R44" i="17" s="1"/>
  <c r="P44" i="17"/>
  <c r="P43" i="17"/>
  <c r="Q43" i="17" s="1"/>
  <c r="R43" i="17" s="1"/>
  <c r="S43" i="17" s="1"/>
  <c r="T43" i="17" s="1"/>
  <c r="Q42" i="17"/>
  <c r="R42" i="17" s="1"/>
  <c r="S42" i="17" s="1"/>
  <c r="T42" i="17" s="1"/>
  <c r="P42" i="17"/>
  <c r="P41" i="17"/>
  <c r="Q41" i="17" s="1"/>
  <c r="R41" i="17" s="1"/>
  <c r="S41" i="17" s="1"/>
  <c r="T41" i="17" s="1"/>
  <c r="Q40" i="17"/>
  <c r="R40" i="17" s="1"/>
  <c r="S40" i="17" s="1"/>
  <c r="T40" i="17" s="1"/>
  <c r="P40" i="17"/>
  <c r="R39" i="17"/>
  <c r="S39" i="17" s="1"/>
  <c r="T39" i="17" s="1"/>
  <c r="P39" i="17"/>
  <c r="Q39" i="17" s="1"/>
  <c r="Q38" i="17"/>
  <c r="R38" i="17" s="1"/>
  <c r="S38" i="17" s="1"/>
  <c r="T38" i="17" s="1"/>
  <c r="P38" i="17"/>
  <c r="T37" i="17"/>
  <c r="P37" i="17"/>
  <c r="Q37" i="17" s="1"/>
  <c r="R37" i="17" s="1"/>
  <c r="S37" i="17" s="1"/>
  <c r="Q36" i="17"/>
  <c r="R36" i="17" s="1"/>
  <c r="S36" i="17" s="1"/>
  <c r="T36" i="17" s="1"/>
  <c r="P36" i="17"/>
  <c r="P35" i="17"/>
  <c r="Q35" i="17" s="1"/>
  <c r="R35" i="17" s="1"/>
  <c r="S35" i="17" s="1"/>
  <c r="T35" i="17" s="1"/>
  <c r="Q34" i="17"/>
  <c r="R34" i="17" s="1"/>
  <c r="S34" i="17" s="1"/>
  <c r="T34" i="17" s="1"/>
  <c r="P34" i="17"/>
  <c r="P33" i="17"/>
  <c r="Q33" i="17" s="1"/>
  <c r="R33" i="17" s="1"/>
  <c r="S33" i="17" s="1"/>
  <c r="T33" i="17" s="1"/>
  <c r="S32" i="17"/>
  <c r="T32" i="17" s="1"/>
  <c r="Q32" i="17"/>
  <c r="R32" i="17" s="1"/>
  <c r="P32" i="17"/>
  <c r="P31" i="17"/>
  <c r="Q31" i="17" s="1"/>
  <c r="R31" i="17" s="1"/>
  <c r="S31" i="17" s="1"/>
  <c r="T31" i="17" s="1"/>
  <c r="Q30" i="17"/>
  <c r="R30" i="17" s="1"/>
  <c r="S30" i="17" s="1"/>
  <c r="T30" i="17" s="1"/>
  <c r="P30" i="17"/>
  <c r="P29" i="17"/>
  <c r="Q29" i="17" s="1"/>
  <c r="R29" i="17" s="1"/>
  <c r="S29" i="17" s="1"/>
  <c r="T29" i="17" s="1"/>
  <c r="S28" i="17"/>
  <c r="T28" i="17" s="1"/>
  <c r="Q28" i="17"/>
  <c r="R28" i="17" s="1"/>
  <c r="P28" i="17"/>
  <c r="R27" i="17"/>
  <c r="S27" i="17" s="1"/>
  <c r="T27" i="17" s="1"/>
  <c r="P27" i="17"/>
  <c r="Q27" i="17" s="1"/>
  <c r="Q26" i="17"/>
  <c r="R26" i="17" s="1"/>
  <c r="S26" i="17" s="1"/>
  <c r="T26" i="17" s="1"/>
  <c r="P26" i="17"/>
  <c r="T25" i="17"/>
  <c r="P25" i="17"/>
  <c r="Q25" i="17" s="1"/>
  <c r="R25" i="17" s="1"/>
  <c r="S25" i="17" s="1"/>
  <c r="Q24" i="17"/>
  <c r="R24" i="17" s="1"/>
  <c r="S24" i="17" s="1"/>
  <c r="T24" i="17" s="1"/>
  <c r="P24" i="17"/>
  <c r="R23" i="17"/>
  <c r="S23" i="17" s="1"/>
  <c r="T23" i="17" s="1"/>
  <c r="P23" i="17"/>
  <c r="Q23" i="17" s="1"/>
  <c r="Q22" i="17"/>
  <c r="R22" i="17" s="1"/>
  <c r="S22" i="17" s="1"/>
  <c r="T22" i="17" s="1"/>
  <c r="P22" i="17"/>
  <c r="T21" i="17"/>
  <c r="P21" i="17"/>
  <c r="Q21" i="17" s="1"/>
  <c r="R21" i="17" s="1"/>
  <c r="S21" i="17" s="1"/>
  <c r="Q20" i="17"/>
  <c r="R20" i="17" s="1"/>
  <c r="S20" i="17" s="1"/>
  <c r="T20" i="17" s="1"/>
  <c r="P20" i="17"/>
  <c r="P19" i="17"/>
  <c r="Q19" i="17" s="1"/>
  <c r="R19" i="17" s="1"/>
  <c r="S19" i="17" s="1"/>
  <c r="T19" i="17" s="1"/>
  <c r="Q18" i="17"/>
  <c r="R18" i="17" s="1"/>
  <c r="S18" i="17" s="1"/>
  <c r="T18" i="17" s="1"/>
  <c r="P18" i="17"/>
  <c r="P17" i="17"/>
  <c r="Q17" i="17" s="1"/>
  <c r="R17" i="17" s="1"/>
  <c r="S17" i="17" s="1"/>
  <c r="T17" i="17" s="1"/>
  <c r="S16" i="17"/>
  <c r="T16" i="17" s="1"/>
  <c r="Q16" i="17"/>
  <c r="R16" i="17" s="1"/>
  <c r="P16" i="17"/>
  <c r="S15" i="17"/>
  <c r="T15" i="17" s="1"/>
  <c r="R15" i="17"/>
  <c r="P15" i="17"/>
  <c r="Q15" i="17" s="1"/>
  <c r="Q14" i="17"/>
  <c r="R14" i="17" s="1"/>
  <c r="S14" i="17" s="1"/>
  <c r="T14" i="17" s="1"/>
  <c r="P14" i="17"/>
  <c r="R13" i="17"/>
  <c r="S13" i="17" s="1"/>
  <c r="T13" i="17" s="1"/>
  <c r="Q13" i="17"/>
  <c r="P13" i="17"/>
  <c r="R12" i="17"/>
  <c r="S12" i="17" s="1"/>
  <c r="T12" i="17" s="1"/>
  <c r="Q12" i="17"/>
  <c r="P12" i="17"/>
  <c r="R11" i="17"/>
  <c r="S11" i="17" s="1"/>
  <c r="T11" i="17" s="1"/>
  <c r="P11" i="17"/>
  <c r="Q11" i="17" s="1"/>
  <c r="Q10" i="17"/>
  <c r="R10" i="17" s="1"/>
  <c r="S10" i="17" s="1"/>
  <c r="T10" i="17" s="1"/>
  <c r="P10" i="17"/>
  <c r="R9" i="17"/>
  <c r="S9" i="17" s="1"/>
  <c r="T9" i="17" s="1"/>
  <c r="Q9" i="17"/>
  <c r="P9" i="17"/>
  <c r="Q8" i="17"/>
  <c r="R8" i="17" s="1"/>
  <c r="S8" i="17" s="1"/>
  <c r="T8" i="17" s="1"/>
  <c r="P8" i="17"/>
  <c r="R7" i="17"/>
  <c r="S7" i="17" s="1"/>
  <c r="T7" i="17" s="1"/>
  <c r="P7" i="17"/>
  <c r="Q7" i="17" s="1"/>
  <c r="Q6" i="17"/>
  <c r="R6" i="17" s="1"/>
  <c r="S6" i="17" s="1"/>
  <c r="T6" i="17" s="1"/>
  <c r="P6" i="17"/>
  <c r="R5" i="17"/>
  <c r="S5" i="17" s="1"/>
  <c r="T5" i="17" s="1"/>
  <c r="Q5" i="17"/>
  <c r="P5" i="17"/>
  <c r="Q4" i="17"/>
  <c r="R4" i="17" s="1"/>
  <c r="S4" i="17" s="1"/>
  <c r="T4" i="17" s="1"/>
  <c r="P4" i="17"/>
  <c r="S3" i="17"/>
  <c r="T3" i="17" s="1"/>
  <c r="R3" i="17"/>
  <c r="P3" i="17"/>
  <c r="Q3" i="17" s="1"/>
  <c r="Q2" i="17"/>
  <c r="R2" i="17" s="1"/>
  <c r="S2" i="17" s="1"/>
  <c r="T2" i="17" s="1"/>
  <c r="P2" i="17"/>
  <c r="R1001" i="16"/>
  <c r="S1001" i="16" s="1"/>
  <c r="T1001" i="16" s="1"/>
  <c r="Q1001" i="16"/>
  <c r="P1001" i="16"/>
  <c r="R1000" i="16"/>
  <c r="S1000" i="16" s="1"/>
  <c r="T1000" i="16" s="1"/>
  <c r="Q1000" i="16"/>
  <c r="P1000" i="16"/>
  <c r="S999" i="16"/>
  <c r="T999" i="16" s="1"/>
  <c r="R999" i="16"/>
  <c r="P999" i="16"/>
  <c r="Q999" i="16" s="1"/>
  <c r="Q998" i="16"/>
  <c r="R998" i="16" s="1"/>
  <c r="S998" i="16" s="1"/>
  <c r="T998" i="16" s="1"/>
  <c r="P998" i="16"/>
  <c r="R997" i="16"/>
  <c r="S997" i="16" s="1"/>
  <c r="T997" i="16" s="1"/>
  <c r="Q997" i="16"/>
  <c r="P997" i="16"/>
  <c r="R996" i="16"/>
  <c r="S996" i="16" s="1"/>
  <c r="T996" i="16" s="1"/>
  <c r="Q996" i="16"/>
  <c r="P996" i="16"/>
  <c r="R995" i="16"/>
  <c r="S995" i="16" s="1"/>
  <c r="T995" i="16" s="1"/>
  <c r="P995" i="16"/>
  <c r="Q995" i="16" s="1"/>
  <c r="Q994" i="16"/>
  <c r="R994" i="16" s="1"/>
  <c r="S994" i="16" s="1"/>
  <c r="T994" i="16" s="1"/>
  <c r="P994" i="16"/>
  <c r="R993" i="16"/>
  <c r="S993" i="16" s="1"/>
  <c r="T993" i="16" s="1"/>
  <c r="Q993" i="16"/>
  <c r="P993" i="16"/>
  <c r="Q992" i="16"/>
  <c r="R992" i="16" s="1"/>
  <c r="S992" i="16" s="1"/>
  <c r="T992" i="16" s="1"/>
  <c r="P992" i="16"/>
  <c r="R991" i="16"/>
  <c r="S991" i="16" s="1"/>
  <c r="T991" i="16" s="1"/>
  <c r="P991" i="16"/>
  <c r="Q991" i="16" s="1"/>
  <c r="Q990" i="16"/>
  <c r="R990" i="16" s="1"/>
  <c r="S990" i="16" s="1"/>
  <c r="T990" i="16" s="1"/>
  <c r="P990" i="16"/>
  <c r="R989" i="16"/>
  <c r="S989" i="16" s="1"/>
  <c r="T989" i="16" s="1"/>
  <c r="Q989" i="16"/>
  <c r="P989" i="16"/>
  <c r="Q988" i="16"/>
  <c r="R988" i="16" s="1"/>
  <c r="S988" i="16" s="1"/>
  <c r="T988" i="16" s="1"/>
  <c r="P988" i="16"/>
  <c r="S987" i="16"/>
  <c r="T987" i="16" s="1"/>
  <c r="R987" i="16"/>
  <c r="P987" i="16"/>
  <c r="Q987" i="16" s="1"/>
  <c r="Q986" i="16"/>
  <c r="R986" i="16" s="1"/>
  <c r="S986" i="16" s="1"/>
  <c r="T986" i="16" s="1"/>
  <c r="P986" i="16"/>
  <c r="R985" i="16"/>
  <c r="S985" i="16" s="1"/>
  <c r="T985" i="16" s="1"/>
  <c r="Q985" i="16"/>
  <c r="P985" i="16"/>
  <c r="R984" i="16"/>
  <c r="S984" i="16" s="1"/>
  <c r="T984" i="16" s="1"/>
  <c r="Q984" i="16"/>
  <c r="P984" i="16"/>
  <c r="S983" i="16"/>
  <c r="T983" i="16" s="1"/>
  <c r="R983" i="16"/>
  <c r="P983" i="16"/>
  <c r="Q983" i="16" s="1"/>
  <c r="Q982" i="16"/>
  <c r="R982" i="16" s="1"/>
  <c r="S982" i="16" s="1"/>
  <c r="T982" i="16" s="1"/>
  <c r="P982" i="16"/>
  <c r="R981" i="16"/>
  <c r="S981" i="16" s="1"/>
  <c r="T981" i="16" s="1"/>
  <c r="Q981" i="16"/>
  <c r="P981" i="16"/>
  <c r="R980" i="16"/>
  <c r="S980" i="16" s="1"/>
  <c r="T980" i="16" s="1"/>
  <c r="Q980" i="16"/>
  <c r="P980" i="16"/>
  <c r="R979" i="16"/>
  <c r="S979" i="16" s="1"/>
  <c r="T979" i="16" s="1"/>
  <c r="P979" i="16"/>
  <c r="Q979" i="16" s="1"/>
  <c r="Q978" i="16"/>
  <c r="R978" i="16" s="1"/>
  <c r="S978" i="16" s="1"/>
  <c r="T978" i="16" s="1"/>
  <c r="P978" i="16"/>
  <c r="R977" i="16"/>
  <c r="S977" i="16" s="1"/>
  <c r="T977" i="16" s="1"/>
  <c r="Q977" i="16"/>
  <c r="P977" i="16"/>
  <c r="Q976" i="16"/>
  <c r="R976" i="16" s="1"/>
  <c r="S976" i="16" s="1"/>
  <c r="T976" i="16" s="1"/>
  <c r="P976" i="16"/>
  <c r="R975" i="16"/>
  <c r="S975" i="16" s="1"/>
  <c r="T975" i="16" s="1"/>
  <c r="P975" i="16"/>
  <c r="Q975" i="16" s="1"/>
  <c r="Q974" i="16"/>
  <c r="R974" i="16" s="1"/>
  <c r="S974" i="16" s="1"/>
  <c r="T974" i="16" s="1"/>
  <c r="P974" i="16"/>
  <c r="R973" i="16"/>
  <c r="S973" i="16" s="1"/>
  <c r="T973" i="16" s="1"/>
  <c r="Q973" i="16"/>
  <c r="P973" i="16"/>
  <c r="Q972" i="16"/>
  <c r="R972" i="16" s="1"/>
  <c r="S972" i="16" s="1"/>
  <c r="T972" i="16" s="1"/>
  <c r="P972" i="16"/>
  <c r="S971" i="16"/>
  <c r="T971" i="16" s="1"/>
  <c r="R971" i="16"/>
  <c r="P971" i="16"/>
  <c r="Q971" i="16" s="1"/>
  <c r="Q970" i="16"/>
  <c r="R970" i="16" s="1"/>
  <c r="S970" i="16" s="1"/>
  <c r="T970" i="16" s="1"/>
  <c r="P970" i="16"/>
  <c r="R969" i="16"/>
  <c r="S969" i="16" s="1"/>
  <c r="T969" i="16" s="1"/>
  <c r="Q969" i="16"/>
  <c r="P969" i="16"/>
  <c r="R968" i="16"/>
  <c r="S968" i="16" s="1"/>
  <c r="T968" i="16" s="1"/>
  <c r="Q968" i="16"/>
  <c r="P968" i="16"/>
  <c r="S967" i="16"/>
  <c r="T967" i="16" s="1"/>
  <c r="R967" i="16"/>
  <c r="P967" i="16"/>
  <c r="Q967" i="16" s="1"/>
  <c r="Q966" i="16"/>
  <c r="R966" i="16" s="1"/>
  <c r="S966" i="16" s="1"/>
  <c r="T966" i="16" s="1"/>
  <c r="P966" i="16"/>
  <c r="R965" i="16"/>
  <c r="S965" i="16" s="1"/>
  <c r="T965" i="16" s="1"/>
  <c r="Q965" i="16"/>
  <c r="P965" i="16"/>
  <c r="R964" i="16"/>
  <c r="S964" i="16" s="1"/>
  <c r="T964" i="16" s="1"/>
  <c r="Q964" i="16"/>
  <c r="P964" i="16"/>
  <c r="R963" i="16"/>
  <c r="S963" i="16" s="1"/>
  <c r="T963" i="16" s="1"/>
  <c r="P963" i="16"/>
  <c r="Q963" i="16" s="1"/>
  <c r="Q962" i="16"/>
  <c r="R962" i="16" s="1"/>
  <c r="S962" i="16" s="1"/>
  <c r="T962" i="16" s="1"/>
  <c r="P962" i="16"/>
  <c r="R961" i="16"/>
  <c r="S961" i="16" s="1"/>
  <c r="T961" i="16" s="1"/>
  <c r="Q961" i="16"/>
  <c r="P961" i="16"/>
  <c r="Q960" i="16"/>
  <c r="R960" i="16" s="1"/>
  <c r="S960" i="16" s="1"/>
  <c r="T960" i="16" s="1"/>
  <c r="P960" i="16"/>
  <c r="R959" i="16"/>
  <c r="S959" i="16" s="1"/>
  <c r="T959" i="16" s="1"/>
  <c r="P959" i="16"/>
  <c r="Q959" i="16" s="1"/>
  <c r="Q958" i="16"/>
  <c r="R958" i="16" s="1"/>
  <c r="S958" i="16" s="1"/>
  <c r="T958" i="16" s="1"/>
  <c r="P958" i="16"/>
  <c r="R957" i="16"/>
  <c r="S957" i="16" s="1"/>
  <c r="T957" i="16" s="1"/>
  <c r="Q957" i="16"/>
  <c r="P957" i="16"/>
  <c r="Q956" i="16"/>
  <c r="R956" i="16" s="1"/>
  <c r="S956" i="16" s="1"/>
  <c r="T956" i="16" s="1"/>
  <c r="P956" i="16"/>
  <c r="S955" i="16"/>
  <c r="T955" i="16" s="1"/>
  <c r="R955" i="16"/>
  <c r="P955" i="16"/>
  <c r="Q955" i="16" s="1"/>
  <c r="Q954" i="16"/>
  <c r="R954" i="16" s="1"/>
  <c r="S954" i="16" s="1"/>
  <c r="T954" i="16" s="1"/>
  <c r="P954" i="16"/>
  <c r="R953" i="16"/>
  <c r="S953" i="16" s="1"/>
  <c r="T953" i="16" s="1"/>
  <c r="Q953" i="16"/>
  <c r="P953" i="16"/>
  <c r="R952" i="16"/>
  <c r="S952" i="16" s="1"/>
  <c r="T952" i="16" s="1"/>
  <c r="Q952" i="16"/>
  <c r="P952" i="16"/>
  <c r="S951" i="16"/>
  <c r="T951" i="16" s="1"/>
  <c r="R951" i="16"/>
  <c r="P951" i="16"/>
  <c r="Q951" i="16" s="1"/>
  <c r="Q950" i="16"/>
  <c r="R950" i="16" s="1"/>
  <c r="S950" i="16" s="1"/>
  <c r="T950" i="16" s="1"/>
  <c r="P950" i="16"/>
  <c r="R949" i="16"/>
  <c r="S949" i="16" s="1"/>
  <c r="T949" i="16" s="1"/>
  <c r="Q949" i="16"/>
  <c r="P949" i="16"/>
  <c r="R948" i="16"/>
  <c r="S948" i="16" s="1"/>
  <c r="T948" i="16" s="1"/>
  <c r="Q948" i="16"/>
  <c r="P948" i="16"/>
  <c r="R947" i="16"/>
  <c r="S947" i="16" s="1"/>
  <c r="T947" i="16" s="1"/>
  <c r="P947" i="16"/>
  <c r="Q947" i="16" s="1"/>
  <c r="Q946" i="16"/>
  <c r="R946" i="16" s="1"/>
  <c r="S946" i="16" s="1"/>
  <c r="T946" i="16" s="1"/>
  <c r="P946" i="16"/>
  <c r="R945" i="16"/>
  <c r="S945" i="16" s="1"/>
  <c r="T945" i="16" s="1"/>
  <c r="Q945" i="16"/>
  <c r="P945" i="16"/>
  <c r="Q944" i="16"/>
  <c r="R944" i="16" s="1"/>
  <c r="S944" i="16" s="1"/>
  <c r="T944" i="16" s="1"/>
  <c r="P944" i="16"/>
  <c r="R943" i="16"/>
  <c r="S943" i="16" s="1"/>
  <c r="T943" i="16" s="1"/>
  <c r="P943" i="16"/>
  <c r="Q943" i="16" s="1"/>
  <c r="R942" i="16"/>
  <c r="S942" i="16" s="1"/>
  <c r="T942" i="16" s="1"/>
  <c r="P942" i="16"/>
  <c r="Q942" i="16" s="1"/>
  <c r="P941" i="16"/>
  <c r="Q941" i="16" s="1"/>
  <c r="R941" i="16" s="1"/>
  <c r="S941" i="16" s="1"/>
  <c r="T941" i="16" s="1"/>
  <c r="T940" i="16"/>
  <c r="Q940" i="16"/>
  <c r="R940" i="16" s="1"/>
  <c r="S940" i="16" s="1"/>
  <c r="P940" i="16"/>
  <c r="R939" i="16"/>
  <c r="S939" i="16" s="1"/>
  <c r="T939" i="16" s="1"/>
  <c r="Q939" i="16"/>
  <c r="P939" i="16"/>
  <c r="P938" i="16"/>
  <c r="Q938" i="16" s="1"/>
  <c r="R938" i="16" s="1"/>
  <c r="S938" i="16" s="1"/>
  <c r="T938" i="16" s="1"/>
  <c r="T937" i="16"/>
  <c r="P937" i="16"/>
  <c r="Q937" i="16" s="1"/>
  <c r="R937" i="16" s="1"/>
  <c r="S937" i="16" s="1"/>
  <c r="Q936" i="16"/>
  <c r="R936" i="16" s="1"/>
  <c r="S936" i="16" s="1"/>
  <c r="T936" i="16" s="1"/>
  <c r="P936" i="16"/>
  <c r="Q935" i="16"/>
  <c r="R935" i="16" s="1"/>
  <c r="S935" i="16" s="1"/>
  <c r="T935" i="16" s="1"/>
  <c r="P935" i="16"/>
  <c r="R934" i="16"/>
  <c r="S934" i="16" s="1"/>
  <c r="T934" i="16" s="1"/>
  <c r="P934" i="16"/>
  <c r="Q934" i="16" s="1"/>
  <c r="P933" i="16"/>
  <c r="Q933" i="16" s="1"/>
  <c r="R933" i="16" s="1"/>
  <c r="S933" i="16" s="1"/>
  <c r="T933" i="16" s="1"/>
  <c r="T932" i="16"/>
  <c r="Q932" i="16"/>
  <c r="R932" i="16" s="1"/>
  <c r="S932" i="16" s="1"/>
  <c r="P932" i="16"/>
  <c r="R931" i="16"/>
  <c r="S931" i="16" s="1"/>
  <c r="T931" i="16" s="1"/>
  <c r="Q931" i="16"/>
  <c r="P931" i="16"/>
  <c r="P930" i="16"/>
  <c r="Q930" i="16" s="1"/>
  <c r="R930" i="16" s="1"/>
  <c r="S930" i="16" s="1"/>
  <c r="T930" i="16" s="1"/>
  <c r="T929" i="16"/>
  <c r="P929" i="16"/>
  <c r="Q929" i="16" s="1"/>
  <c r="R929" i="16" s="1"/>
  <c r="S929" i="16" s="1"/>
  <c r="Q928" i="16"/>
  <c r="R928" i="16" s="1"/>
  <c r="S928" i="16" s="1"/>
  <c r="T928" i="16" s="1"/>
  <c r="P928" i="16"/>
  <c r="Q927" i="16"/>
  <c r="R927" i="16" s="1"/>
  <c r="S927" i="16" s="1"/>
  <c r="T927" i="16" s="1"/>
  <c r="P927" i="16"/>
  <c r="R926" i="16"/>
  <c r="S926" i="16" s="1"/>
  <c r="T926" i="16" s="1"/>
  <c r="P926" i="16"/>
  <c r="Q926" i="16" s="1"/>
  <c r="Q925" i="16"/>
  <c r="R925" i="16" s="1"/>
  <c r="S925" i="16" s="1"/>
  <c r="T925" i="16" s="1"/>
  <c r="P925" i="16"/>
  <c r="P924" i="16"/>
  <c r="Q924" i="16" s="1"/>
  <c r="R924" i="16" s="1"/>
  <c r="S924" i="16" s="1"/>
  <c r="T924" i="16" s="1"/>
  <c r="S923" i="16"/>
  <c r="T923" i="16" s="1"/>
  <c r="Q923" i="16"/>
  <c r="R923" i="16" s="1"/>
  <c r="P923" i="16"/>
  <c r="T922" i="16"/>
  <c r="R922" i="16"/>
  <c r="S922" i="16" s="1"/>
  <c r="P922" i="16"/>
  <c r="Q922" i="16" s="1"/>
  <c r="Q921" i="16"/>
  <c r="R921" i="16" s="1"/>
  <c r="S921" i="16" s="1"/>
  <c r="T921" i="16" s="1"/>
  <c r="P921" i="16"/>
  <c r="P920" i="16"/>
  <c r="Q920" i="16" s="1"/>
  <c r="R920" i="16" s="1"/>
  <c r="S920" i="16" s="1"/>
  <c r="T920" i="16" s="1"/>
  <c r="S919" i="16"/>
  <c r="T919" i="16" s="1"/>
  <c r="Q919" i="16"/>
  <c r="R919" i="16" s="1"/>
  <c r="P919" i="16"/>
  <c r="T918" i="16"/>
  <c r="R918" i="16"/>
  <c r="S918" i="16" s="1"/>
  <c r="P918" i="16"/>
  <c r="Q918" i="16" s="1"/>
  <c r="Q917" i="16"/>
  <c r="R917" i="16" s="1"/>
  <c r="S917" i="16" s="1"/>
  <c r="T917" i="16" s="1"/>
  <c r="P917" i="16"/>
  <c r="P916" i="16"/>
  <c r="Q916" i="16" s="1"/>
  <c r="R916" i="16" s="1"/>
  <c r="S916" i="16" s="1"/>
  <c r="T916" i="16" s="1"/>
  <c r="S915" i="16"/>
  <c r="T915" i="16" s="1"/>
  <c r="Q915" i="16"/>
  <c r="R915" i="16" s="1"/>
  <c r="P915" i="16"/>
  <c r="T914" i="16"/>
  <c r="R914" i="16"/>
  <c r="S914" i="16" s="1"/>
  <c r="P914" i="16"/>
  <c r="Q914" i="16" s="1"/>
  <c r="Q913" i="16"/>
  <c r="R913" i="16" s="1"/>
  <c r="S913" i="16" s="1"/>
  <c r="T913" i="16" s="1"/>
  <c r="P913" i="16"/>
  <c r="P912" i="16"/>
  <c r="Q912" i="16" s="1"/>
  <c r="R912" i="16" s="1"/>
  <c r="S912" i="16" s="1"/>
  <c r="T912" i="16" s="1"/>
  <c r="S911" i="16"/>
  <c r="T911" i="16" s="1"/>
  <c r="Q911" i="16"/>
  <c r="R911" i="16" s="1"/>
  <c r="P911" i="16"/>
  <c r="T910" i="16"/>
  <c r="R910" i="16"/>
  <c r="S910" i="16" s="1"/>
  <c r="P910" i="16"/>
  <c r="Q910" i="16" s="1"/>
  <c r="P909" i="16"/>
  <c r="Q909" i="16" s="1"/>
  <c r="R909" i="16" s="1"/>
  <c r="S909" i="16" s="1"/>
  <c r="T909" i="16" s="1"/>
  <c r="P908" i="16"/>
  <c r="Q908" i="16" s="1"/>
  <c r="R908" i="16" s="1"/>
  <c r="S908" i="16" s="1"/>
  <c r="T908" i="16" s="1"/>
  <c r="S907" i="16"/>
  <c r="T907" i="16" s="1"/>
  <c r="Q907" i="16"/>
  <c r="R907" i="16" s="1"/>
  <c r="P907" i="16"/>
  <c r="R906" i="16"/>
  <c r="S906" i="16" s="1"/>
  <c r="T906" i="16" s="1"/>
  <c r="P906" i="16"/>
  <c r="Q906" i="16" s="1"/>
  <c r="Q905" i="16"/>
  <c r="R905" i="16" s="1"/>
  <c r="S905" i="16" s="1"/>
  <c r="T905" i="16" s="1"/>
  <c r="P905" i="16"/>
  <c r="P904" i="16"/>
  <c r="Q904" i="16" s="1"/>
  <c r="R904" i="16" s="1"/>
  <c r="S904" i="16" s="1"/>
  <c r="T904" i="16" s="1"/>
  <c r="S903" i="16"/>
  <c r="T903" i="16" s="1"/>
  <c r="Q903" i="16"/>
  <c r="R903" i="16" s="1"/>
  <c r="P903" i="16"/>
  <c r="R902" i="16"/>
  <c r="S902" i="16" s="1"/>
  <c r="T902" i="16" s="1"/>
  <c r="P902" i="16"/>
  <c r="Q902" i="16" s="1"/>
  <c r="P901" i="16"/>
  <c r="Q901" i="16" s="1"/>
  <c r="R901" i="16" s="1"/>
  <c r="S901" i="16" s="1"/>
  <c r="T901" i="16" s="1"/>
  <c r="P900" i="16"/>
  <c r="Q900" i="16" s="1"/>
  <c r="R900" i="16" s="1"/>
  <c r="S900" i="16" s="1"/>
  <c r="T900" i="16" s="1"/>
  <c r="S899" i="16"/>
  <c r="T899" i="16" s="1"/>
  <c r="Q899" i="16"/>
  <c r="R899" i="16" s="1"/>
  <c r="P899" i="16"/>
  <c r="R898" i="16"/>
  <c r="S898" i="16" s="1"/>
  <c r="T898" i="16" s="1"/>
  <c r="P898" i="16"/>
  <c r="Q898" i="16" s="1"/>
  <c r="P897" i="16"/>
  <c r="Q897" i="16" s="1"/>
  <c r="R897" i="16" s="1"/>
  <c r="S897" i="16" s="1"/>
  <c r="T897" i="16" s="1"/>
  <c r="P896" i="16"/>
  <c r="Q896" i="16" s="1"/>
  <c r="R896" i="16" s="1"/>
  <c r="S896" i="16" s="1"/>
  <c r="T896" i="16" s="1"/>
  <c r="S895" i="16"/>
  <c r="T895" i="16" s="1"/>
  <c r="Q895" i="16"/>
  <c r="R895" i="16" s="1"/>
  <c r="P895" i="16"/>
  <c r="T894" i="16"/>
  <c r="R894" i="16"/>
  <c r="S894" i="16" s="1"/>
  <c r="P894" i="16"/>
  <c r="Q894" i="16" s="1"/>
  <c r="P893" i="16"/>
  <c r="Q893" i="16" s="1"/>
  <c r="R893" i="16" s="1"/>
  <c r="S893" i="16" s="1"/>
  <c r="T893" i="16" s="1"/>
  <c r="P892" i="16"/>
  <c r="Q892" i="16" s="1"/>
  <c r="R892" i="16" s="1"/>
  <c r="S892" i="16" s="1"/>
  <c r="T892" i="16" s="1"/>
  <c r="S891" i="16"/>
  <c r="T891" i="16" s="1"/>
  <c r="Q891" i="16"/>
  <c r="R891" i="16" s="1"/>
  <c r="P891" i="16"/>
  <c r="R890" i="16"/>
  <c r="S890" i="16" s="1"/>
  <c r="T890" i="16" s="1"/>
  <c r="P890" i="16"/>
  <c r="Q890" i="16" s="1"/>
  <c r="Q889" i="16"/>
  <c r="R889" i="16" s="1"/>
  <c r="S889" i="16" s="1"/>
  <c r="T889" i="16" s="1"/>
  <c r="P889" i="16"/>
  <c r="P888" i="16"/>
  <c r="Q888" i="16" s="1"/>
  <c r="R888" i="16" s="1"/>
  <c r="S888" i="16" s="1"/>
  <c r="T888" i="16" s="1"/>
  <c r="S887" i="16"/>
  <c r="T887" i="16" s="1"/>
  <c r="Q887" i="16"/>
  <c r="R887" i="16" s="1"/>
  <c r="P887" i="16"/>
  <c r="R886" i="16"/>
  <c r="S886" i="16" s="1"/>
  <c r="T886" i="16" s="1"/>
  <c r="P886" i="16"/>
  <c r="Q886" i="16" s="1"/>
  <c r="P885" i="16"/>
  <c r="Q885" i="16" s="1"/>
  <c r="R885" i="16" s="1"/>
  <c r="S885" i="16" s="1"/>
  <c r="T885" i="16" s="1"/>
  <c r="P884" i="16"/>
  <c r="Q884" i="16" s="1"/>
  <c r="R884" i="16" s="1"/>
  <c r="S884" i="16" s="1"/>
  <c r="T884" i="16" s="1"/>
  <c r="S883" i="16"/>
  <c r="T883" i="16" s="1"/>
  <c r="Q883" i="16"/>
  <c r="R883" i="16" s="1"/>
  <c r="P883" i="16"/>
  <c r="R882" i="16"/>
  <c r="S882" i="16" s="1"/>
  <c r="T882" i="16" s="1"/>
  <c r="P882" i="16"/>
  <c r="Q882" i="16" s="1"/>
  <c r="P881" i="16"/>
  <c r="Q881" i="16" s="1"/>
  <c r="R881" i="16" s="1"/>
  <c r="S881" i="16" s="1"/>
  <c r="T881" i="16" s="1"/>
  <c r="P880" i="16"/>
  <c r="Q880" i="16" s="1"/>
  <c r="R880" i="16" s="1"/>
  <c r="S880" i="16" s="1"/>
  <c r="T880" i="16" s="1"/>
  <c r="S879" i="16"/>
  <c r="T879" i="16" s="1"/>
  <c r="Q879" i="16"/>
  <c r="R879" i="16" s="1"/>
  <c r="P879" i="16"/>
  <c r="T878" i="16"/>
  <c r="R878" i="16"/>
  <c r="S878" i="16" s="1"/>
  <c r="P878" i="16"/>
  <c r="Q878" i="16" s="1"/>
  <c r="P877" i="16"/>
  <c r="Q877" i="16" s="1"/>
  <c r="R877" i="16" s="1"/>
  <c r="S877" i="16" s="1"/>
  <c r="T877" i="16" s="1"/>
  <c r="P876" i="16"/>
  <c r="Q876" i="16" s="1"/>
  <c r="R876" i="16" s="1"/>
  <c r="S876" i="16" s="1"/>
  <c r="T876" i="16" s="1"/>
  <c r="S875" i="16"/>
  <c r="T875" i="16" s="1"/>
  <c r="Q875" i="16"/>
  <c r="R875" i="16" s="1"/>
  <c r="P875" i="16"/>
  <c r="R874" i="16"/>
  <c r="S874" i="16" s="1"/>
  <c r="T874" i="16" s="1"/>
  <c r="P874" i="16"/>
  <c r="Q874" i="16" s="1"/>
  <c r="Q873" i="16"/>
  <c r="R873" i="16" s="1"/>
  <c r="S873" i="16" s="1"/>
  <c r="T873" i="16" s="1"/>
  <c r="P873" i="16"/>
  <c r="P872" i="16"/>
  <c r="Q872" i="16" s="1"/>
  <c r="R872" i="16" s="1"/>
  <c r="S872" i="16" s="1"/>
  <c r="T872" i="16" s="1"/>
  <c r="S871" i="16"/>
  <c r="T871" i="16" s="1"/>
  <c r="Q871" i="16"/>
  <c r="R871" i="16" s="1"/>
  <c r="P871" i="16"/>
  <c r="R870" i="16"/>
  <c r="S870" i="16" s="1"/>
  <c r="T870" i="16" s="1"/>
  <c r="P870" i="16"/>
  <c r="Q870" i="16" s="1"/>
  <c r="P869" i="16"/>
  <c r="Q869" i="16" s="1"/>
  <c r="R869" i="16" s="1"/>
  <c r="S869" i="16" s="1"/>
  <c r="T869" i="16" s="1"/>
  <c r="P868" i="16"/>
  <c r="Q868" i="16" s="1"/>
  <c r="R868" i="16" s="1"/>
  <c r="S868" i="16" s="1"/>
  <c r="T868" i="16" s="1"/>
  <c r="S867" i="16"/>
  <c r="T867" i="16" s="1"/>
  <c r="Q867" i="16"/>
  <c r="R867" i="16" s="1"/>
  <c r="P867" i="16"/>
  <c r="R866" i="16"/>
  <c r="S866" i="16" s="1"/>
  <c r="T866" i="16" s="1"/>
  <c r="P866" i="16"/>
  <c r="Q866" i="16" s="1"/>
  <c r="P865" i="16"/>
  <c r="Q865" i="16" s="1"/>
  <c r="R865" i="16" s="1"/>
  <c r="S865" i="16" s="1"/>
  <c r="T865" i="16" s="1"/>
  <c r="P864" i="16"/>
  <c r="Q864" i="16" s="1"/>
  <c r="R864" i="16" s="1"/>
  <c r="S864" i="16" s="1"/>
  <c r="T864" i="16" s="1"/>
  <c r="S863" i="16"/>
  <c r="T863" i="16" s="1"/>
  <c r="Q863" i="16"/>
  <c r="R863" i="16" s="1"/>
  <c r="P863" i="16"/>
  <c r="T862" i="16"/>
  <c r="R862" i="16"/>
  <c r="S862" i="16" s="1"/>
  <c r="P862" i="16"/>
  <c r="Q862" i="16" s="1"/>
  <c r="P861" i="16"/>
  <c r="Q861" i="16" s="1"/>
  <c r="R861" i="16" s="1"/>
  <c r="S861" i="16" s="1"/>
  <c r="T861" i="16" s="1"/>
  <c r="P860" i="16"/>
  <c r="Q860" i="16" s="1"/>
  <c r="R860" i="16" s="1"/>
  <c r="S860" i="16" s="1"/>
  <c r="T860" i="16" s="1"/>
  <c r="S859" i="16"/>
  <c r="T859" i="16" s="1"/>
  <c r="Q859" i="16"/>
  <c r="R859" i="16" s="1"/>
  <c r="P859" i="16"/>
  <c r="R858" i="16"/>
  <c r="S858" i="16" s="1"/>
  <c r="T858" i="16" s="1"/>
  <c r="P858" i="16"/>
  <c r="Q858" i="16" s="1"/>
  <c r="Q857" i="16"/>
  <c r="R857" i="16" s="1"/>
  <c r="S857" i="16" s="1"/>
  <c r="T857" i="16" s="1"/>
  <c r="P857" i="16"/>
  <c r="P856" i="16"/>
  <c r="Q856" i="16" s="1"/>
  <c r="R856" i="16" s="1"/>
  <c r="S856" i="16" s="1"/>
  <c r="T856" i="16" s="1"/>
  <c r="S855" i="16"/>
  <c r="T855" i="16" s="1"/>
  <c r="Q855" i="16"/>
  <c r="R855" i="16" s="1"/>
  <c r="P855" i="16"/>
  <c r="R854" i="16"/>
  <c r="S854" i="16" s="1"/>
  <c r="T854" i="16" s="1"/>
  <c r="P854" i="16"/>
  <c r="Q854" i="16" s="1"/>
  <c r="P853" i="16"/>
  <c r="Q853" i="16" s="1"/>
  <c r="R853" i="16" s="1"/>
  <c r="S853" i="16" s="1"/>
  <c r="T853" i="16" s="1"/>
  <c r="P852" i="16"/>
  <c r="Q852" i="16" s="1"/>
  <c r="R852" i="16" s="1"/>
  <c r="S852" i="16" s="1"/>
  <c r="T852" i="16" s="1"/>
  <c r="S851" i="16"/>
  <c r="T851" i="16" s="1"/>
  <c r="Q851" i="16"/>
  <c r="R851" i="16" s="1"/>
  <c r="P851" i="16"/>
  <c r="R850" i="16"/>
  <c r="S850" i="16" s="1"/>
  <c r="T850" i="16" s="1"/>
  <c r="P850" i="16"/>
  <c r="Q850" i="16" s="1"/>
  <c r="P849" i="16"/>
  <c r="Q849" i="16" s="1"/>
  <c r="R849" i="16" s="1"/>
  <c r="S849" i="16" s="1"/>
  <c r="T849" i="16" s="1"/>
  <c r="P848" i="16"/>
  <c r="Q848" i="16" s="1"/>
  <c r="R848" i="16" s="1"/>
  <c r="S848" i="16" s="1"/>
  <c r="T848" i="16" s="1"/>
  <c r="S847" i="16"/>
  <c r="T847" i="16" s="1"/>
  <c r="Q847" i="16"/>
  <c r="R847" i="16" s="1"/>
  <c r="P847" i="16"/>
  <c r="T846" i="16"/>
  <c r="R846" i="16"/>
  <c r="S846" i="16" s="1"/>
  <c r="P846" i="16"/>
  <c r="Q846" i="16" s="1"/>
  <c r="P845" i="16"/>
  <c r="Q845" i="16" s="1"/>
  <c r="R845" i="16" s="1"/>
  <c r="S845" i="16" s="1"/>
  <c r="T845" i="16" s="1"/>
  <c r="P844" i="16"/>
  <c r="Q844" i="16" s="1"/>
  <c r="R844" i="16" s="1"/>
  <c r="S844" i="16" s="1"/>
  <c r="T844" i="16" s="1"/>
  <c r="S843" i="16"/>
  <c r="T843" i="16" s="1"/>
  <c r="Q843" i="16"/>
  <c r="R843" i="16" s="1"/>
  <c r="P843" i="16"/>
  <c r="R842" i="16"/>
  <c r="S842" i="16" s="1"/>
  <c r="T842" i="16" s="1"/>
  <c r="P842" i="16"/>
  <c r="Q842" i="16" s="1"/>
  <c r="Q841" i="16"/>
  <c r="R841" i="16" s="1"/>
  <c r="S841" i="16" s="1"/>
  <c r="T841" i="16" s="1"/>
  <c r="P841" i="16"/>
  <c r="P840" i="16"/>
  <c r="Q840" i="16" s="1"/>
  <c r="R840" i="16" s="1"/>
  <c r="S840" i="16" s="1"/>
  <c r="T840" i="16" s="1"/>
  <c r="S839" i="16"/>
  <c r="T839" i="16" s="1"/>
  <c r="Q839" i="16"/>
  <c r="R839" i="16" s="1"/>
  <c r="P839" i="16"/>
  <c r="R838" i="16"/>
  <c r="S838" i="16" s="1"/>
  <c r="T838" i="16" s="1"/>
  <c r="P838" i="16"/>
  <c r="Q838" i="16" s="1"/>
  <c r="P837" i="16"/>
  <c r="Q837" i="16" s="1"/>
  <c r="R837" i="16" s="1"/>
  <c r="S837" i="16" s="1"/>
  <c r="T837" i="16" s="1"/>
  <c r="P836" i="16"/>
  <c r="Q836" i="16" s="1"/>
  <c r="R836" i="16" s="1"/>
  <c r="S836" i="16" s="1"/>
  <c r="T836" i="16" s="1"/>
  <c r="Q835" i="16"/>
  <c r="R835" i="16" s="1"/>
  <c r="S835" i="16" s="1"/>
  <c r="T835" i="16" s="1"/>
  <c r="P835" i="16"/>
  <c r="P834" i="16"/>
  <c r="Q834" i="16" s="1"/>
  <c r="R834" i="16" s="1"/>
  <c r="S834" i="16" s="1"/>
  <c r="T834" i="16" s="1"/>
  <c r="P833" i="16"/>
  <c r="Q833" i="16" s="1"/>
  <c r="R833" i="16" s="1"/>
  <c r="S833" i="16" s="1"/>
  <c r="T833" i="16" s="1"/>
  <c r="P832" i="16"/>
  <c r="Q832" i="16" s="1"/>
  <c r="R832" i="16" s="1"/>
  <c r="S832" i="16" s="1"/>
  <c r="T832" i="16" s="1"/>
  <c r="Q831" i="16"/>
  <c r="R831" i="16" s="1"/>
  <c r="S831" i="16" s="1"/>
  <c r="T831" i="16" s="1"/>
  <c r="P831" i="16"/>
  <c r="P830" i="16"/>
  <c r="Q830" i="16" s="1"/>
  <c r="R830" i="16" s="1"/>
  <c r="S830" i="16" s="1"/>
  <c r="T830" i="16" s="1"/>
  <c r="P829" i="16"/>
  <c r="Q829" i="16" s="1"/>
  <c r="R829" i="16" s="1"/>
  <c r="S829" i="16" s="1"/>
  <c r="T829" i="16" s="1"/>
  <c r="P828" i="16"/>
  <c r="Q828" i="16" s="1"/>
  <c r="R828" i="16" s="1"/>
  <c r="S828" i="16" s="1"/>
  <c r="T828" i="16" s="1"/>
  <c r="Q827" i="16"/>
  <c r="R827" i="16" s="1"/>
  <c r="S827" i="16" s="1"/>
  <c r="T827" i="16" s="1"/>
  <c r="P827" i="16"/>
  <c r="P826" i="16"/>
  <c r="Q826" i="16" s="1"/>
  <c r="R826" i="16" s="1"/>
  <c r="S826" i="16" s="1"/>
  <c r="T826" i="16" s="1"/>
  <c r="P825" i="16"/>
  <c r="Q825" i="16" s="1"/>
  <c r="R825" i="16" s="1"/>
  <c r="S825" i="16" s="1"/>
  <c r="T825" i="16" s="1"/>
  <c r="P824" i="16"/>
  <c r="Q824" i="16" s="1"/>
  <c r="R824" i="16" s="1"/>
  <c r="S824" i="16" s="1"/>
  <c r="T824" i="16" s="1"/>
  <c r="Q823" i="16"/>
  <c r="R823" i="16" s="1"/>
  <c r="S823" i="16" s="1"/>
  <c r="T823" i="16" s="1"/>
  <c r="P823" i="16"/>
  <c r="P822" i="16"/>
  <c r="Q822" i="16" s="1"/>
  <c r="R822" i="16" s="1"/>
  <c r="S822" i="16" s="1"/>
  <c r="T822" i="16" s="1"/>
  <c r="P821" i="16"/>
  <c r="Q821" i="16" s="1"/>
  <c r="R821" i="16" s="1"/>
  <c r="S821" i="16" s="1"/>
  <c r="T821" i="16" s="1"/>
  <c r="P820" i="16"/>
  <c r="Q820" i="16" s="1"/>
  <c r="R820" i="16" s="1"/>
  <c r="S820" i="16" s="1"/>
  <c r="T820" i="16" s="1"/>
  <c r="Q819" i="16"/>
  <c r="R819" i="16" s="1"/>
  <c r="S819" i="16" s="1"/>
  <c r="T819" i="16" s="1"/>
  <c r="P819" i="16"/>
  <c r="P818" i="16"/>
  <c r="Q818" i="16" s="1"/>
  <c r="R818" i="16" s="1"/>
  <c r="S818" i="16" s="1"/>
  <c r="T818" i="16" s="1"/>
  <c r="P817" i="16"/>
  <c r="Q817" i="16" s="1"/>
  <c r="R817" i="16" s="1"/>
  <c r="S817" i="16" s="1"/>
  <c r="T817" i="16" s="1"/>
  <c r="P816" i="16"/>
  <c r="Q816" i="16" s="1"/>
  <c r="R816" i="16" s="1"/>
  <c r="S816" i="16" s="1"/>
  <c r="T816" i="16" s="1"/>
  <c r="Q815" i="16"/>
  <c r="R815" i="16" s="1"/>
  <c r="S815" i="16" s="1"/>
  <c r="T815" i="16" s="1"/>
  <c r="P815" i="16"/>
  <c r="P814" i="16"/>
  <c r="Q814" i="16" s="1"/>
  <c r="R814" i="16" s="1"/>
  <c r="S814" i="16" s="1"/>
  <c r="T814" i="16" s="1"/>
  <c r="P813" i="16"/>
  <c r="Q813" i="16" s="1"/>
  <c r="R813" i="16" s="1"/>
  <c r="S813" i="16" s="1"/>
  <c r="T813" i="16" s="1"/>
  <c r="P812" i="16"/>
  <c r="Q812" i="16" s="1"/>
  <c r="R812" i="16" s="1"/>
  <c r="S812" i="16" s="1"/>
  <c r="T812" i="16" s="1"/>
  <c r="Q811" i="16"/>
  <c r="R811" i="16" s="1"/>
  <c r="S811" i="16" s="1"/>
  <c r="T811" i="16" s="1"/>
  <c r="P811" i="16"/>
  <c r="P810" i="16"/>
  <c r="Q810" i="16" s="1"/>
  <c r="R810" i="16" s="1"/>
  <c r="S810" i="16" s="1"/>
  <c r="T810" i="16" s="1"/>
  <c r="P809" i="16"/>
  <c r="Q809" i="16" s="1"/>
  <c r="R809" i="16" s="1"/>
  <c r="S809" i="16" s="1"/>
  <c r="T809" i="16" s="1"/>
  <c r="P808" i="16"/>
  <c r="Q808" i="16" s="1"/>
  <c r="R808" i="16" s="1"/>
  <c r="S808" i="16" s="1"/>
  <c r="T808" i="16" s="1"/>
  <c r="Q807" i="16"/>
  <c r="R807" i="16" s="1"/>
  <c r="S807" i="16" s="1"/>
  <c r="T807" i="16" s="1"/>
  <c r="P807" i="16"/>
  <c r="P806" i="16"/>
  <c r="Q806" i="16" s="1"/>
  <c r="R806" i="16" s="1"/>
  <c r="S806" i="16" s="1"/>
  <c r="T806" i="16" s="1"/>
  <c r="P805" i="16"/>
  <c r="Q805" i="16" s="1"/>
  <c r="R805" i="16" s="1"/>
  <c r="S805" i="16" s="1"/>
  <c r="T805" i="16" s="1"/>
  <c r="P804" i="16"/>
  <c r="Q804" i="16" s="1"/>
  <c r="R804" i="16" s="1"/>
  <c r="S804" i="16" s="1"/>
  <c r="T804" i="16" s="1"/>
  <c r="Q803" i="16"/>
  <c r="R803" i="16" s="1"/>
  <c r="S803" i="16" s="1"/>
  <c r="T803" i="16" s="1"/>
  <c r="P803" i="16"/>
  <c r="P802" i="16"/>
  <c r="Q802" i="16" s="1"/>
  <c r="R802" i="16" s="1"/>
  <c r="S802" i="16" s="1"/>
  <c r="T802" i="16" s="1"/>
  <c r="P801" i="16"/>
  <c r="Q801" i="16" s="1"/>
  <c r="R801" i="16" s="1"/>
  <c r="S801" i="16" s="1"/>
  <c r="T801" i="16" s="1"/>
  <c r="P800" i="16"/>
  <c r="Q800" i="16" s="1"/>
  <c r="R800" i="16" s="1"/>
  <c r="S800" i="16" s="1"/>
  <c r="T800" i="16" s="1"/>
  <c r="Q799" i="16"/>
  <c r="R799" i="16" s="1"/>
  <c r="S799" i="16" s="1"/>
  <c r="T799" i="16" s="1"/>
  <c r="P799" i="16"/>
  <c r="P798" i="16"/>
  <c r="Q798" i="16" s="1"/>
  <c r="R798" i="16" s="1"/>
  <c r="S798" i="16" s="1"/>
  <c r="T798" i="16" s="1"/>
  <c r="P797" i="16"/>
  <c r="Q797" i="16" s="1"/>
  <c r="R797" i="16" s="1"/>
  <c r="S797" i="16" s="1"/>
  <c r="T797" i="16" s="1"/>
  <c r="P796" i="16"/>
  <c r="Q796" i="16" s="1"/>
  <c r="R796" i="16" s="1"/>
  <c r="S796" i="16" s="1"/>
  <c r="T796" i="16" s="1"/>
  <c r="Q795" i="16"/>
  <c r="R795" i="16" s="1"/>
  <c r="S795" i="16" s="1"/>
  <c r="T795" i="16" s="1"/>
  <c r="P795" i="16"/>
  <c r="P794" i="16"/>
  <c r="Q794" i="16" s="1"/>
  <c r="R794" i="16" s="1"/>
  <c r="S794" i="16" s="1"/>
  <c r="T794" i="16" s="1"/>
  <c r="P793" i="16"/>
  <c r="Q793" i="16" s="1"/>
  <c r="R793" i="16" s="1"/>
  <c r="S793" i="16" s="1"/>
  <c r="T793" i="16" s="1"/>
  <c r="P792" i="16"/>
  <c r="Q792" i="16" s="1"/>
  <c r="R792" i="16" s="1"/>
  <c r="S792" i="16" s="1"/>
  <c r="T792" i="16" s="1"/>
  <c r="Q791" i="16"/>
  <c r="R791" i="16" s="1"/>
  <c r="S791" i="16" s="1"/>
  <c r="T791" i="16" s="1"/>
  <c r="P791" i="16"/>
  <c r="P790" i="16"/>
  <c r="Q790" i="16" s="1"/>
  <c r="R790" i="16" s="1"/>
  <c r="S790" i="16" s="1"/>
  <c r="T790" i="16" s="1"/>
  <c r="P789" i="16"/>
  <c r="Q789" i="16" s="1"/>
  <c r="R789" i="16" s="1"/>
  <c r="S789" i="16" s="1"/>
  <c r="T789" i="16" s="1"/>
  <c r="P788" i="16"/>
  <c r="Q788" i="16" s="1"/>
  <c r="R788" i="16" s="1"/>
  <c r="S788" i="16" s="1"/>
  <c r="T788" i="16" s="1"/>
  <c r="Q787" i="16"/>
  <c r="R787" i="16" s="1"/>
  <c r="S787" i="16" s="1"/>
  <c r="T787" i="16" s="1"/>
  <c r="P787" i="16"/>
  <c r="P786" i="16"/>
  <c r="Q786" i="16" s="1"/>
  <c r="R786" i="16" s="1"/>
  <c r="S786" i="16" s="1"/>
  <c r="T786" i="16" s="1"/>
  <c r="P785" i="16"/>
  <c r="Q785" i="16" s="1"/>
  <c r="R785" i="16" s="1"/>
  <c r="S785" i="16" s="1"/>
  <c r="T785" i="16" s="1"/>
  <c r="P784" i="16"/>
  <c r="Q784" i="16" s="1"/>
  <c r="R784" i="16" s="1"/>
  <c r="S784" i="16" s="1"/>
  <c r="T784" i="16" s="1"/>
  <c r="Q783" i="16"/>
  <c r="R783" i="16" s="1"/>
  <c r="S783" i="16" s="1"/>
  <c r="T783" i="16" s="1"/>
  <c r="P783" i="16"/>
  <c r="P782" i="16"/>
  <c r="Q782" i="16" s="1"/>
  <c r="R782" i="16" s="1"/>
  <c r="S782" i="16" s="1"/>
  <c r="T782" i="16" s="1"/>
  <c r="P781" i="16"/>
  <c r="Q781" i="16" s="1"/>
  <c r="R781" i="16" s="1"/>
  <c r="S781" i="16" s="1"/>
  <c r="T781" i="16" s="1"/>
  <c r="P780" i="16"/>
  <c r="Q780" i="16" s="1"/>
  <c r="R780" i="16" s="1"/>
  <c r="S780" i="16" s="1"/>
  <c r="T780" i="16" s="1"/>
  <c r="Q779" i="16"/>
  <c r="R779" i="16" s="1"/>
  <c r="S779" i="16" s="1"/>
  <c r="T779" i="16" s="1"/>
  <c r="P779" i="16"/>
  <c r="P778" i="16"/>
  <c r="Q778" i="16" s="1"/>
  <c r="R778" i="16" s="1"/>
  <c r="S778" i="16" s="1"/>
  <c r="T778" i="16" s="1"/>
  <c r="P777" i="16"/>
  <c r="Q777" i="16" s="1"/>
  <c r="R777" i="16" s="1"/>
  <c r="S777" i="16" s="1"/>
  <c r="T777" i="16" s="1"/>
  <c r="P776" i="16"/>
  <c r="Q776" i="16" s="1"/>
  <c r="R776" i="16" s="1"/>
  <c r="S776" i="16" s="1"/>
  <c r="T776" i="16" s="1"/>
  <c r="Q775" i="16"/>
  <c r="R775" i="16" s="1"/>
  <c r="S775" i="16" s="1"/>
  <c r="T775" i="16" s="1"/>
  <c r="P775" i="16"/>
  <c r="P774" i="16"/>
  <c r="Q774" i="16" s="1"/>
  <c r="R774" i="16" s="1"/>
  <c r="S774" i="16" s="1"/>
  <c r="T774" i="16" s="1"/>
  <c r="Q773" i="16"/>
  <c r="R773" i="16" s="1"/>
  <c r="S773" i="16" s="1"/>
  <c r="T773" i="16" s="1"/>
  <c r="P773" i="16"/>
  <c r="P772" i="16"/>
  <c r="Q772" i="16" s="1"/>
  <c r="R772" i="16" s="1"/>
  <c r="S772" i="16" s="1"/>
  <c r="T772" i="16" s="1"/>
  <c r="Q771" i="16"/>
  <c r="R771" i="16" s="1"/>
  <c r="S771" i="16" s="1"/>
  <c r="T771" i="16" s="1"/>
  <c r="P771" i="16"/>
  <c r="P770" i="16"/>
  <c r="Q770" i="16" s="1"/>
  <c r="R770" i="16" s="1"/>
  <c r="S770" i="16" s="1"/>
  <c r="T770" i="16" s="1"/>
  <c r="Q769" i="16"/>
  <c r="R769" i="16" s="1"/>
  <c r="S769" i="16" s="1"/>
  <c r="T769" i="16" s="1"/>
  <c r="P769" i="16"/>
  <c r="P768" i="16"/>
  <c r="Q768" i="16" s="1"/>
  <c r="R768" i="16" s="1"/>
  <c r="S768" i="16" s="1"/>
  <c r="T768" i="16" s="1"/>
  <c r="Q767" i="16"/>
  <c r="R767" i="16" s="1"/>
  <c r="S767" i="16" s="1"/>
  <c r="T767" i="16" s="1"/>
  <c r="P767" i="16"/>
  <c r="P766" i="16"/>
  <c r="Q766" i="16" s="1"/>
  <c r="R766" i="16" s="1"/>
  <c r="S766" i="16" s="1"/>
  <c r="T766" i="16" s="1"/>
  <c r="Q765" i="16"/>
  <c r="R765" i="16" s="1"/>
  <c r="S765" i="16" s="1"/>
  <c r="T765" i="16" s="1"/>
  <c r="P765" i="16"/>
  <c r="P764" i="16"/>
  <c r="Q764" i="16" s="1"/>
  <c r="R764" i="16" s="1"/>
  <c r="S764" i="16" s="1"/>
  <c r="T764" i="16" s="1"/>
  <c r="Q763" i="16"/>
  <c r="R763" i="16" s="1"/>
  <c r="S763" i="16" s="1"/>
  <c r="T763" i="16" s="1"/>
  <c r="P763" i="16"/>
  <c r="P762" i="16"/>
  <c r="Q762" i="16" s="1"/>
  <c r="R762" i="16" s="1"/>
  <c r="S762" i="16" s="1"/>
  <c r="T762" i="16" s="1"/>
  <c r="Q761" i="16"/>
  <c r="R761" i="16" s="1"/>
  <c r="S761" i="16" s="1"/>
  <c r="T761" i="16" s="1"/>
  <c r="P761" i="16"/>
  <c r="P760" i="16"/>
  <c r="Q760" i="16" s="1"/>
  <c r="R760" i="16" s="1"/>
  <c r="S760" i="16" s="1"/>
  <c r="T760" i="16" s="1"/>
  <c r="Q759" i="16"/>
  <c r="R759" i="16" s="1"/>
  <c r="S759" i="16" s="1"/>
  <c r="T759" i="16" s="1"/>
  <c r="P759" i="16"/>
  <c r="P758" i="16"/>
  <c r="Q758" i="16" s="1"/>
  <c r="R758" i="16" s="1"/>
  <c r="S758" i="16" s="1"/>
  <c r="T758" i="16" s="1"/>
  <c r="Q757" i="16"/>
  <c r="R757" i="16" s="1"/>
  <c r="S757" i="16" s="1"/>
  <c r="T757" i="16" s="1"/>
  <c r="P757" i="16"/>
  <c r="P756" i="16"/>
  <c r="Q756" i="16" s="1"/>
  <c r="R756" i="16" s="1"/>
  <c r="S756" i="16" s="1"/>
  <c r="T756" i="16" s="1"/>
  <c r="Q755" i="16"/>
  <c r="R755" i="16" s="1"/>
  <c r="S755" i="16" s="1"/>
  <c r="T755" i="16" s="1"/>
  <c r="P755" i="16"/>
  <c r="P754" i="16"/>
  <c r="Q754" i="16" s="1"/>
  <c r="R754" i="16" s="1"/>
  <c r="S754" i="16" s="1"/>
  <c r="T754" i="16" s="1"/>
  <c r="Q753" i="16"/>
  <c r="R753" i="16" s="1"/>
  <c r="S753" i="16" s="1"/>
  <c r="T753" i="16" s="1"/>
  <c r="P753" i="16"/>
  <c r="P752" i="16"/>
  <c r="Q752" i="16" s="1"/>
  <c r="R752" i="16" s="1"/>
  <c r="S752" i="16" s="1"/>
  <c r="T752" i="16" s="1"/>
  <c r="Q751" i="16"/>
  <c r="R751" i="16" s="1"/>
  <c r="S751" i="16" s="1"/>
  <c r="T751" i="16" s="1"/>
  <c r="P751" i="16"/>
  <c r="P750" i="16"/>
  <c r="Q750" i="16" s="1"/>
  <c r="R750" i="16" s="1"/>
  <c r="S750" i="16" s="1"/>
  <c r="T750" i="16" s="1"/>
  <c r="Q749" i="16"/>
  <c r="R749" i="16" s="1"/>
  <c r="S749" i="16" s="1"/>
  <c r="T749" i="16" s="1"/>
  <c r="P749" i="16"/>
  <c r="P748" i="16"/>
  <c r="Q748" i="16" s="1"/>
  <c r="R748" i="16" s="1"/>
  <c r="S748" i="16" s="1"/>
  <c r="T748" i="16" s="1"/>
  <c r="Q747" i="16"/>
  <c r="R747" i="16" s="1"/>
  <c r="S747" i="16" s="1"/>
  <c r="T747" i="16" s="1"/>
  <c r="P747" i="16"/>
  <c r="P746" i="16"/>
  <c r="Q746" i="16" s="1"/>
  <c r="R746" i="16" s="1"/>
  <c r="S746" i="16" s="1"/>
  <c r="T746" i="16" s="1"/>
  <c r="Q745" i="16"/>
  <c r="R745" i="16" s="1"/>
  <c r="S745" i="16" s="1"/>
  <c r="T745" i="16" s="1"/>
  <c r="P745" i="16"/>
  <c r="P744" i="16"/>
  <c r="Q744" i="16" s="1"/>
  <c r="R744" i="16" s="1"/>
  <c r="S744" i="16" s="1"/>
  <c r="T744" i="16" s="1"/>
  <c r="Q743" i="16"/>
  <c r="R743" i="16" s="1"/>
  <c r="S743" i="16" s="1"/>
  <c r="T743" i="16" s="1"/>
  <c r="P743" i="16"/>
  <c r="P742" i="16"/>
  <c r="Q742" i="16" s="1"/>
  <c r="R742" i="16" s="1"/>
  <c r="S742" i="16" s="1"/>
  <c r="T742" i="16" s="1"/>
  <c r="Q741" i="16"/>
  <c r="R741" i="16" s="1"/>
  <c r="S741" i="16" s="1"/>
  <c r="T741" i="16" s="1"/>
  <c r="P741" i="16"/>
  <c r="P740" i="16"/>
  <c r="Q740" i="16" s="1"/>
  <c r="R740" i="16" s="1"/>
  <c r="S740" i="16" s="1"/>
  <c r="T740" i="16" s="1"/>
  <c r="Q739" i="16"/>
  <c r="R739" i="16" s="1"/>
  <c r="S739" i="16" s="1"/>
  <c r="T739" i="16" s="1"/>
  <c r="P739" i="16"/>
  <c r="P738" i="16"/>
  <c r="Q738" i="16" s="1"/>
  <c r="R738" i="16" s="1"/>
  <c r="S738" i="16" s="1"/>
  <c r="T738" i="16" s="1"/>
  <c r="Q737" i="16"/>
  <c r="R737" i="16" s="1"/>
  <c r="S737" i="16" s="1"/>
  <c r="T737" i="16" s="1"/>
  <c r="P737" i="16"/>
  <c r="P736" i="16"/>
  <c r="Q736" i="16" s="1"/>
  <c r="R736" i="16" s="1"/>
  <c r="S736" i="16" s="1"/>
  <c r="T736" i="16" s="1"/>
  <c r="Q735" i="16"/>
  <c r="R735" i="16" s="1"/>
  <c r="S735" i="16" s="1"/>
  <c r="T735" i="16" s="1"/>
  <c r="P735" i="16"/>
  <c r="P734" i="16"/>
  <c r="Q734" i="16" s="1"/>
  <c r="R734" i="16" s="1"/>
  <c r="S734" i="16" s="1"/>
  <c r="T734" i="16" s="1"/>
  <c r="Q733" i="16"/>
  <c r="R733" i="16" s="1"/>
  <c r="S733" i="16" s="1"/>
  <c r="T733" i="16" s="1"/>
  <c r="P733" i="16"/>
  <c r="P732" i="16"/>
  <c r="Q732" i="16" s="1"/>
  <c r="R732" i="16" s="1"/>
  <c r="S732" i="16" s="1"/>
  <c r="T732" i="16" s="1"/>
  <c r="Q731" i="16"/>
  <c r="R731" i="16" s="1"/>
  <c r="S731" i="16" s="1"/>
  <c r="T731" i="16" s="1"/>
  <c r="P731" i="16"/>
  <c r="P730" i="16"/>
  <c r="Q730" i="16" s="1"/>
  <c r="R730" i="16" s="1"/>
  <c r="S730" i="16" s="1"/>
  <c r="T730" i="16" s="1"/>
  <c r="Q729" i="16"/>
  <c r="R729" i="16" s="1"/>
  <c r="S729" i="16" s="1"/>
  <c r="T729" i="16" s="1"/>
  <c r="P729" i="16"/>
  <c r="P728" i="16"/>
  <c r="Q728" i="16" s="1"/>
  <c r="R728" i="16" s="1"/>
  <c r="S728" i="16" s="1"/>
  <c r="T728" i="16" s="1"/>
  <c r="Q727" i="16"/>
  <c r="R727" i="16" s="1"/>
  <c r="S727" i="16" s="1"/>
  <c r="T727" i="16" s="1"/>
  <c r="P727" i="16"/>
  <c r="P726" i="16"/>
  <c r="Q726" i="16" s="1"/>
  <c r="R726" i="16" s="1"/>
  <c r="S726" i="16" s="1"/>
  <c r="T726" i="16" s="1"/>
  <c r="Q725" i="16"/>
  <c r="R725" i="16" s="1"/>
  <c r="S725" i="16" s="1"/>
  <c r="T725" i="16" s="1"/>
  <c r="P725" i="16"/>
  <c r="P724" i="16"/>
  <c r="Q724" i="16" s="1"/>
  <c r="R724" i="16" s="1"/>
  <c r="S724" i="16" s="1"/>
  <c r="T724" i="16" s="1"/>
  <c r="Q723" i="16"/>
  <c r="R723" i="16" s="1"/>
  <c r="S723" i="16" s="1"/>
  <c r="T723" i="16" s="1"/>
  <c r="P723" i="16"/>
  <c r="P722" i="16"/>
  <c r="Q722" i="16" s="1"/>
  <c r="R722" i="16" s="1"/>
  <c r="S722" i="16" s="1"/>
  <c r="T722" i="16" s="1"/>
  <c r="Q721" i="16"/>
  <c r="R721" i="16" s="1"/>
  <c r="S721" i="16" s="1"/>
  <c r="T721" i="16" s="1"/>
  <c r="P721" i="16"/>
  <c r="P720" i="16"/>
  <c r="Q720" i="16" s="1"/>
  <c r="R720" i="16" s="1"/>
  <c r="S720" i="16" s="1"/>
  <c r="T720" i="16" s="1"/>
  <c r="Q719" i="16"/>
  <c r="R719" i="16" s="1"/>
  <c r="S719" i="16" s="1"/>
  <c r="T719" i="16" s="1"/>
  <c r="P719" i="16"/>
  <c r="P718" i="16"/>
  <c r="Q718" i="16" s="1"/>
  <c r="R718" i="16" s="1"/>
  <c r="S718" i="16" s="1"/>
  <c r="T718" i="16" s="1"/>
  <c r="Q717" i="16"/>
  <c r="R717" i="16" s="1"/>
  <c r="S717" i="16" s="1"/>
  <c r="T717" i="16" s="1"/>
  <c r="P717" i="16"/>
  <c r="P716" i="16"/>
  <c r="Q716" i="16" s="1"/>
  <c r="R716" i="16" s="1"/>
  <c r="S716" i="16" s="1"/>
  <c r="T716" i="16" s="1"/>
  <c r="Q715" i="16"/>
  <c r="R715" i="16" s="1"/>
  <c r="S715" i="16" s="1"/>
  <c r="T715" i="16" s="1"/>
  <c r="P715" i="16"/>
  <c r="P714" i="16"/>
  <c r="Q714" i="16" s="1"/>
  <c r="R714" i="16" s="1"/>
  <c r="S714" i="16" s="1"/>
  <c r="T714" i="16" s="1"/>
  <c r="Q713" i="16"/>
  <c r="R713" i="16" s="1"/>
  <c r="S713" i="16" s="1"/>
  <c r="T713" i="16" s="1"/>
  <c r="P713" i="16"/>
  <c r="P712" i="16"/>
  <c r="Q712" i="16" s="1"/>
  <c r="R712" i="16" s="1"/>
  <c r="S712" i="16" s="1"/>
  <c r="T712" i="16" s="1"/>
  <c r="Q711" i="16"/>
  <c r="R711" i="16" s="1"/>
  <c r="S711" i="16" s="1"/>
  <c r="T711" i="16" s="1"/>
  <c r="P711" i="16"/>
  <c r="P710" i="16"/>
  <c r="Q710" i="16" s="1"/>
  <c r="R710" i="16" s="1"/>
  <c r="S710" i="16" s="1"/>
  <c r="T710" i="16" s="1"/>
  <c r="Q709" i="16"/>
  <c r="R709" i="16" s="1"/>
  <c r="S709" i="16" s="1"/>
  <c r="T709" i="16" s="1"/>
  <c r="P709" i="16"/>
  <c r="P708" i="16"/>
  <c r="Q708" i="16" s="1"/>
  <c r="R708" i="16" s="1"/>
  <c r="S708" i="16" s="1"/>
  <c r="T708" i="16" s="1"/>
  <c r="Q707" i="16"/>
  <c r="R707" i="16" s="1"/>
  <c r="S707" i="16" s="1"/>
  <c r="T707" i="16" s="1"/>
  <c r="P707" i="16"/>
  <c r="P706" i="16"/>
  <c r="Q706" i="16" s="1"/>
  <c r="R706" i="16" s="1"/>
  <c r="S706" i="16" s="1"/>
  <c r="T706" i="16" s="1"/>
  <c r="Q705" i="16"/>
  <c r="R705" i="16" s="1"/>
  <c r="S705" i="16" s="1"/>
  <c r="T705" i="16" s="1"/>
  <c r="P705" i="16"/>
  <c r="P704" i="16"/>
  <c r="Q704" i="16" s="1"/>
  <c r="R704" i="16" s="1"/>
  <c r="S704" i="16" s="1"/>
  <c r="T704" i="16" s="1"/>
  <c r="Q703" i="16"/>
  <c r="R703" i="16" s="1"/>
  <c r="S703" i="16" s="1"/>
  <c r="T703" i="16" s="1"/>
  <c r="P703" i="16"/>
  <c r="P702" i="16"/>
  <c r="Q702" i="16" s="1"/>
  <c r="R702" i="16" s="1"/>
  <c r="S702" i="16" s="1"/>
  <c r="T702" i="16" s="1"/>
  <c r="Q701" i="16"/>
  <c r="R701" i="16" s="1"/>
  <c r="S701" i="16" s="1"/>
  <c r="T701" i="16" s="1"/>
  <c r="P701" i="16"/>
  <c r="P700" i="16"/>
  <c r="Q700" i="16" s="1"/>
  <c r="R700" i="16" s="1"/>
  <c r="S700" i="16" s="1"/>
  <c r="T700" i="16" s="1"/>
  <c r="Q699" i="16"/>
  <c r="R699" i="16" s="1"/>
  <c r="S699" i="16" s="1"/>
  <c r="T699" i="16" s="1"/>
  <c r="P699" i="16"/>
  <c r="P698" i="16"/>
  <c r="Q698" i="16" s="1"/>
  <c r="R698" i="16" s="1"/>
  <c r="S698" i="16" s="1"/>
  <c r="T698" i="16" s="1"/>
  <c r="Q697" i="16"/>
  <c r="R697" i="16" s="1"/>
  <c r="S697" i="16" s="1"/>
  <c r="T697" i="16" s="1"/>
  <c r="P697" i="16"/>
  <c r="P696" i="16"/>
  <c r="Q696" i="16" s="1"/>
  <c r="R696" i="16" s="1"/>
  <c r="S696" i="16" s="1"/>
  <c r="T696" i="16" s="1"/>
  <c r="Q695" i="16"/>
  <c r="R695" i="16" s="1"/>
  <c r="S695" i="16" s="1"/>
  <c r="T695" i="16" s="1"/>
  <c r="P695" i="16"/>
  <c r="P694" i="16"/>
  <c r="Q694" i="16" s="1"/>
  <c r="R694" i="16" s="1"/>
  <c r="S694" i="16" s="1"/>
  <c r="T694" i="16" s="1"/>
  <c r="Q693" i="16"/>
  <c r="R693" i="16" s="1"/>
  <c r="S693" i="16" s="1"/>
  <c r="T693" i="16" s="1"/>
  <c r="P693" i="16"/>
  <c r="P692" i="16"/>
  <c r="Q692" i="16" s="1"/>
  <c r="R692" i="16" s="1"/>
  <c r="S692" i="16" s="1"/>
  <c r="T692" i="16" s="1"/>
  <c r="Q691" i="16"/>
  <c r="R691" i="16" s="1"/>
  <c r="S691" i="16" s="1"/>
  <c r="T691" i="16" s="1"/>
  <c r="P691" i="16"/>
  <c r="P690" i="16"/>
  <c r="Q690" i="16" s="1"/>
  <c r="R690" i="16" s="1"/>
  <c r="S690" i="16" s="1"/>
  <c r="T690" i="16" s="1"/>
  <c r="Q689" i="16"/>
  <c r="R689" i="16" s="1"/>
  <c r="S689" i="16" s="1"/>
  <c r="T689" i="16" s="1"/>
  <c r="P689" i="16"/>
  <c r="P688" i="16"/>
  <c r="Q688" i="16" s="1"/>
  <c r="R688" i="16" s="1"/>
  <c r="S688" i="16" s="1"/>
  <c r="T688" i="16" s="1"/>
  <c r="Q687" i="16"/>
  <c r="R687" i="16" s="1"/>
  <c r="S687" i="16" s="1"/>
  <c r="T687" i="16" s="1"/>
  <c r="P687" i="16"/>
  <c r="P686" i="16"/>
  <c r="Q686" i="16" s="1"/>
  <c r="R686" i="16" s="1"/>
  <c r="S686" i="16" s="1"/>
  <c r="T686" i="16" s="1"/>
  <c r="Q685" i="16"/>
  <c r="R685" i="16" s="1"/>
  <c r="S685" i="16" s="1"/>
  <c r="T685" i="16" s="1"/>
  <c r="P685" i="16"/>
  <c r="P684" i="16"/>
  <c r="Q684" i="16" s="1"/>
  <c r="R684" i="16" s="1"/>
  <c r="S684" i="16" s="1"/>
  <c r="T684" i="16" s="1"/>
  <c r="Q683" i="16"/>
  <c r="R683" i="16" s="1"/>
  <c r="S683" i="16" s="1"/>
  <c r="T683" i="16" s="1"/>
  <c r="P683" i="16"/>
  <c r="P682" i="16"/>
  <c r="Q682" i="16" s="1"/>
  <c r="R682" i="16" s="1"/>
  <c r="S682" i="16" s="1"/>
  <c r="T682" i="16" s="1"/>
  <c r="Q681" i="16"/>
  <c r="R681" i="16" s="1"/>
  <c r="S681" i="16" s="1"/>
  <c r="T681" i="16" s="1"/>
  <c r="P681" i="16"/>
  <c r="P680" i="16"/>
  <c r="Q680" i="16" s="1"/>
  <c r="R680" i="16" s="1"/>
  <c r="S680" i="16" s="1"/>
  <c r="T680" i="16" s="1"/>
  <c r="Q679" i="16"/>
  <c r="R679" i="16" s="1"/>
  <c r="S679" i="16" s="1"/>
  <c r="T679" i="16" s="1"/>
  <c r="P679" i="16"/>
  <c r="P678" i="16"/>
  <c r="Q678" i="16" s="1"/>
  <c r="R678" i="16" s="1"/>
  <c r="S678" i="16" s="1"/>
  <c r="T678" i="16" s="1"/>
  <c r="Q677" i="16"/>
  <c r="R677" i="16" s="1"/>
  <c r="S677" i="16" s="1"/>
  <c r="T677" i="16" s="1"/>
  <c r="P677" i="16"/>
  <c r="P676" i="16"/>
  <c r="Q676" i="16" s="1"/>
  <c r="R676" i="16" s="1"/>
  <c r="S676" i="16" s="1"/>
  <c r="T676" i="16" s="1"/>
  <c r="Q675" i="16"/>
  <c r="R675" i="16" s="1"/>
  <c r="S675" i="16" s="1"/>
  <c r="T675" i="16" s="1"/>
  <c r="P675" i="16"/>
  <c r="P674" i="16"/>
  <c r="Q674" i="16" s="1"/>
  <c r="R674" i="16" s="1"/>
  <c r="S674" i="16" s="1"/>
  <c r="T674" i="16" s="1"/>
  <c r="Q673" i="16"/>
  <c r="R673" i="16" s="1"/>
  <c r="S673" i="16" s="1"/>
  <c r="T673" i="16" s="1"/>
  <c r="P673" i="16"/>
  <c r="P672" i="16"/>
  <c r="Q672" i="16" s="1"/>
  <c r="R672" i="16" s="1"/>
  <c r="S672" i="16" s="1"/>
  <c r="T672" i="16" s="1"/>
  <c r="Q671" i="16"/>
  <c r="R671" i="16" s="1"/>
  <c r="S671" i="16" s="1"/>
  <c r="T671" i="16" s="1"/>
  <c r="P671" i="16"/>
  <c r="P670" i="16"/>
  <c r="Q670" i="16" s="1"/>
  <c r="R670" i="16" s="1"/>
  <c r="S670" i="16" s="1"/>
  <c r="T670" i="16" s="1"/>
  <c r="Q669" i="16"/>
  <c r="R669" i="16" s="1"/>
  <c r="S669" i="16" s="1"/>
  <c r="T669" i="16" s="1"/>
  <c r="P669" i="16"/>
  <c r="P668" i="16"/>
  <c r="Q668" i="16" s="1"/>
  <c r="R668" i="16" s="1"/>
  <c r="S668" i="16" s="1"/>
  <c r="T668" i="16" s="1"/>
  <c r="Q667" i="16"/>
  <c r="R667" i="16" s="1"/>
  <c r="S667" i="16" s="1"/>
  <c r="T667" i="16" s="1"/>
  <c r="P667" i="16"/>
  <c r="P666" i="16"/>
  <c r="Q666" i="16" s="1"/>
  <c r="R666" i="16" s="1"/>
  <c r="S666" i="16" s="1"/>
  <c r="T666" i="16" s="1"/>
  <c r="Q665" i="16"/>
  <c r="R665" i="16" s="1"/>
  <c r="S665" i="16" s="1"/>
  <c r="T665" i="16" s="1"/>
  <c r="P665" i="16"/>
  <c r="P664" i="16"/>
  <c r="Q664" i="16" s="1"/>
  <c r="R664" i="16" s="1"/>
  <c r="S664" i="16" s="1"/>
  <c r="T664" i="16" s="1"/>
  <c r="Q663" i="16"/>
  <c r="R663" i="16" s="1"/>
  <c r="S663" i="16" s="1"/>
  <c r="T663" i="16" s="1"/>
  <c r="P663" i="16"/>
  <c r="P662" i="16"/>
  <c r="Q662" i="16" s="1"/>
  <c r="R662" i="16" s="1"/>
  <c r="S662" i="16" s="1"/>
  <c r="T662" i="16" s="1"/>
  <c r="Q661" i="16"/>
  <c r="R661" i="16" s="1"/>
  <c r="S661" i="16" s="1"/>
  <c r="T661" i="16" s="1"/>
  <c r="P661" i="16"/>
  <c r="P660" i="16"/>
  <c r="Q660" i="16" s="1"/>
  <c r="R660" i="16" s="1"/>
  <c r="S660" i="16" s="1"/>
  <c r="T660" i="16" s="1"/>
  <c r="Q659" i="16"/>
  <c r="R659" i="16" s="1"/>
  <c r="S659" i="16" s="1"/>
  <c r="T659" i="16" s="1"/>
  <c r="P659" i="16"/>
  <c r="P658" i="16"/>
  <c r="Q658" i="16" s="1"/>
  <c r="R658" i="16" s="1"/>
  <c r="S658" i="16" s="1"/>
  <c r="T658" i="16" s="1"/>
  <c r="Q657" i="16"/>
  <c r="R657" i="16" s="1"/>
  <c r="S657" i="16" s="1"/>
  <c r="T657" i="16" s="1"/>
  <c r="P657" i="16"/>
  <c r="P656" i="16"/>
  <c r="Q656" i="16" s="1"/>
  <c r="R656" i="16" s="1"/>
  <c r="S656" i="16" s="1"/>
  <c r="T656" i="16" s="1"/>
  <c r="Q655" i="16"/>
  <c r="R655" i="16" s="1"/>
  <c r="S655" i="16" s="1"/>
  <c r="T655" i="16" s="1"/>
  <c r="P655" i="16"/>
  <c r="P654" i="16"/>
  <c r="Q654" i="16" s="1"/>
  <c r="R654" i="16" s="1"/>
  <c r="S654" i="16" s="1"/>
  <c r="T654" i="16" s="1"/>
  <c r="Q653" i="16"/>
  <c r="R653" i="16" s="1"/>
  <c r="S653" i="16" s="1"/>
  <c r="T653" i="16" s="1"/>
  <c r="P653" i="16"/>
  <c r="P652" i="16"/>
  <c r="Q652" i="16" s="1"/>
  <c r="R652" i="16" s="1"/>
  <c r="S652" i="16" s="1"/>
  <c r="T652" i="16" s="1"/>
  <c r="Q651" i="16"/>
  <c r="R651" i="16" s="1"/>
  <c r="S651" i="16" s="1"/>
  <c r="T651" i="16" s="1"/>
  <c r="P651" i="16"/>
  <c r="P650" i="16"/>
  <c r="Q650" i="16" s="1"/>
  <c r="R650" i="16" s="1"/>
  <c r="S650" i="16" s="1"/>
  <c r="T650" i="16" s="1"/>
  <c r="Q649" i="16"/>
  <c r="R649" i="16" s="1"/>
  <c r="S649" i="16" s="1"/>
  <c r="T649" i="16" s="1"/>
  <c r="P649" i="16"/>
  <c r="P648" i="16"/>
  <c r="Q648" i="16" s="1"/>
  <c r="R648" i="16" s="1"/>
  <c r="S648" i="16" s="1"/>
  <c r="T648" i="16" s="1"/>
  <c r="Q647" i="16"/>
  <c r="R647" i="16" s="1"/>
  <c r="S647" i="16" s="1"/>
  <c r="T647" i="16" s="1"/>
  <c r="P647" i="16"/>
  <c r="P646" i="16"/>
  <c r="Q646" i="16" s="1"/>
  <c r="R646" i="16" s="1"/>
  <c r="S646" i="16" s="1"/>
  <c r="T646" i="16" s="1"/>
  <c r="Q645" i="16"/>
  <c r="R645" i="16" s="1"/>
  <c r="S645" i="16" s="1"/>
  <c r="T645" i="16" s="1"/>
  <c r="P645" i="16"/>
  <c r="P644" i="16"/>
  <c r="Q644" i="16" s="1"/>
  <c r="R644" i="16" s="1"/>
  <c r="S644" i="16" s="1"/>
  <c r="T644" i="16" s="1"/>
  <c r="Q643" i="16"/>
  <c r="R643" i="16" s="1"/>
  <c r="S643" i="16" s="1"/>
  <c r="T643" i="16" s="1"/>
  <c r="P643" i="16"/>
  <c r="P642" i="16"/>
  <c r="Q642" i="16" s="1"/>
  <c r="R642" i="16" s="1"/>
  <c r="S642" i="16" s="1"/>
  <c r="T642" i="16" s="1"/>
  <c r="Q641" i="16"/>
  <c r="R641" i="16" s="1"/>
  <c r="S641" i="16" s="1"/>
  <c r="T641" i="16" s="1"/>
  <c r="P641" i="16"/>
  <c r="P640" i="16"/>
  <c r="Q640" i="16" s="1"/>
  <c r="R640" i="16" s="1"/>
  <c r="S640" i="16" s="1"/>
  <c r="T640" i="16" s="1"/>
  <c r="Q639" i="16"/>
  <c r="R639" i="16" s="1"/>
  <c r="S639" i="16" s="1"/>
  <c r="T639" i="16" s="1"/>
  <c r="P639" i="16"/>
  <c r="P638" i="16"/>
  <c r="Q638" i="16" s="1"/>
  <c r="R638" i="16" s="1"/>
  <c r="S638" i="16" s="1"/>
  <c r="T638" i="16" s="1"/>
  <c r="Q637" i="16"/>
  <c r="R637" i="16" s="1"/>
  <c r="S637" i="16" s="1"/>
  <c r="T637" i="16" s="1"/>
  <c r="P637" i="16"/>
  <c r="P636" i="16"/>
  <c r="Q636" i="16" s="1"/>
  <c r="R636" i="16" s="1"/>
  <c r="S636" i="16" s="1"/>
  <c r="T636" i="16" s="1"/>
  <c r="Q635" i="16"/>
  <c r="R635" i="16" s="1"/>
  <c r="S635" i="16" s="1"/>
  <c r="T635" i="16" s="1"/>
  <c r="P635" i="16"/>
  <c r="P634" i="16"/>
  <c r="Q634" i="16" s="1"/>
  <c r="R634" i="16" s="1"/>
  <c r="S634" i="16" s="1"/>
  <c r="T634" i="16" s="1"/>
  <c r="Q633" i="16"/>
  <c r="R633" i="16" s="1"/>
  <c r="S633" i="16" s="1"/>
  <c r="T633" i="16" s="1"/>
  <c r="P633" i="16"/>
  <c r="P632" i="16"/>
  <c r="Q632" i="16" s="1"/>
  <c r="R632" i="16" s="1"/>
  <c r="S632" i="16" s="1"/>
  <c r="T632" i="16" s="1"/>
  <c r="Q631" i="16"/>
  <c r="R631" i="16" s="1"/>
  <c r="S631" i="16" s="1"/>
  <c r="T631" i="16" s="1"/>
  <c r="P631" i="16"/>
  <c r="P630" i="16"/>
  <c r="Q630" i="16" s="1"/>
  <c r="R630" i="16" s="1"/>
  <c r="S630" i="16" s="1"/>
  <c r="T630" i="16" s="1"/>
  <c r="Q629" i="16"/>
  <c r="R629" i="16" s="1"/>
  <c r="S629" i="16" s="1"/>
  <c r="T629" i="16" s="1"/>
  <c r="P629" i="16"/>
  <c r="P628" i="16"/>
  <c r="Q628" i="16" s="1"/>
  <c r="R628" i="16" s="1"/>
  <c r="S628" i="16" s="1"/>
  <c r="T628" i="16" s="1"/>
  <c r="Q627" i="16"/>
  <c r="R627" i="16" s="1"/>
  <c r="S627" i="16" s="1"/>
  <c r="T627" i="16" s="1"/>
  <c r="P627" i="16"/>
  <c r="P626" i="16"/>
  <c r="Q626" i="16" s="1"/>
  <c r="R626" i="16" s="1"/>
  <c r="S626" i="16" s="1"/>
  <c r="T626" i="16" s="1"/>
  <c r="Q625" i="16"/>
  <c r="R625" i="16" s="1"/>
  <c r="S625" i="16" s="1"/>
  <c r="T625" i="16" s="1"/>
  <c r="P625" i="16"/>
  <c r="Q624" i="16"/>
  <c r="R624" i="16" s="1"/>
  <c r="S624" i="16" s="1"/>
  <c r="T624" i="16" s="1"/>
  <c r="P624" i="16"/>
  <c r="R623" i="16"/>
  <c r="S623" i="16" s="1"/>
  <c r="T623" i="16" s="1"/>
  <c r="Q623" i="16"/>
  <c r="P623" i="16"/>
  <c r="P622" i="16"/>
  <c r="Q622" i="16" s="1"/>
  <c r="R622" i="16" s="1"/>
  <c r="S622" i="16" s="1"/>
  <c r="T622" i="16" s="1"/>
  <c r="T621" i="16"/>
  <c r="P621" i="16"/>
  <c r="Q621" i="16" s="1"/>
  <c r="R621" i="16" s="1"/>
  <c r="S621" i="16" s="1"/>
  <c r="R620" i="16"/>
  <c r="S620" i="16" s="1"/>
  <c r="T620" i="16" s="1"/>
  <c r="Q620" i="16"/>
  <c r="P620" i="16"/>
  <c r="R619" i="16"/>
  <c r="S619" i="16" s="1"/>
  <c r="T619" i="16" s="1"/>
  <c r="Q619" i="16"/>
  <c r="P619" i="16"/>
  <c r="S618" i="16"/>
  <c r="T618" i="16" s="1"/>
  <c r="P618" i="16"/>
  <c r="Q618" i="16" s="1"/>
  <c r="R618" i="16" s="1"/>
  <c r="P617" i="16"/>
  <c r="Q617" i="16" s="1"/>
  <c r="R617" i="16" s="1"/>
  <c r="S617" i="16" s="1"/>
  <c r="T617" i="16" s="1"/>
  <c r="R616" i="16"/>
  <c r="S616" i="16" s="1"/>
  <c r="T616" i="16" s="1"/>
  <c r="Q616" i="16"/>
  <c r="P616" i="16"/>
  <c r="S615" i="16"/>
  <c r="T615" i="16" s="1"/>
  <c r="R615" i="16"/>
  <c r="Q615" i="16"/>
  <c r="P615" i="16"/>
  <c r="T614" i="16"/>
  <c r="S614" i="16"/>
  <c r="P614" i="16"/>
  <c r="Q614" i="16" s="1"/>
  <c r="R614" i="16" s="1"/>
  <c r="P613" i="16"/>
  <c r="Q613" i="16" s="1"/>
  <c r="R613" i="16" s="1"/>
  <c r="S613" i="16" s="1"/>
  <c r="T613" i="16" s="1"/>
  <c r="Q612" i="16"/>
  <c r="R612" i="16" s="1"/>
  <c r="S612" i="16" s="1"/>
  <c r="T612" i="16" s="1"/>
  <c r="P612" i="16"/>
  <c r="S611" i="16"/>
  <c r="T611" i="16" s="1"/>
  <c r="R611" i="16"/>
  <c r="Q611" i="16"/>
  <c r="P611" i="16"/>
  <c r="P610" i="16"/>
  <c r="Q610" i="16" s="1"/>
  <c r="R610" i="16" s="1"/>
  <c r="S610" i="16" s="1"/>
  <c r="T610" i="16" s="1"/>
  <c r="Q609" i="16"/>
  <c r="R609" i="16" s="1"/>
  <c r="S609" i="16" s="1"/>
  <c r="T609" i="16" s="1"/>
  <c r="P609" i="16"/>
  <c r="Q608" i="16"/>
  <c r="R608" i="16" s="1"/>
  <c r="S608" i="16" s="1"/>
  <c r="T608" i="16" s="1"/>
  <c r="P608" i="16"/>
  <c r="R607" i="16"/>
  <c r="S607" i="16" s="1"/>
  <c r="T607" i="16" s="1"/>
  <c r="Q607" i="16"/>
  <c r="P607" i="16"/>
  <c r="P606" i="16"/>
  <c r="Q606" i="16" s="1"/>
  <c r="R606" i="16" s="1"/>
  <c r="S606" i="16" s="1"/>
  <c r="T606" i="16" s="1"/>
  <c r="T605" i="16"/>
  <c r="P605" i="16"/>
  <c r="Q605" i="16" s="1"/>
  <c r="R605" i="16" s="1"/>
  <c r="S605" i="16" s="1"/>
  <c r="R604" i="16"/>
  <c r="S604" i="16" s="1"/>
  <c r="T604" i="16" s="1"/>
  <c r="Q604" i="16"/>
  <c r="P604" i="16"/>
  <c r="R603" i="16"/>
  <c r="S603" i="16" s="1"/>
  <c r="T603" i="16" s="1"/>
  <c r="Q603" i="16"/>
  <c r="P603" i="16"/>
  <c r="S602" i="16"/>
  <c r="T602" i="16" s="1"/>
  <c r="P602" i="16"/>
  <c r="Q602" i="16" s="1"/>
  <c r="R602" i="16" s="1"/>
  <c r="P601" i="16"/>
  <c r="Q601" i="16" s="1"/>
  <c r="R601" i="16" s="1"/>
  <c r="S601" i="16" s="1"/>
  <c r="T601" i="16" s="1"/>
  <c r="R600" i="16"/>
  <c r="S600" i="16" s="1"/>
  <c r="T600" i="16" s="1"/>
  <c r="Q600" i="16"/>
  <c r="P600" i="16"/>
  <c r="S599" i="16"/>
  <c r="T599" i="16" s="1"/>
  <c r="R599" i="16"/>
  <c r="Q599" i="16"/>
  <c r="P599" i="16"/>
  <c r="T598" i="16"/>
  <c r="S598" i="16"/>
  <c r="P598" i="16"/>
  <c r="Q598" i="16" s="1"/>
  <c r="R598" i="16" s="1"/>
  <c r="P597" i="16"/>
  <c r="Q597" i="16" s="1"/>
  <c r="R597" i="16" s="1"/>
  <c r="S597" i="16" s="1"/>
  <c r="T597" i="16" s="1"/>
  <c r="Q596" i="16"/>
  <c r="R596" i="16" s="1"/>
  <c r="S596" i="16" s="1"/>
  <c r="T596" i="16" s="1"/>
  <c r="P596" i="16"/>
  <c r="S595" i="16"/>
  <c r="T595" i="16" s="1"/>
  <c r="R595" i="16"/>
  <c r="Q595" i="16"/>
  <c r="P595" i="16"/>
  <c r="P594" i="16"/>
  <c r="Q594" i="16" s="1"/>
  <c r="R594" i="16" s="1"/>
  <c r="S594" i="16" s="1"/>
  <c r="T594" i="16" s="1"/>
  <c r="Q593" i="16"/>
  <c r="R593" i="16" s="1"/>
  <c r="S593" i="16" s="1"/>
  <c r="T593" i="16" s="1"/>
  <c r="P593" i="16"/>
  <c r="Q592" i="16"/>
  <c r="R592" i="16" s="1"/>
  <c r="S592" i="16" s="1"/>
  <c r="T592" i="16" s="1"/>
  <c r="P592" i="16"/>
  <c r="R591" i="16"/>
  <c r="S591" i="16" s="1"/>
  <c r="T591" i="16" s="1"/>
  <c r="Q591" i="16"/>
  <c r="P591" i="16"/>
  <c r="P590" i="16"/>
  <c r="Q590" i="16" s="1"/>
  <c r="R590" i="16" s="1"/>
  <c r="S590" i="16" s="1"/>
  <c r="T590" i="16" s="1"/>
  <c r="T589" i="16"/>
  <c r="P589" i="16"/>
  <c r="Q589" i="16" s="1"/>
  <c r="R589" i="16" s="1"/>
  <c r="S589" i="16" s="1"/>
  <c r="R588" i="16"/>
  <c r="S588" i="16" s="1"/>
  <c r="T588" i="16" s="1"/>
  <c r="Q588" i="16"/>
  <c r="P588" i="16"/>
  <c r="R587" i="16"/>
  <c r="S587" i="16" s="1"/>
  <c r="T587" i="16" s="1"/>
  <c r="Q587" i="16"/>
  <c r="P587" i="16"/>
  <c r="S586" i="16"/>
  <c r="T586" i="16" s="1"/>
  <c r="P586" i="16"/>
  <c r="Q586" i="16" s="1"/>
  <c r="R586" i="16" s="1"/>
  <c r="P585" i="16"/>
  <c r="Q585" i="16" s="1"/>
  <c r="R585" i="16" s="1"/>
  <c r="S585" i="16" s="1"/>
  <c r="T585" i="16" s="1"/>
  <c r="R584" i="16"/>
  <c r="S584" i="16" s="1"/>
  <c r="T584" i="16" s="1"/>
  <c r="Q584" i="16"/>
  <c r="P584" i="16"/>
  <c r="S583" i="16"/>
  <c r="T583" i="16" s="1"/>
  <c r="R583" i="16"/>
  <c r="Q583" i="16"/>
  <c r="P583" i="16"/>
  <c r="T582" i="16"/>
  <c r="S582" i="16"/>
  <c r="P582" i="16"/>
  <c r="Q582" i="16" s="1"/>
  <c r="R582" i="16" s="1"/>
  <c r="P581" i="16"/>
  <c r="Q581" i="16" s="1"/>
  <c r="R581" i="16" s="1"/>
  <c r="S581" i="16" s="1"/>
  <c r="T581" i="16" s="1"/>
  <c r="Q580" i="16"/>
  <c r="R580" i="16" s="1"/>
  <c r="S580" i="16" s="1"/>
  <c r="T580" i="16" s="1"/>
  <c r="P580" i="16"/>
  <c r="S579" i="16"/>
  <c r="T579" i="16" s="1"/>
  <c r="R579" i="16"/>
  <c r="Q579" i="16"/>
  <c r="P579" i="16"/>
  <c r="P578" i="16"/>
  <c r="Q578" i="16" s="1"/>
  <c r="R578" i="16" s="1"/>
  <c r="S578" i="16" s="1"/>
  <c r="T578" i="16" s="1"/>
  <c r="Q577" i="16"/>
  <c r="R577" i="16" s="1"/>
  <c r="S577" i="16" s="1"/>
  <c r="T577" i="16" s="1"/>
  <c r="P577" i="16"/>
  <c r="Q576" i="16"/>
  <c r="R576" i="16" s="1"/>
  <c r="S576" i="16" s="1"/>
  <c r="T576" i="16" s="1"/>
  <c r="P576" i="16"/>
  <c r="R575" i="16"/>
  <c r="S575" i="16" s="1"/>
  <c r="T575" i="16" s="1"/>
  <c r="Q575" i="16"/>
  <c r="P575" i="16"/>
  <c r="P574" i="16"/>
  <c r="Q574" i="16" s="1"/>
  <c r="R574" i="16" s="1"/>
  <c r="S574" i="16" s="1"/>
  <c r="T574" i="16" s="1"/>
  <c r="T573" i="16"/>
  <c r="P573" i="16"/>
  <c r="Q573" i="16" s="1"/>
  <c r="R573" i="16" s="1"/>
  <c r="S573" i="16" s="1"/>
  <c r="R572" i="16"/>
  <c r="S572" i="16" s="1"/>
  <c r="T572" i="16" s="1"/>
  <c r="Q572" i="16"/>
  <c r="P572" i="16"/>
  <c r="R571" i="16"/>
  <c r="S571" i="16" s="1"/>
  <c r="T571" i="16" s="1"/>
  <c r="Q571" i="16"/>
  <c r="P571" i="16"/>
  <c r="S570" i="16"/>
  <c r="T570" i="16" s="1"/>
  <c r="P570" i="16"/>
  <c r="Q570" i="16" s="1"/>
  <c r="R570" i="16" s="1"/>
  <c r="P569" i="16"/>
  <c r="Q569" i="16" s="1"/>
  <c r="R569" i="16" s="1"/>
  <c r="S569" i="16" s="1"/>
  <c r="T569" i="16" s="1"/>
  <c r="R568" i="16"/>
  <c r="S568" i="16" s="1"/>
  <c r="T568" i="16" s="1"/>
  <c r="Q568" i="16"/>
  <c r="P568" i="16"/>
  <c r="S567" i="16"/>
  <c r="T567" i="16" s="1"/>
  <c r="R567" i="16"/>
  <c r="Q567" i="16"/>
  <c r="P567" i="16"/>
  <c r="T566" i="16"/>
  <c r="S566" i="16"/>
  <c r="P566" i="16"/>
  <c r="Q566" i="16" s="1"/>
  <c r="R566" i="16" s="1"/>
  <c r="P565" i="16"/>
  <c r="Q565" i="16" s="1"/>
  <c r="R565" i="16" s="1"/>
  <c r="S565" i="16" s="1"/>
  <c r="T565" i="16" s="1"/>
  <c r="Q564" i="16"/>
  <c r="R564" i="16" s="1"/>
  <c r="S564" i="16" s="1"/>
  <c r="T564" i="16" s="1"/>
  <c r="P564" i="16"/>
  <c r="S563" i="16"/>
  <c r="T563" i="16" s="1"/>
  <c r="R563" i="16"/>
  <c r="Q563" i="16"/>
  <c r="P563" i="16"/>
  <c r="P562" i="16"/>
  <c r="Q562" i="16" s="1"/>
  <c r="R562" i="16" s="1"/>
  <c r="S562" i="16" s="1"/>
  <c r="T562" i="16" s="1"/>
  <c r="Q561" i="16"/>
  <c r="R561" i="16" s="1"/>
  <c r="S561" i="16" s="1"/>
  <c r="T561" i="16" s="1"/>
  <c r="P561" i="16"/>
  <c r="Q560" i="16"/>
  <c r="R560" i="16" s="1"/>
  <c r="S560" i="16" s="1"/>
  <c r="T560" i="16" s="1"/>
  <c r="P560" i="16"/>
  <c r="R559" i="16"/>
  <c r="S559" i="16" s="1"/>
  <c r="T559" i="16" s="1"/>
  <c r="Q559" i="16"/>
  <c r="P559" i="16"/>
  <c r="P558" i="16"/>
  <c r="Q558" i="16" s="1"/>
  <c r="R558" i="16" s="1"/>
  <c r="S558" i="16" s="1"/>
  <c r="T558" i="16" s="1"/>
  <c r="T557" i="16"/>
  <c r="P557" i="16"/>
  <c r="Q557" i="16" s="1"/>
  <c r="R557" i="16" s="1"/>
  <c r="S557" i="16" s="1"/>
  <c r="R556" i="16"/>
  <c r="S556" i="16" s="1"/>
  <c r="T556" i="16" s="1"/>
  <c r="Q556" i="16"/>
  <c r="P556" i="16"/>
  <c r="R555" i="16"/>
  <c r="S555" i="16" s="1"/>
  <c r="T555" i="16" s="1"/>
  <c r="Q555" i="16"/>
  <c r="P555" i="16"/>
  <c r="S554" i="16"/>
  <c r="T554" i="16" s="1"/>
  <c r="P554" i="16"/>
  <c r="Q554" i="16" s="1"/>
  <c r="R554" i="16" s="1"/>
  <c r="P553" i="16"/>
  <c r="Q553" i="16" s="1"/>
  <c r="R553" i="16" s="1"/>
  <c r="S553" i="16" s="1"/>
  <c r="T553" i="16" s="1"/>
  <c r="R552" i="16"/>
  <c r="S552" i="16" s="1"/>
  <c r="T552" i="16" s="1"/>
  <c r="Q552" i="16"/>
  <c r="P552" i="16"/>
  <c r="S551" i="16"/>
  <c r="T551" i="16" s="1"/>
  <c r="R551" i="16"/>
  <c r="Q551" i="16"/>
  <c r="P551" i="16"/>
  <c r="T550" i="16"/>
  <c r="S550" i="16"/>
  <c r="P550" i="16"/>
  <c r="Q550" i="16" s="1"/>
  <c r="R550" i="16" s="1"/>
  <c r="P549" i="16"/>
  <c r="Q549" i="16" s="1"/>
  <c r="R549" i="16" s="1"/>
  <c r="S549" i="16" s="1"/>
  <c r="T549" i="16" s="1"/>
  <c r="Q548" i="16"/>
  <c r="R548" i="16" s="1"/>
  <c r="S548" i="16" s="1"/>
  <c r="T548" i="16" s="1"/>
  <c r="P548" i="16"/>
  <c r="S547" i="16"/>
  <c r="T547" i="16" s="1"/>
  <c r="R547" i="16"/>
  <c r="Q547" i="16"/>
  <c r="P547" i="16"/>
  <c r="P546" i="16"/>
  <c r="Q546" i="16" s="1"/>
  <c r="R546" i="16" s="1"/>
  <c r="S546" i="16" s="1"/>
  <c r="T546" i="16" s="1"/>
  <c r="Q545" i="16"/>
  <c r="R545" i="16" s="1"/>
  <c r="S545" i="16" s="1"/>
  <c r="T545" i="16" s="1"/>
  <c r="P545" i="16"/>
  <c r="Q544" i="16"/>
  <c r="R544" i="16" s="1"/>
  <c r="S544" i="16" s="1"/>
  <c r="T544" i="16" s="1"/>
  <c r="P544" i="16"/>
  <c r="R543" i="16"/>
  <c r="S543" i="16" s="1"/>
  <c r="T543" i="16" s="1"/>
  <c r="Q543" i="16"/>
  <c r="P543" i="16"/>
  <c r="P542" i="16"/>
  <c r="Q542" i="16" s="1"/>
  <c r="R542" i="16" s="1"/>
  <c r="S542" i="16" s="1"/>
  <c r="T542" i="16" s="1"/>
  <c r="T541" i="16"/>
  <c r="P541" i="16"/>
  <c r="Q541" i="16" s="1"/>
  <c r="R541" i="16" s="1"/>
  <c r="S541" i="16" s="1"/>
  <c r="R540" i="16"/>
  <c r="S540" i="16" s="1"/>
  <c r="T540" i="16" s="1"/>
  <c r="Q540" i="16"/>
  <c r="P540" i="16"/>
  <c r="R539" i="16"/>
  <c r="S539" i="16" s="1"/>
  <c r="T539" i="16" s="1"/>
  <c r="Q539" i="16"/>
  <c r="P539" i="16"/>
  <c r="S538" i="16"/>
  <c r="T538" i="16" s="1"/>
  <c r="P538" i="16"/>
  <c r="Q538" i="16" s="1"/>
  <c r="R538" i="16" s="1"/>
  <c r="P537" i="16"/>
  <c r="Q537" i="16" s="1"/>
  <c r="R537" i="16" s="1"/>
  <c r="S537" i="16" s="1"/>
  <c r="T537" i="16" s="1"/>
  <c r="R536" i="16"/>
  <c r="S536" i="16" s="1"/>
  <c r="T536" i="16" s="1"/>
  <c r="Q536" i="16"/>
  <c r="P536" i="16"/>
  <c r="S535" i="16"/>
  <c r="T535" i="16" s="1"/>
  <c r="R535" i="16"/>
  <c r="Q535" i="16"/>
  <c r="P535" i="16"/>
  <c r="T534" i="16"/>
  <c r="S534" i="16"/>
  <c r="P534" i="16"/>
  <c r="Q534" i="16" s="1"/>
  <c r="R534" i="16" s="1"/>
  <c r="P533" i="16"/>
  <c r="Q533" i="16" s="1"/>
  <c r="R533" i="16" s="1"/>
  <c r="S533" i="16" s="1"/>
  <c r="T533" i="16" s="1"/>
  <c r="Q532" i="16"/>
  <c r="R532" i="16" s="1"/>
  <c r="S532" i="16" s="1"/>
  <c r="T532" i="16" s="1"/>
  <c r="P532" i="16"/>
  <c r="S531" i="16"/>
  <c r="T531" i="16" s="1"/>
  <c r="R531" i="16"/>
  <c r="Q531" i="16"/>
  <c r="P531" i="16"/>
  <c r="P530" i="16"/>
  <c r="Q530" i="16" s="1"/>
  <c r="R530" i="16" s="1"/>
  <c r="S530" i="16" s="1"/>
  <c r="T530" i="16" s="1"/>
  <c r="Q529" i="16"/>
  <c r="R529" i="16" s="1"/>
  <c r="S529" i="16" s="1"/>
  <c r="T529" i="16" s="1"/>
  <c r="P529" i="16"/>
  <c r="Q528" i="16"/>
  <c r="R528" i="16" s="1"/>
  <c r="S528" i="16" s="1"/>
  <c r="T528" i="16" s="1"/>
  <c r="P528" i="16"/>
  <c r="R527" i="16"/>
  <c r="S527" i="16" s="1"/>
  <c r="T527" i="16" s="1"/>
  <c r="Q527" i="16"/>
  <c r="P527" i="16"/>
  <c r="P526" i="16"/>
  <c r="Q526" i="16" s="1"/>
  <c r="R526" i="16" s="1"/>
  <c r="S526" i="16" s="1"/>
  <c r="T526" i="16" s="1"/>
  <c r="T525" i="16"/>
  <c r="P525" i="16"/>
  <c r="Q525" i="16" s="1"/>
  <c r="R525" i="16" s="1"/>
  <c r="S525" i="16" s="1"/>
  <c r="R524" i="16"/>
  <c r="S524" i="16" s="1"/>
  <c r="T524" i="16" s="1"/>
  <c r="Q524" i="16"/>
  <c r="P524" i="16"/>
  <c r="R523" i="16"/>
  <c r="S523" i="16" s="1"/>
  <c r="T523" i="16" s="1"/>
  <c r="Q523" i="16"/>
  <c r="P523" i="16"/>
  <c r="S522" i="16"/>
  <c r="T522" i="16" s="1"/>
  <c r="P522" i="16"/>
  <c r="Q522" i="16" s="1"/>
  <c r="R522" i="16" s="1"/>
  <c r="P521" i="16"/>
  <c r="Q521" i="16" s="1"/>
  <c r="R521" i="16" s="1"/>
  <c r="S521" i="16" s="1"/>
  <c r="T521" i="16" s="1"/>
  <c r="R520" i="16"/>
  <c r="S520" i="16" s="1"/>
  <c r="T520" i="16" s="1"/>
  <c r="Q520" i="16"/>
  <c r="P520" i="16"/>
  <c r="S519" i="16"/>
  <c r="T519" i="16" s="1"/>
  <c r="R519" i="16"/>
  <c r="Q519" i="16"/>
  <c r="P519" i="16"/>
  <c r="T518" i="16"/>
  <c r="S518" i="16"/>
  <c r="P518" i="16"/>
  <c r="Q518" i="16" s="1"/>
  <c r="R518" i="16" s="1"/>
  <c r="P517" i="16"/>
  <c r="Q517" i="16" s="1"/>
  <c r="R517" i="16" s="1"/>
  <c r="S517" i="16" s="1"/>
  <c r="T517" i="16" s="1"/>
  <c r="Q516" i="16"/>
  <c r="R516" i="16" s="1"/>
  <c r="S516" i="16" s="1"/>
  <c r="T516" i="16" s="1"/>
  <c r="P516" i="16"/>
  <c r="S515" i="16"/>
  <c r="T515" i="16" s="1"/>
  <c r="R515" i="16"/>
  <c r="Q515" i="16"/>
  <c r="P515" i="16"/>
  <c r="P514" i="16"/>
  <c r="Q514" i="16" s="1"/>
  <c r="R514" i="16" s="1"/>
  <c r="S514" i="16" s="1"/>
  <c r="T514" i="16" s="1"/>
  <c r="Q513" i="16"/>
  <c r="R513" i="16" s="1"/>
  <c r="S513" i="16" s="1"/>
  <c r="T513" i="16" s="1"/>
  <c r="P513" i="16"/>
  <c r="Q512" i="16"/>
  <c r="R512" i="16" s="1"/>
  <c r="S512" i="16" s="1"/>
  <c r="T512" i="16" s="1"/>
  <c r="P512" i="16"/>
  <c r="R511" i="16"/>
  <c r="S511" i="16" s="1"/>
  <c r="T511" i="16" s="1"/>
  <c r="Q511" i="16"/>
  <c r="P511" i="16"/>
  <c r="P510" i="16"/>
  <c r="Q510" i="16" s="1"/>
  <c r="R510" i="16" s="1"/>
  <c r="S510" i="16" s="1"/>
  <c r="T510" i="16" s="1"/>
  <c r="T509" i="16"/>
  <c r="P509" i="16"/>
  <c r="Q509" i="16" s="1"/>
  <c r="R509" i="16" s="1"/>
  <c r="S509" i="16" s="1"/>
  <c r="R508" i="16"/>
  <c r="S508" i="16" s="1"/>
  <c r="T508" i="16" s="1"/>
  <c r="Q508" i="16"/>
  <c r="P508" i="16"/>
  <c r="R507" i="16"/>
  <c r="S507" i="16" s="1"/>
  <c r="T507" i="16" s="1"/>
  <c r="Q507" i="16"/>
  <c r="P507" i="16"/>
  <c r="S506" i="16"/>
  <c r="T506" i="16" s="1"/>
  <c r="P506" i="16"/>
  <c r="Q506" i="16" s="1"/>
  <c r="R506" i="16" s="1"/>
  <c r="P505" i="16"/>
  <c r="Q505" i="16" s="1"/>
  <c r="R505" i="16" s="1"/>
  <c r="S505" i="16" s="1"/>
  <c r="T505" i="16" s="1"/>
  <c r="R504" i="16"/>
  <c r="S504" i="16" s="1"/>
  <c r="T504" i="16" s="1"/>
  <c r="Q504" i="16"/>
  <c r="P504" i="16"/>
  <c r="S503" i="16"/>
  <c r="T503" i="16" s="1"/>
  <c r="R503" i="16"/>
  <c r="Q503" i="16"/>
  <c r="P503" i="16"/>
  <c r="T502" i="16"/>
  <c r="S502" i="16"/>
  <c r="P502" i="16"/>
  <c r="Q502" i="16" s="1"/>
  <c r="R502" i="16" s="1"/>
  <c r="P501" i="16"/>
  <c r="Q501" i="16" s="1"/>
  <c r="R501" i="16" s="1"/>
  <c r="S501" i="16" s="1"/>
  <c r="T501" i="16" s="1"/>
  <c r="Q500" i="16"/>
  <c r="R500" i="16" s="1"/>
  <c r="S500" i="16" s="1"/>
  <c r="T500" i="16" s="1"/>
  <c r="P500" i="16"/>
  <c r="S499" i="16"/>
  <c r="T499" i="16" s="1"/>
  <c r="R499" i="16"/>
  <c r="Q499" i="16"/>
  <c r="P499" i="16"/>
  <c r="P498" i="16"/>
  <c r="Q498" i="16" s="1"/>
  <c r="R498" i="16" s="1"/>
  <c r="S498" i="16" s="1"/>
  <c r="T498" i="16" s="1"/>
  <c r="Q497" i="16"/>
  <c r="R497" i="16" s="1"/>
  <c r="S497" i="16" s="1"/>
  <c r="T497" i="16" s="1"/>
  <c r="P497" i="16"/>
  <c r="Q496" i="16"/>
  <c r="R496" i="16" s="1"/>
  <c r="S496" i="16" s="1"/>
  <c r="T496" i="16" s="1"/>
  <c r="P496" i="16"/>
  <c r="R495" i="16"/>
  <c r="S495" i="16" s="1"/>
  <c r="T495" i="16" s="1"/>
  <c r="Q495" i="16"/>
  <c r="P495" i="16"/>
  <c r="P494" i="16"/>
  <c r="Q494" i="16" s="1"/>
  <c r="R494" i="16" s="1"/>
  <c r="S494" i="16" s="1"/>
  <c r="T494" i="16" s="1"/>
  <c r="T493" i="16"/>
  <c r="P493" i="16"/>
  <c r="Q493" i="16" s="1"/>
  <c r="R493" i="16" s="1"/>
  <c r="S493" i="16" s="1"/>
  <c r="R492" i="16"/>
  <c r="S492" i="16" s="1"/>
  <c r="T492" i="16" s="1"/>
  <c r="Q492" i="16"/>
  <c r="P492" i="16"/>
  <c r="R491" i="16"/>
  <c r="S491" i="16" s="1"/>
  <c r="T491" i="16" s="1"/>
  <c r="Q491" i="16"/>
  <c r="P491" i="16"/>
  <c r="S490" i="16"/>
  <c r="T490" i="16" s="1"/>
  <c r="P490" i="16"/>
  <c r="Q490" i="16" s="1"/>
  <c r="R490" i="16" s="1"/>
  <c r="P489" i="16"/>
  <c r="Q489" i="16" s="1"/>
  <c r="R489" i="16" s="1"/>
  <c r="S489" i="16" s="1"/>
  <c r="T489" i="16" s="1"/>
  <c r="R488" i="16"/>
  <c r="S488" i="16" s="1"/>
  <c r="T488" i="16" s="1"/>
  <c r="Q488" i="16"/>
  <c r="P488" i="16"/>
  <c r="S487" i="16"/>
  <c r="T487" i="16" s="1"/>
  <c r="R487" i="16"/>
  <c r="Q487" i="16"/>
  <c r="P487" i="16"/>
  <c r="T486" i="16"/>
  <c r="S486" i="16"/>
  <c r="P486" i="16"/>
  <c r="Q486" i="16" s="1"/>
  <c r="R486" i="16" s="1"/>
  <c r="P485" i="16"/>
  <c r="Q485" i="16" s="1"/>
  <c r="R485" i="16" s="1"/>
  <c r="S485" i="16" s="1"/>
  <c r="T485" i="16" s="1"/>
  <c r="Q484" i="16"/>
  <c r="R484" i="16" s="1"/>
  <c r="S484" i="16" s="1"/>
  <c r="T484" i="16" s="1"/>
  <c r="P484" i="16"/>
  <c r="S483" i="16"/>
  <c r="T483" i="16" s="1"/>
  <c r="R483" i="16"/>
  <c r="Q483" i="16"/>
  <c r="P483" i="16"/>
  <c r="P482" i="16"/>
  <c r="Q482" i="16" s="1"/>
  <c r="R482" i="16" s="1"/>
  <c r="S482" i="16" s="1"/>
  <c r="T482" i="16" s="1"/>
  <c r="Q481" i="16"/>
  <c r="R481" i="16" s="1"/>
  <c r="S481" i="16" s="1"/>
  <c r="T481" i="16" s="1"/>
  <c r="P481" i="16"/>
  <c r="Q480" i="16"/>
  <c r="R480" i="16" s="1"/>
  <c r="S480" i="16" s="1"/>
  <c r="T480" i="16" s="1"/>
  <c r="P480" i="16"/>
  <c r="R479" i="16"/>
  <c r="S479" i="16" s="1"/>
  <c r="T479" i="16" s="1"/>
  <c r="Q479" i="16"/>
  <c r="P479" i="16"/>
  <c r="P478" i="16"/>
  <c r="Q478" i="16" s="1"/>
  <c r="R478" i="16" s="1"/>
  <c r="S478" i="16" s="1"/>
  <c r="T478" i="16" s="1"/>
  <c r="T477" i="16"/>
  <c r="P477" i="16"/>
  <c r="Q477" i="16" s="1"/>
  <c r="R477" i="16" s="1"/>
  <c r="S477" i="16" s="1"/>
  <c r="R476" i="16"/>
  <c r="S476" i="16" s="1"/>
  <c r="T476" i="16" s="1"/>
  <c r="Q476" i="16"/>
  <c r="P476" i="16"/>
  <c r="R475" i="16"/>
  <c r="S475" i="16" s="1"/>
  <c r="T475" i="16" s="1"/>
  <c r="Q475" i="16"/>
  <c r="P475" i="16"/>
  <c r="S474" i="16"/>
  <c r="T474" i="16" s="1"/>
  <c r="P474" i="16"/>
  <c r="Q474" i="16" s="1"/>
  <c r="R474" i="16" s="1"/>
  <c r="P473" i="16"/>
  <c r="Q473" i="16" s="1"/>
  <c r="R473" i="16" s="1"/>
  <c r="S473" i="16" s="1"/>
  <c r="T473" i="16" s="1"/>
  <c r="R472" i="16"/>
  <c r="S472" i="16" s="1"/>
  <c r="T472" i="16" s="1"/>
  <c r="Q472" i="16"/>
  <c r="P472" i="16"/>
  <c r="S471" i="16"/>
  <c r="T471" i="16" s="1"/>
  <c r="R471" i="16"/>
  <c r="Q471" i="16"/>
  <c r="P471" i="16"/>
  <c r="T470" i="16"/>
  <c r="S470" i="16"/>
  <c r="P470" i="16"/>
  <c r="Q470" i="16" s="1"/>
  <c r="R470" i="16" s="1"/>
  <c r="P469" i="16"/>
  <c r="Q469" i="16" s="1"/>
  <c r="R469" i="16" s="1"/>
  <c r="S469" i="16" s="1"/>
  <c r="T469" i="16" s="1"/>
  <c r="Q468" i="16"/>
  <c r="R468" i="16" s="1"/>
  <c r="S468" i="16" s="1"/>
  <c r="T468" i="16" s="1"/>
  <c r="P468" i="16"/>
  <c r="S467" i="16"/>
  <c r="T467" i="16" s="1"/>
  <c r="R467" i="16"/>
  <c r="Q467" i="16"/>
  <c r="P467" i="16"/>
  <c r="P466" i="16"/>
  <c r="Q466" i="16" s="1"/>
  <c r="R466" i="16" s="1"/>
  <c r="S466" i="16" s="1"/>
  <c r="T466" i="16" s="1"/>
  <c r="Q465" i="16"/>
  <c r="R465" i="16" s="1"/>
  <c r="S465" i="16" s="1"/>
  <c r="T465" i="16" s="1"/>
  <c r="P465" i="16"/>
  <c r="Q464" i="16"/>
  <c r="R464" i="16" s="1"/>
  <c r="S464" i="16" s="1"/>
  <c r="T464" i="16" s="1"/>
  <c r="P464" i="16"/>
  <c r="R463" i="16"/>
  <c r="S463" i="16" s="1"/>
  <c r="T463" i="16" s="1"/>
  <c r="Q463" i="16"/>
  <c r="P463" i="16"/>
  <c r="P462" i="16"/>
  <c r="Q462" i="16" s="1"/>
  <c r="R462" i="16" s="1"/>
  <c r="S462" i="16" s="1"/>
  <c r="T462" i="16" s="1"/>
  <c r="T461" i="16"/>
  <c r="P461" i="16"/>
  <c r="Q461" i="16" s="1"/>
  <c r="R461" i="16" s="1"/>
  <c r="S461" i="16" s="1"/>
  <c r="R460" i="16"/>
  <c r="S460" i="16" s="1"/>
  <c r="T460" i="16" s="1"/>
  <c r="Q460" i="16"/>
  <c r="P460" i="16"/>
  <c r="R459" i="16"/>
  <c r="S459" i="16" s="1"/>
  <c r="T459" i="16" s="1"/>
  <c r="Q459" i="16"/>
  <c r="P459" i="16"/>
  <c r="S458" i="16"/>
  <c r="T458" i="16" s="1"/>
  <c r="P458" i="16"/>
  <c r="Q458" i="16" s="1"/>
  <c r="R458" i="16" s="1"/>
  <c r="P457" i="16"/>
  <c r="Q457" i="16" s="1"/>
  <c r="R457" i="16" s="1"/>
  <c r="S457" i="16" s="1"/>
  <c r="T457" i="16" s="1"/>
  <c r="R456" i="16"/>
  <c r="S456" i="16" s="1"/>
  <c r="T456" i="16" s="1"/>
  <c r="Q456" i="16"/>
  <c r="P456" i="16"/>
  <c r="S455" i="16"/>
  <c r="T455" i="16" s="1"/>
  <c r="R455" i="16"/>
  <c r="Q455" i="16"/>
  <c r="P455" i="16"/>
  <c r="T454" i="16"/>
  <c r="S454" i="16"/>
  <c r="P454" i="16"/>
  <c r="Q454" i="16" s="1"/>
  <c r="R454" i="16" s="1"/>
  <c r="P453" i="16"/>
  <c r="Q453" i="16" s="1"/>
  <c r="R453" i="16" s="1"/>
  <c r="S453" i="16" s="1"/>
  <c r="T453" i="16" s="1"/>
  <c r="Q452" i="16"/>
  <c r="R452" i="16" s="1"/>
  <c r="S452" i="16" s="1"/>
  <c r="T452" i="16" s="1"/>
  <c r="P452" i="16"/>
  <c r="S451" i="16"/>
  <c r="T451" i="16" s="1"/>
  <c r="R451" i="16"/>
  <c r="Q451" i="16"/>
  <c r="P451" i="16"/>
  <c r="P450" i="16"/>
  <c r="Q450" i="16" s="1"/>
  <c r="R450" i="16" s="1"/>
  <c r="S450" i="16" s="1"/>
  <c r="T450" i="16" s="1"/>
  <c r="Q449" i="16"/>
  <c r="R449" i="16" s="1"/>
  <c r="S449" i="16" s="1"/>
  <c r="T449" i="16" s="1"/>
  <c r="P449" i="16"/>
  <c r="Q448" i="16"/>
  <c r="R448" i="16" s="1"/>
  <c r="S448" i="16" s="1"/>
  <c r="T448" i="16" s="1"/>
  <c r="P448" i="16"/>
  <c r="R447" i="16"/>
  <c r="S447" i="16" s="1"/>
  <c r="T447" i="16" s="1"/>
  <c r="Q447" i="16"/>
  <c r="P447" i="16"/>
  <c r="P446" i="16"/>
  <c r="Q446" i="16" s="1"/>
  <c r="R446" i="16" s="1"/>
  <c r="S446" i="16" s="1"/>
  <c r="T446" i="16" s="1"/>
  <c r="T445" i="16"/>
  <c r="P445" i="16"/>
  <c r="Q445" i="16" s="1"/>
  <c r="R445" i="16" s="1"/>
  <c r="S445" i="16" s="1"/>
  <c r="R444" i="16"/>
  <c r="S444" i="16" s="1"/>
  <c r="T444" i="16" s="1"/>
  <c r="Q444" i="16"/>
  <c r="P444" i="16"/>
  <c r="R443" i="16"/>
  <c r="S443" i="16" s="1"/>
  <c r="T443" i="16" s="1"/>
  <c r="Q443" i="16"/>
  <c r="P443" i="16"/>
  <c r="S442" i="16"/>
  <c r="T442" i="16" s="1"/>
  <c r="P442" i="16"/>
  <c r="Q442" i="16" s="1"/>
  <c r="R442" i="16" s="1"/>
  <c r="P441" i="16"/>
  <c r="Q441" i="16" s="1"/>
  <c r="R441" i="16" s="1"/>
  <c r="S441" i="16" s="1"/>
  <c r="T441" i="16" s="1"/>
  <c r="R440" i="16"/>
  <c r="S440" i="16" s="1"/>
  <c r="T440" i="16" s="1"/>
  <c r="Q440" i="16"/>
  <c r="P440" i="16"/>
  <c r="S439" i="16"/>
  <c r="T439" i="16" s="1"/>
  <c r="R439" i="16"/>
  <c r="Q439" i="16"/>
  <c r="P439" i="16"/>
  <c r="T438" i="16"/>
  <c r="S438" i="16"/>
  <c r="P438" i="16"/>
  <c r="Q438" i="16" s="1"/>
  <c r="R438" i="16" s="1"/>
  <c r="P437" i="16"/>
  <c r="Q437" i="16" s="1"/>
  <c r="R437" i="16" s="1"/>
  <c r="S437" i="16" s="1"/>
  <c r="T437" i="16" s="1"/>
  <c r="Q436" i="16"/>
  <c r="R436" i="16" s="1"/>
  <c r="S436" i="16" s="1"/>
  <c r="T436" i="16" s="1"/>
  <c r="P436" i="16"/>
  <c r="S435" i="16"/>
  <c r="T435" i="16" s="1"/>
  <c r="R435" i="16"/>
  <c r="Q435" i="16"/>
  <c r="P435" i="16"/>
  <c r="P434" i="16"/>
  <c r="Q434" i="16" s="1"/>
  <c r="R434" i="16" s="1"/>
  <c r="S434" i="16" s="1"/>
  <c r="T434" i="16" s="1"/>
  <c r="Q433" i="16"/>
  <c r="R433" i="16" s="1"/>
  <c r="S433" i="16" s="1"/>
  <c r="T433" i="16" s="1"/>
  <c r="P433" i="16"/>
  <c r="Q432" i="16"/>
  <c r="R432" i="16" s="1"/>
  <c r="S432" i="16" s="1"/>
  <c r="T432" i="16" s="1"/>
  <c r="P432" i="16"/>
  <c r="R431" i="16"/>
  <c r="S431" i="16" s="1"/>
  <c r="T431" i="16" s="1"/>
  <c r="Q431" i="16"/>
  <c r="P431" i="16"/>
  <c r="P430" i="16"/>
  <c r="Q430" i="16" s="1"/>
  <c r="R430" i="16" s="1"/>
  <c r="S430" i="16" s="1"/>
  <c r="T430" i="16" s="1"/>
  <c r="T429" i="16"/>
  <c r="P429" i="16"/>
  <c r="Q429" i="16" s="1"/>
  <c r="R429" i="16" s="1"/>
  <c r="S429" i="16" s="1"/>
  <c r="R428" i="16"/>
  <c r="S428" i="16" s="1"/>
  <c r="T428" i="16" s="1"/>
  <c r="Q428" i="16"/>
  <c r="P428" i="16"/>
  <c r="R427" i="16"/>
  <c r="S427" i="16" s="1"/>
  <c r="T427" i="16" s="1"/>
  <c r="Q427" i="16"/>
  <c r="P427" i="16"/>
  <c r="S426" i="16"/>
  <c r="T426" i="16" s="1"/>
  <c r="P426" i="16"/>
  <c r="Q426" i="16" s="1"/>
  <c r="R426" i="16" s="1"/>
  <c r="P425" i="16"/>
  <c r="Q425" i="16" s="1"/>
  <c r="R425" i="16" s="1"/>
  <c r="S425" i="16" s="1"/>
  <c r="T425" i="16" s="1"/>
  <c r="R424" i="16"/>
  <c r="S424" i="16" s="1"/>
  <c r="T424" i="16" s="1"/>
  <c r="Q424" i="16"/>
  <c r="P424" i="16"/>
  <c r="S423" i="16"/>
  <c r="T423" i="16" s="1"/>
  <c r="R423" i="16"/>
  <c r="Q423" i="16"/>
  <c r="P423" i="16"/>
  <c r="T422" i="16"/>
  <c r="S422" i="16"/>
  <c r="P422" i="16"/>
  <c r="Q422" i="16" s="1"/>
  <c r="R422" i="16" s="1"/>
  <c r="P421" i="16"/>
  <c r="Q421" i="16" s="1"/>
  <c r="R421" i="16" s="1"/>
  <c r="S421" i="16" s="1"/>
  <c r="T421" i="16" s="1"/>
  <c r="Q420" i="16"/>
  <c r="R420" i="16" s="1"/>
  <c r="S420" i="16" s="1"/>
  <c r="T420" i="16" s="1"/>
  <c r="P420" i="16"/>
  <c r="S419" i="16"/>
  <c r="T419" i="16" s="1"/>
  <c r="R419" i="16"/>
  <c r="Q419" i="16"/>
  <c r="P419" i="16"/>
  <c r="P418" i="16"/>
  <c r="Q418" i="16" s="1"/>
  <c r="R418" i="16" s="1"/>
  <c r="S418" i="16" s="1"/>
  <c r="T418" i="16" s="1"/>
  <c r="Q417" i="16"/>
  <c r="R417" i="16" s="1"/>
  <c r="S417" i="16" s="1"/>
  <c r="T417" i="16" s="1"/>
  <c r="P417" i="16"/>
  <c r="Q416" i="16"/>
  <c r="R416" i="16" s="1"/>
  <c r="S416" i="16" s="1"/>
  <c r="T416" i="16" s="1"/>
  <c r="P416" i="16"/>
  <c r="R415" i="16"/>
  <c r="S415" i="16" s="1"/>
  <c r="T415" i="16" s="1"/>
  <c r="Q415" i="16"/>
  <c r="P415" i="16"/>
  <c r="P414" i="16"/>
  <c r="Q414" i="16" s="1"/>
  <c r="R414" i="16" s="1"/>
  <c r="S414" i="16" s="1"/>
  <c r="T414" i="16" s="1"/>
  <c r="T413" i="16"/>
  <c r="P413" i="16"/>
  <c r="Q413" i="16" s="1"/>
  <c r="R413" i="16" s="1"/>
  <c r="S413" i="16" s="1"/>
  <c r="R412" i="16"/>
  <c r="S412" i="16" s="1"/>
  <c r="T412" i="16" s="1"/>
  <c r="Q412" i="16"/>
  <c r="P412" i="16"/>
  <c r="R411" i="16"/>
  <c r="S411" i="16" s="1"/>
  <c r="T411" i="16" s="1"/>
  <c r="Q411" i="16"/>
  <c r="P411" i="16"/>
  <c r="S410" i="16"/>
  <c r="T410" i="16" s="1"/>
  <c r="P410" i="16"/>
  <c r="Q410" i="16" s="1"/>
  <c r="R410" i="16" s="1"/>
  <c r="P409" i="16"/>
  <c r="Q409" i="16" s="1"/>
  <c r="R409" i="16" s="1"/>
  <c r="S409" i="16" s="1"/>
  <c r="T409" i="16" s="1"/>
  <c r="R408" i="16"/>
  <c r="S408" i="16" s="1"/>
  <c r="T408" i="16" s="1"/>
  <c r="Q408" i="16"/>
  <c r="P408" i="16"/>
  <c r="S407" i="16"/>
  <c r="T407" i="16" s="1"/>
  <c r="R407" i="16"/>
  <c r="Q407" i="16"/>
  <c r="P407" i="16"/>
  <c r="T406" i="16"/>
  <c r="S406" i="16"/>
  <c r="P406" i="16"/>
  <c r="Q406" i="16" s="1"/>
  <c r="R406" i="16" s="1"/>
  <c r="P405" i="16"/>
  <c r="Q405" i="16" s="1"/>
  <c r="R405" i="16" s="1"/>
  <c r="S405" i="16" s="1"/>
  <c r="T405" i="16" s="1"/>
  <c r="Q404" i="16"/>
  <c r="R404" i="16" s="1"/>
  <c r="S404" i="16" s="1"/>
  <c r="T404" i="16" s="1"/>
  <c r="P404" i="16"/>
  <c r="S403" i="16"/>
  <c r="T403" i="16" s="1"/>
  <c r="R403" i="16"/>
  <c r="Q403" i="16"/>
  <c r="P403" i="16"/>
  <c r="P402" i="16"/>
  <c r="Q402" i="16" s="1"/>
  <c r="R402" i="16" s="1"/>
  <c r="S402" i="16" s="1"/>
  <c r="T402" i="16" s="1"/>
  <c r="Q401" i="16"/>
  <c r="R401" i="16" s="1"/>
  <c r="S401" i="16" s="1"/>
  <c r="T401" i="16" s="1"/>
  <c r="P401" i="16"/>
  <c r="Q400" i="16"/>
  <c r="R400" i="16" s="1"/>
  <c r="S400" i="16" s="1"/>
  <c r="T400" i="16" s="1"/>
  <c r="P400" i="16"/>
  <c r="R399" i="16"/>
  <c r="S399" i="16" s="1"/>
  <c r="T399" i="16" s="1"/>
  <c r="Q399" i="16"/>
  <c r="P399" i="16"/>
  <c r="P398" i="16"/>
  <c r="Q398" i="16" s="1"/>
  <c r="R398" i="16" s="1"/>
  <c r="S398" i="16" s="1"/>
  <c r="T398" i="16" s="1"/>
  <c r="T397" i="16"/>
  <c r="P397" i="16"/>
  <c r="Q397" i="16" s="1"/>
  <c r="R397" i="16" s="1"/>
  <c r="S397" i="16" s="1"/>
  <c r="R396" i="16"/>
  <c r="S396" i="16" s="1"/>
  <c r="T396" i="16" s="1"/>
  <c r="Q396" i="16"/>
  <c r="P396" i="16"/>
  <c r="R395" i="16"/>
  <c r="S395" i="16" s="1"/>
  <c r="T395" i="16" s="1"/>
  <c r="Q395" i="16"/>
  <c r="P395" i="16"/>
  <c r="S394" i="16"/>
  <c r="T394" i="16" s="1"/>
  <c r="P394" i="16"/>
  <c r="Q394" i="16" s="1"/>
  <c r="R394" i="16" s="1"/>
  <c r="P393" i="16"/>
  <c r="Q393" i="16" s="1"/>
  <c r="R393" i="16" s="1"/>
  <c r="S393" i="16" s="1"/>
  <c r="T393" i="16" s="1"/>
  <c r="R392" i="16"/>
  <c r="S392" i="16" s="1"/>
  <c r="T392" i="16" s="1"/>
  <c r="Q392" i="16"/>
  <c r="P392" i="16"/>
  <c r="S391" i="16"/>
  <c r="T391" i="16" s="1"/>
  <c r="R391" i="16"/>
  <c r="Q391" i="16"/>
  <c r="P391" i="16"/>
  <c r="T390" i="16"/>
  <c r="S390" i="16"/>
  <c r="P390" i="16"/>
  <c r="Q390" i="16" s="1"/>
  <c r="R390" i="16" s="1"/>
  <c r="P389" i="16"/>
  <c r="Q389" i="16" s="1"/>
  <c r="R389" i="16" s="1"/>
  <c r="S389" i="16" s="1"/>
  <c r="T389" i="16" s="1"/>
  <c r="Q388" i="16"/>
  <c r="R388" i="16" s="1"/>
  <c r="S388" i="16" s="1"/>
  <c r="T388" i="16" s="1"/>
  <c r="P388" i="16"/>
  <c r="S387" i="16"/>
  <c r="T387" i="16" s="1"/>
  <c r="R387" i="16"/>
  <c r="Q387" i="16"/>
  <c r="P387" i="16"/>
  <c r="P386" i="16"/>
  <c r="Q386" i="16" s="1"/>
  <c r="R386" i="16" s="1"/>
  <c r="S386" i="16" s="1"/>
  <c r="T386" i="16" s="1"/>
  <c r="Q385" i="16"/>
  <c r="R385" i="16" s="1"/>
  <c r="S385" i="16" s="1"/>
  <c r="T385" i="16" s="1"/>
  <c r="P385" i="16"/>
  <c r="Q384" i="16"/>
  <c r="R384" i="16" s="1"/>
  <c r="S384" i="16" s="1"/>
  <c r="T384" i="16" s="1"/>
  <c r="P384" i="16"/>
  <c r="R383" i="16"/>
  <c r="S383" i="16" s="1"/>
  <c r="T383" i="16" s="1"/>
  <c r="Q383" i="16"/>
  <c r="P383" i="16"/>
  <c r="P382" i="16"/>
  <c r="Q382" i="16" s="1"/>
  <c r="R382" i="16" s="1"/>
  <c r="S382" i="16" s="1"/>
  <c r="T382" i="16" s="1"/>
  <c r="T381" i="16"/>
  <c r="P381" i="16"/>
  <c r="Q381" i="16" s="1"/>
  <c r="R381" i="16" s="1"/>
  <c r="S381" i="16" s="1"/>
  <c r="R380" i="16"/>
  <c r="S380" i="16" s="1"/>
  <c r="T380" i="16" s="1"/>
  <c r="Q380" i="16"/>
  <c r="P380" i="16"/>
  <c r="R379" i="16"/>
  <c r="S379" i="16" s="1"/>
  <c r="T379" i="16" s="1"/>
  <c r="Q379" i="16"/>
  <c r="P379" i="16"/>
  <c r="S378" i="16"/>
  <c r="T378" i="16" s="1"/>
  <c r="P378" i="16"/>
  <c r="Q378" i="16" s="1"/>
  <c r="R378" i="16" s="1"/>
  <c r="P377" i="16"/>
  <c r="Q377" i="16" s="1"/>
  <c r="R377" i="16" s="1"/>
  <c r="S377" i="16" s="1"/>
  <c r="T377" i="16" s="1"/>
  <c r="R376" i="16"/>
  <c r="S376" i="16" s="1"/>
  <c r="T376" i="16" s="1"/>
  <c r="Q376" i="16"/>
  <c r="P376" i="16"/>
  <c r="S375" i="16"/>
  <c r="T375" i="16" s="1"/>
  <c r="R375" i="16"/>
  <c r="Q375" i="16"/>
  <c r="P375" i="16"/>
  <c r="T374" i="16"/>
  <c r="S374" i="16"/>
  <c r="P374" i="16"/>
  <c r="Q374" i="16" s="1"/>
  <c r="R374" i="16" s="1"/>
  <c r="P373" i="16"/>
  <c r="Q373" i="16" s="1"/>
  <c r="R373" i="16" s="1"/>
  <c r="S373" i="16" s="1"/>
  <c r="T373" i="16" s="1"/>
  <c r="Q372" i="16"/>
  <c r="R372" i="16" s="1"/>
  <c r="S372" i="16" s="1"/>
  <c r="T372" i="16" s="1"/>
  <c r="P372" i="16"/>
  <c r="S371" i="16"/>
  <c r="T371" i="16" s="1"/>
  <c r="R371" i="16"/>
  <c r="Q371" i="16"/>
  <c r="P371" i="16"/>
  <c r="P370" i="16"/>
  <c r="Q370" i="16" s="1"/>
  <c r="R370" i="16" s="1"/>
  <c r="S370" i="16" s="1"/>
  <c r="T370" i="16" s="1"/>
  <c r="Q369" i="16"/>
  <c r="R369" i="16" s="1"/>
  <c r="S369" i="16" s="1"/>
  <c r="T369" i="16" s="1"/>
  <c r="P369" i="16"/>
  <c r="Q368" i="16"/>
  <c r="R368" i="16" s="1"/>
  <c r="S368" i="16" s="1"/>
  <c r="T368" i="16" s="1"/>
  <c r="P368" i="16"/>
  <c r="R367" i="16"/>
  <c r="S367" i="16" s="1"/>
  <c r="T367" i="16" s="1"/>
  <c r="Q367" i="16"/>
  <c r="P367" i="16"/>
  <c r="P366" i="16"/>
  <c r="Q366" i="16" s="1"/>
  <c r="R366" i="16" s="1"/>
  <c r="S366" i="16" s="1"/>
  <c r="T366" i="16" s="1"/>
  <c r="T365" i="16"/>
  <c r="P365" i="16"/>
  <c r="Q365" i="16" s="1"/>
  <c r="R365" i="16" s="1"/>
  <c r="S365" i="16" s="1"/>
  <c r="R364" i="16"/>
  <c r="S364" i="16" s="1"/>
  <c r="T364" i="16" s="1"/>
  <c r="Q364" i="16"/>
  <c r="P364" i="16"/>
  <c r="R363" i="16"/>
  <c r="S363" i="16" s="1"/>
  <c r="T363" i="16" s="1"/>
  <c r="Q363" i="16"/>
  <c r="P363" i="16"/>
  <c r="S362" i="16"/>
  <c r="T362" i="16" s="1"/>
  <c r="P362" i="16"/>
  <c r="Q362" i="16" s="1"/>
  <c r="R362" i="16" s="1"/>
  <c r="P361" i="16"/>
  <c r="Q361" i="16" s="1"/>
  <c r="R361" i="16" s="1"/>
  <c r="S361" i="16" s="1"/>
  <c r="T361" i="16" s="1"/>
  <c r="R360" i="16"/>
  <c r="S360" i="16" s="1"/>
  <c r="T360" i="16" s="1"/>
  <c r="Q360" i="16"/>
  <c r="P360" i="16"/>
  <c r="S359" i="16"/>
  <c r="T359" i="16" s="1"/>
  <c r="R359" i="16"/>
  <c r="Q359" i="16"/>
  <c r="P359" i="16"/>
  <c r="T358" i="16"/>
  <c r="S358" i="16"/>
  <c r="P358" i="16"/>
  <c r="Q358" i="16" s="1"/>
  <c r="R358" i="16" s="1"/>
  <c r="P357" i="16"/>
  <c r="Q357" i="16" s="1"/>
  <c r="R357" i="16" s="1"/>
  <c r="S357" i="16" s="1"/>
  <c r="T357" i="16" s="1"/>
  <c r="Q356" i="16"/>
  <c r="R356" i="16" s="1"/>
  <c r="S356" i="16" s="1"/>
  <c r="T356" i="16" s="1"/>
  <c r="P356" i="16"/>
  <c r="S355" i="16"/>
  <c r="T355" i="16" s="1"/>
  <c r="R355" i="16"/>
  <c r="Q355" i="16"/>
  <c r="P355" i="16"/>
  <c r="P354" i="16"/>
  <c r="Q354" i="16" s="1"/>
  <c r="R354" i="16" s="1"/>
  <c r="S354" i="16" s="1"/>
  <c r="T354" i="16" s="1"/>
  <c r="Q353" i="16"/>
  <c r="R353" i="16" s="1"/>
  <c r="S353" i="16" s="1"/>
  <c r="T353" i="16" s="1"/>
  <c r="P353" i="16"/>
  <c r="Q352" i="16"/>
  <c r="R352" i="16" s="1"/>
  <c r="S352" i="16" s="1"/>
  <c r="T352" i="16" s="1"/>
  <c r="P352" i="16"/>
  <c r="R351" i="16"/>
  <c r="S351" i="16" s="1"/>
  <c r="T351" i="16" s="1"/>
  <c r="Q351" i="16"/>
  <c r="P351" i="16"/>
  <c r="P350" i="16"/>
  <c r="Q350" i="16" s="1"/>
  <c r="R350" i="16" s="1"/>
  <c r="S350" i="16" s="1"/>
  <c r="T350" i="16" s="1"/>
  <c r="T349" i="16"/>
  <c r="P349" i="16"/>
  <c r="Q349" i="16" s="1"/>
  <c r="R349" i="16" s="1"/>
  <c r="S349" i="16" s="1"/>
  <c r="R348" i="16"/>
  <c r="S348" i="16" s="1"/>
  <c r="T348" i="16" s="1"/>
  <c r="Q348" i="16"/>
  <c r="P348" i="16"/>
  <c r="R347" i="16"/>
  <c r="S347" i="16" s="1"/>
  <c r="T347" i="16" s="1"/>
  <c r="Q347" i="16"/>
  <c r="P347" i="16"/>
  <c r="S346" i="16"/>
  <c r="T346" i="16" s="1"/>
  <c r="P346" i="16"/>
  <c r="Q346" i="16" s="1"/>
  <c r="R346" i="16" s="1"/>
  <c r="P345" i="16"/>
  <c r="Q345" i="16" s="1"/>
  <c r="R345" i="16" s="1"/>
  <c r="S345" i="16" s="1"/>
  <c r="T345" i="16" s="1"/>
  <c r="R344" i="16"/>
  <c r="S344" i="16" s="1"/>
  <c r="T344" i="16" s="1"/>
  <c r="Q344" i="16"/>
  <c r="P344" i="16"/>
  <c r="S343" i="16"/>
  <c r="T343" i="16" s="1"/>
  <c r="R343" i="16"/>
  <c r="Q343" i="16"/>
  <c r="P343" i="16"/>
  <c r="T342" i="16"/>
  <c r="S342" i="16"/>
  <c r="P342" i="16"/>
  <c r="Q342" i="16" s="1"/>
  <c r="R342" i="16" s="1"/>
  <c r="P341" i="16"/>
  <c r="Q341" i="16" s="1"/>
  <c r="R341" i="16" s="1"/>
  <c r="S341" i="16" s="1"/>
  <c r="T341" i="16" s="1"/>
  <c r="Q340" i="16"/>
  <c r="R340" i="16" s="1"/>
  <c r="S340" i="16" s="1"/>
  <c r="T340" i="16" s="1"/>
  <c r="P340" i="16"/>
  <c r="S339" i="16"/>
  <c r="T339" i="16" s="1"/>
  <c r="R339" i="16"/>
  <c r="Q339" i="16"/>
  <c r="P339" i="16"/>
  <c r="P338" i="16"/>
  <c r="Q338" i="16" s="1"/>
  <c r="R338" i="16" s="1"/>
  <c r="S338" i="16" s="1"/>
  <c r="T338" i="16" s="1"/>
  <c r="Q337" i="16"/>
  <c r="R337" i="16" s="1"/>
  <c r="S337" i="16" s="1"/>
  <c r="T337" i="16" s="1"/>
  <c r="P337" i="16"/>
  <c r="Q336" i="16"/>
  <c r="R336" i="16" s="1"/>
  <c r="S336" i="16" s="1"/>
  <c r="T336" i="16" s="1"/>
  <c r="P336" i="16"/>
  <c r="R335" i="16"/>
  <c r="S335" i="16" s="1"/>
  <c r="T335" i="16" s="1"/>
  <c r="Q335" i="16"/>
  <c r="P335" i="16"/>
  <c r="P334" i="16"/>
  <c r="Q334" i="16" s="1"/>
  <c r="R334" i="16" s="1"/>
  <c r="S334" i="16" s="1"/>
  <c r="T334" i="16" s="1"/>
  <c r="T333" i="16"/>
  <c r="P333" i="16"/>
  <c r="Q333" i="16" s="1"/>
  <c r="R333" i="16" s="1"/>
  <c r="S333" i="16" s="1"/>
  <c r="R332" i="16"/>
  <c r="S332" i="16" s="1"/>
  <c r="T332" i="16" s="1"/>
  <c r="Q332" i="16"/>
  <c r="P332" i="16"/>
  <c r="R331" i="16"/>
  <c r="S331" i="16" s="1"/>
  <c r="T331" i="16" s="1"/>
  <c r="Q331" i="16"/>
  <c r="P331" i="16"/>
  <c r="S330" i="16"/>
  <c r="T330" i="16" s="1"/>
  <c r="P330" i="16"/>
  <c r="Q330" i="16" s="1"/>
  <c r="R330" i="16" s="1"/>
  <c r="P329" i="16"/>
  <c r="Q329" i="16" s="1"/>
  <c r="R329" i="16" s="1"/>
  <c r="S329" i="16" s="1"/>
  <c r="T329" i="16" s="1"/>
  <c r="R328" i="16"/>
  <c r="S328" i="16" s="1"/>
  <c r="T328" i="16" s="1"/>
  <c r="Q328" i="16"/>
  <c r="P328" i="16"/>
  <c r="S327" i="16"/>
  <c r="T327" i="16" s="1"/>
  <c r="R327" i="16"/>
  <c r="Q327" i="16"/>
  <c r="P327" i="16"/>
  <c r="T326" i="16"/>
  <c r="S326" i="16"/>
  <c r="P326" i="16"/>
  <c r="Q326" i="16" s="1"/>
  <c r="R326" i="16" s="1"/>
  <c r="P325" i="16"/>
  <c r="Q325" i="16" s="1"/>
  <c r="R325" i="16" s="1"/>
  <c r="S325" i="16" s="1"/>
  <c r="T325" i="16" s="1"/>
  <c r="Q324" i="16"/>
  <c r="R324" i="16" s="1"/>
  <c r="S324" i="16" s="1"/>
  <c r="T324" i="16" s="1"/>
  <c r="P324" i="16"/>
  <c r="S323" i="16"/>
  <c r="T323" i="16" s="1"/>
  <c r="R323" i="16"/>
  <c r="Q323" i="16"/>
  <c r="P323" i="16"/>
  <c r="P322" i="16"/>
  <c r="Q322" i="16" s="1"/>
  <c r="R322" i="16" s="1"/>
  <c r="S322" i="16" s="1"/>
  <c r="T322" i="16" s="1"/>
  <c r="Q321" i="16"/>
  <c r="R321" i="16" s="1"/>
  <c r="S321" i="16" s="1"/>
  <c r="T321" i="16" s="1"/>
  <c r="P321" i="16"/>
  <c r="Q320" i="16"/>
  <c r="R320" i="16" s="1"/>
  <c r="S320" i="16" s="1"/>
  <c r="T320" i="16" s="1"/>
  <c r="P320" i="16"/>
  <c r="R319" i="16"/>
  <c r="S319" i="16" s="1"/>
  <c r="T319" i="16" s="1"/>
  <c r="Q319" i="16"/>
  <c r="P319" i="16"/>
  <c r="P318" i="16"/>
  <c r="Q318" i="16" s="1"/>
  <c r="R318" i="16" s="1"/>
  <c r="S318" i="16" s="1"/>
  <c r="T318" i="16" s="1"/>
  <c r="T317" i="16"/>
  <c r="P317" i="16"/>
  <c r="Q317" i="16" s="1"/>
  <c r="R317" i="16" s="1"/>
  <c r="S317" i="16" s="1"/>
  <c r="R316" i="16"/>
  <c r="S316" i="16" s="1"/>
  <c r="T316" i="16" s="1"/>
  <c r="Q316" i="16"/>
  <c r="P316" i="16"/>
  <c r="R315" i="16"/>
  <c r="S315" i="16" s="1"/>
  <c r="T315" i="16" s="1"/>
  <c r="Q315" i="16"/>
  <c r="P315" i="16"/>
  <c r="S314" i="16"/>
  <c r="T314" i="16" s="1"/>
  <c r="P314" i="16"/>
  <c r="Q314" i="16" s="1"/>
  <c r="R314" i="16" s="1"/>
  <c r="P313" i="16"/>
  <c r="Q313" i="16" s="1"/>
  <c r="R313" i="16" s="1"/>
  <c r="S313" i="16" s="1"/>
  <c r="T313" i="16" s="1"/>
  <c r="R312" i="16"/>
  <c r="S312" i="16" s="1"/>
  <c r="T312" i="16" s="1"/>
  <c r="Q312" i="16"/>
  <c r="P312" i="16"/>
  <c r="S311" i="16"/>
  <c r="T311" i="16" s="1"/>
  <c r="R311" i="16"/>
  <c r="Q311" i="16"/>
  <c r="P311" i="16"/>
  <c r="T310" i="16"/>
  <c r="S310" i="16"/>
  <c r="P310" i="16"/>
  <c r="Q310" i="16" s="1"/>
  <c r="R310" i="16" s="1"/>
  <c r="P309" i="16"/>
  <c r="Q309" i="16" s="1"/>
  <c r="R309" i="16" s="1"/>
  <c r="S309" i="16" s="1"/>
  <c r="T309" i="16" s="1"/>
  <c r="Q308" i="16"/>
  <c r="R308" i="16" s="1"/>
  <c r="S308" i="16" s="1"/>
  <c r="T308" i="16" s="1"/>
  <c r="P308" i="16"/>
  <c r="S307" i="16"/>
  <c r="T307" i="16" s="1"/>
  <c r="R307" i="16"/>
  <c r="Q307" i="16"/>
  <c r="P307" i="16"/>
  <c r="P306" i="16"/>
  <c r="Q306" i="16" s="1"/>
  <c r="R306" i="16" s="1"/>
  <c r="S306" i="16" s="1"/>
  <c r="T306" i="16" s="1"/>
  <c r="Q305" i="16"/>
  <c r="R305" i="16" s="1"/>
  <c r="S305" i="16" s="1"/>
  <c r="T305" i="16" s="1"/>
  <c r="P305" i="16"/>
  <c r="Q304" i="16"/>
  <c r="R304" i="16" s="1"/>
  <c r="S304" i="16" s="1"/>
  <c r="T304" i="16" s="1"/>
  <c r="P304" i="16"/>
  <c r="R303" i="16"/>
  <c r="S303" i="16" s="1"/>
  <c r="T303" i="16" s="1"/>
  <c r="Q303" i="16"/>
  <c r="P303" i="16"/>
  <c r="P302" i="16"/>
  <c r="Q302" i="16" s="1"/>
  <c r="R302" i="16" s="1"/>
  <c r="S302" i="16" s="1"/>
  <c r="T302" i="16" s="1"/>
  <c r="T301" i="16"/>
  <c r="P301" i="16"/>
  <c r="Q301" i="16" s="1"/>
  <c r="R301" i="16" s="1"/>
  <c r="S301" i="16" s="1"/>
  <c r="R300" i="16"/>
  <c r="S300" i="16" s="1"/>
  <c r="T300" i="16" s="1"/>
  <c r="Q300" i="16"/>
  <c r="P300" i="16"/>
  <c r="R299" i="16"/>
  <c r="S299" i="16" s="1"/>
  <c r="T299" i="16" s="1"/>
  <c r="Q299" i="16"/>
  <c r="P299" i="16"/>
  <c r="S298" i="16"/>
  <c r="T298" i="16" s="1"/>
  <c r="P298" i="16"/>
  <c r="Q298" i="16" s="1"/>
  <c r="R298" i="16" s="1"/>
  <c r="P297" i="16"/>
  <c r="Q297" i="16" s="1"/>
  <c r="R297" i="16" s="1"/>
  <c r="S297" i="16" s="1"/>
  <c r="T297" i="16" s="1"/>
  <c r="R296" i="16"/>
  <c r="S296" i="16" s="1"/>
  <c r="T296" i="16" s="1"/>
  <c r="Q296" i="16"/>
  <c r="P296" i="16"/>
  <c r="S295" i="16"/>
  <c r="T295" i="16" s="1"/>
  <c r="R295" i="16"/>
  <c r="Q295" i="16"/>
  <c r="P295" i="16"/>
  <c r="T294" i="16"/>
  <c r="S294" i="16"/>
  <c r="P294" i="16"/>
  <c r="Q294" i="16" s="1"/>
  <c r="R294" i="16" s="1"/>
  <c r="P293" i="16"/>
  <c r="Q293" i="16" s="1"/>
  <c r="R293" i="16" s="1"/>
  <c r="S293" i="16" s="1"/>
  <c r="T293" i="16" s="1"/>
  <c r="Q292" i="16"/>
  <c r="R292" i="16" s="1"/>
  <c r="S292" i="16" s="1"/>
  <c r="T292" i="16" s="1"/>
  <c r="P292" i="16"/>
  <c r="S291" i="16"/>
  <c r="T291" i="16" s="1"/>
  <c r="R291" i="16"/>
  <c r="Q291" i="16"/>
  <c r="P291" i="16"/>
  <c r="P290" i="16"/>
  <c r="Q290" i="16" s="1"/>
  <c r="R290" i="16" s="1"/>
  <c r="S290" i="16" s="1"/>
  <c r="T290" i="16" s="1"/>
  <c r="Q289" i="16"/>
  <c r="R289" i="16" s="1"/>
  <c r="S289" i="16" s="1"/>
  <c r="T289" i="16" s="1"/>
  <c r="P289" i="16"/>
  <c r="Q288" i="16"/>
  <c r="R288" i="16" s="1"/>
  <c r="S288" i="16" s="1"/>
  <c r="T288" i="16" s="1"/>
  <c r="P288" i="16"/>
  <c r="R287" i="16"/>
  <c r="S287" i="16" s="1"/>
  <c r="T287" i="16" s="1"/>
  <c r="Q287" i="16"/>
  <c r="P287" i="16"/>
  <c r="P286" i="16"/>
  <c r="Q286" i="16" s="1"/>
  <c r="R286" i="16" s="1"/>
  <c r="S286" i="16" s="1"/>
  <c r="T286" i="16" s="1"/>
  <c r="T285" i="16"/>
  <c r="P285" i="16"/>
  <c r="Q285" i="16" s="1"/>
  <c r="R285" i="16" s="1"/>
  <c r="S285" i="16" s="1"/>
  <c r="R284" i="16"/>
  <c r="S284" i="16" s="1"/>
  <c r="T284" i="16" s="1"/>
  <c r="Q284" i="16"/>
  <c r="P284" i="16"/>
  <c r="R283" i="16"/>
  <c r="S283" i="16" s="1"/>
  <c r="T283" i="16" s="1"/>
  <c r="Q283" i="16"/>
  <c r="P283" i="16"/>
  <c r="S282" i="16"/>
  <c r="T282" i="16" s="1"/>
  <c r="P282" i="16"/>
  <c r="Q282" i="16" s="1"/>
  <c r="R282" i="16" s="1"/>
  <c r="P281" i="16"/>
  <c r="Q281" i="16" s="1"/>
  <c r="R281" i="16" s="1"/>
  <c r="S281" i="16" s="1"/>
  <c r="T281" i="16" s="1"/>
  <c r="R280" i="16"/>
  <c r="S280" i="16" s="1"/>
  <c r="T280" i="16" s="1"/>
  <c r="Q280" i="16"/>
  <c r="P280" i="16"/>
  <c r="S279" i="16"/>
  <c r="T279" i="16" s="1"/>
  <c r="R279" i="16"/>
  <c r="Q279" i="16"/>
  <c r="P279" i="16"/>
  <c r="T278" i="16"/>
  <c r="S278" i="16"/>
  <c r="P278" i="16"/>
  <c r="Q278" i="16" s="1"/>
  <c r="R278" i="16" s="1"/>
  <c r="P277" i="16"/>
  <c r="Q277" i="16" s="1"/>
  <c r="R277" i="16" s="1"/>
  <c r="S277" i="16" s="1"/>
  <c r="T277" i="16" s="1"/>
  <c r="Q276" i="16"/>
  <c r="R276" i="16" s="1"/>
  <c r="S276" i="16" s="1"/>
  <c r="T276" i="16" s="1"/>
  <c r="P276" i="16"/>
  <c r="S275" i="16"/>
  <c r="T275" i="16" s="1"/>
  <c r="R275" i="16"/>
  <c r="Q275" i="16"/>
  <c r="P275" i="16"/>
  <c r="P274" i="16"/>
  <c r="Q274" i="16" s="1"/>
  <c r="R274" i="16" s="1"/>
  <c r="S274" i="16" s="1"/>
  <c r="T274" i="16" s="1"/>
  <c r="Q273" i="16"/>
  <c r="R273" i="16" s="1"/>
  <c r="S273" i="16" s="1"/>
  <c r="T273" i="16" s="1"/>
  <c r="P273" i="16"/>
  <c r="Q272" i="16"/>
  <c r="R272" i="16" s="1"/>
  <c r="S272" i="16" s="1"/>
  <c r="T272" i="16" s="1"/>
  <c r="P272" i="16"/>
  <c r="R271" i="16"/>
  <c r="S271" i="16" s="1"/>
  <c r="T271" i="16" s="1"/>
  <c r="Q271" i="16"/>
  <c r="P271" i="16"/>
  <c r="P270" i="16"/>
  <c r="Q270" i="16" s="1"/>
  <c r="R270" i="16" s="1"/>
  <c r="S270" i="16" s="1"/>
  <c r="T270" i="16" s="1"/>
  <c r="T269" i="16"/>
  <c r="P269" i="16"/>
  <c r="Q269" i="16" s="1"/>
  <c r="R269" i="16" s="1"/>
  <c r="S269" i="16" s="1"/>
  <c r="R268" i="16"/>
  <c r="S268" i="16" s="1"/>
  <c r="T268" i="16" s="1"/>
  <c r="Q268" i="16"/>
  <c r="P268" i="16"/>
  <c r="R267" i="16"/>
  <c r="S267" i="16" s="1"/>
  <c r="T267" i="16" s="1"/>
  <c r="Q267" i="16"/>
  <c r="P267" i="16"/>
  <c r="S266" i="16"/>
  <c r="T266" i="16" s="1"/>
  <c r="P266" i="16"/>
  <c r="Q266" i="16" s="1"/>
  <c r="R266" i="16" s="1"/>
  <c r="P265" i="16"/>
  <c r="Q265" i="16" s="1"/>
  <c r="R265" i="16" s="1"/>
  <c r="S265" i="16" s="1"/>
  <c r="T265" i="16" s="1"/>
  <c r="R264" i="16"/>
  <c r="S264" i="16" s="1"/>
  <c r="T264" i="16" s="1"/>
  <c r="Q264" i="16"/>
  <c r="P264" i="16"/>
  <c r="S263" i="16"/>
  <c r="T263" i="16" s="1"/>
  <c r="R263" i="16"/>
  <c r="Q263" i="16"/>
  <c r="P263" i="16"/>
  <c r="T262" i="16"/>
  <c r="S262" i="16"/>
  <c r="P262" i="16"/>
  <c r="Q262" i="16" s="1"/>
  <c r="R262" i="16" s="1"/>
  <c r="P261" i="16"/>
  <c r="Q261" i="16" s="1"/>
  <c r="R261" i="16" s="1"/>
  <c r="S261" i="16" s="1"/>
  <c r="T261" i="16" s="1"/>
  <c r="Q260" i="16"/>
  <c r="R260" i="16" s="1"/>
  <c r="S260" i="16" s="1"/>
  <c r="T260" i="16" s="1"/>
  <c r="P260" i="16"/>
  <c r="S259" i="16"/>
  <c r="T259" i="16" s="1"/>
  <c r="R259" i="16"/>
  <c r="Q259" i="16"/>
  <c r="P259" i="16"/>
  <c r="P258" i="16"/>
  <c r="Q258" i="16" s="1"/>
  <c r="R258" i="16" s="1"/>
  <c r="S258" i="16" s="1"/>
  <c r="T258" i="16" s="1"/>
  <c r="Q257" i="16"/>
  <c r="R257" i="16" s="1"/>
  <c r="S257" i="16" s="1"/>
  <c r="T257" i="16" s="1"/>
  <c r="P257" i="16"/>
  <c r="Q256" i="16"/>
  <c r="R256" i="16" s="1"/>
  <c r="S256" i="16" s="1"/>
  <c r="T256" i="16" s="1"/>
  <c r="P256" i="16"/>
  <c r="R255" i="16"/>
  <c r="S255" i="16" s="1"/>
  <c r="T255" i="16" s="1"/>
  <c r="Q255" i="16"/>
  <c r="P255" i="16"/>
  <c r="P254" i="16"/>
  <c r="Q254" i="16" s="1"/>
  <c r="R254" i="16" s="1"/>
  <c r="S254" i="16" s="1"/>
  <c r="T254" i="16" s="1"/>
  <c r="T253" i="16"/>
  <c r="P253" i="16"/>
  <c r="Q253" i="16" s="1"/>
  <c r="R253" i="16" s="1"/>
  <c r="S253" i="16" s="1"/>
  <c r="R252" i="16"/>
  <c r="S252" i="16" s="1"/>
  <c r="T252" i="16" s="1"/>
  <c r="Q252" i="16"/>
  <c r="P252" i="16"/>
  <c r="R251" i="16"/>
  <c r="S251" i="16" s="1"/>
  <c r="T251" i="16" s="1"/>
  <c r="Q251" i="16"/>
  <c r="P251" i="16"/>
  <c r="S250" i="16"/>
  <c r="T250" i="16" s="1"/>
  <c r="P250" i="16"/>
  <c r="Q250" i="16" s="1"/>
  <c r="R250" i="16" s="1"/>
  <c r="P249" i="16"/>
  <c r="Q249" i="16" s="1"/>
  <c r="R249" i="16" s="1"/>
  <c r="S249" i="16" s="1"/>
  <c r="T249" i="16" s="1"/>
  <c r="R248" i="16"/>
  <c r="S248" i="16" s="1"/>
  <c r="T248" i="16" s="1"/>
  <c r="Q248" i="16"/>
  <c r="P248" i="16"/>
  <c r="S247" i="16"/>
  <c r="T247" i="16" s="1"/>
  <c r="R247" i="16"/>
  <c r="Q247" i="16"/>
  <c r="P247" i="16"/>
  <c r="T246" i="16"/>
  <c r="S246" i="16"/>
  <c r="P246" i="16"/>
  <c r="Q246" i="16" s="1"/>
  <c r="R246" i="16" s="1"/>
  <c r="P245" i="16"/>
  <c r="Q245" i="16" s="1"/>
  <c r="R245" i="16" s="1"/>
  <c r="S245" i="16" s="1"/>
  <c r="T245" i="16" s="1"/>
  <c r="P244" i="16"/>
  <c r="Q244" i="16" s="1"/>
  <c r="R244" i="16" s="1"/>
  <c r="S244" i="16" s="1"/>
  <c r="T244" i="16" s="1"/>
  <c r="S243" i="16"/>
  <c r="T243" i="16" s="1"/>
  <c r="Q243" i="16"/>
  <c r="R243" i="16" s="1"/>
  <c r="P243" i="16"/>
  <c r="P242" i="16"/>
  <c r="Q242" i="16" s="1"/>
  <c r="R242" i="16" s="1"/>
  <c r="S242" i="16" s="1"/>
  <c r="T242" i="16" s="1"/>
  <c r="P241" i="16"/>
  <c r="Q241" i="16" s="1"/>
  <c r="R241" i="16" s="1"/>
  <c r="S241" i="16" s="1"/>
  <c r="T241" i="16" s="1"/>
  <c r="P240" i="16"/>
  <c r="Q240" i="16" s="1"/>
  <c r="R240" i="16" s="1"/>
  <c r="S240" i="16" s="1"/>
  <c r="T240" i="16" s="1"/>
  <c r="Q239" i="16"/>
  <c r="R239" i="16" s="1"/>
  <c r="S239" i="16" s="1"/>
  <c r="T239" i="16" s="1"/>
  <c r="P239" i="16"/>
  <c r="T238" i="16"/>
  <c r="P238" i="16"/>
  <c r="Q238" i="16" s="1"/>
  <c r="R238" i="16" s="1"/>
  <c r="S238" i="16" s="1"/>
  <c r="T237" i="16"/>
  <c r="P237" i="16"/>
  <c r="Q237" i="16" s="1"/>
  <c r="R237" i="16" s="1"/>
  <c r="S237" i="16" s="1"/>
  <c r="T236" i="16"/>
  <c r="P236" i="16"/>
  <c r="Q236" i="16" s="1"/>
  <c r="R236" i="16" s="1"/>
  <c r="S236" i="16" s="1"/>
  <c r="S235" i="16"/>
  <c r="T235" i="16" s="1"/>
  <c r="Q235" i="16"/>
  <c r="R235" i="16" s="1"/>
  <c r="P235" i="16"/>
  <c r="P234" i="16"/>
  <c r="Q234" i="16" s="1"/>
  <c r="R234" i="16" s="1"/>
  <c r="S234" i="16" s="1"/>
  <c r="T234" i="16" s="1"/>
  <c r="P233" i="16"/>
  <c r="Q233" i="16" s="1"/>
  <c r="R233" i="16" s="1"/>
  <c r="S233" i="16" s="1"/>
  <c r="T233" i="16" s="1"/>
  <c r="P232" i="16"/>
  <c r="Q232" i="16" s="1"/>
  <c r="R232" i="16" s="1"/>
  <c r="S232" i="16" s="1"/>
  <c r="T232" i="16" s="1"/>
  <c r="Q231" i="16"/>
  <c r="R231" i="16" s="1"/>
  <c r="S231" i="16" s="1"/>
  <c r="T231" i="16" s="1"/>
  <c r="P231" i="16"/>
  <c r="T230" i="16"/>
  <c r="P230" i="16"/>
  <c r="Q230" i="16" s="1"/>
  <c r="R230" i="16" s="1"/>
  <c r="S230" i="16" s="1"/>
  <c r="T229" i="16"/>
  <c r="P229" i="16"/>
  <c r="Q229" i="16" s="1"/>
  <c r="R229" i="16" s="1"/>
  <c r="S229" i="16" s="1"/>
  <c r="T228" i="16"/>
  <c r="P228" i="16"/>
  <c r="Q228" i="16" s="1"/>
  <c r="R228" i="16" s="1"/>
  <c r="S228" i="16" s="1"/>
  <c r="S227" i="16"/>
  <c r="T227" i="16" s="1"/>
  <c r="Q227" i="16"/>
  <c r="R227" i="16" s="1"/>
  <c r="P227" i="16"/>
  <c r="P226" i="16"/>
  <c r="Q226" i="16" s="1"/>
  <c r="R226" i="16" s="1"/>
  <c r="S226" i="16" s="1"/>
  <c r="T226" i="16" s="1"/>
  <c r="P225" i="16"/>
  <c r="Q225" i="16" s="1"/>
  <c r="R225" i="16" s="1"/>
  <c r="S225" i="16" s="1"/>
  <c r="T225" i="16" s="1"/>
  <c r="P224" i="16"/>
  <c r="Q224" i="16" s="1"/>
  <c r="R224" i="16" s="1"/>
  <c r="S224" i="16" s="1"/>
  <c r="T224" i="16" s="1"/>
  <c r="Q223" i="16"/>
  <c r="R223" i="16" s="1"/>
  <c r="S223" i="16" s="1"/>
  <c r="T223" i="16" s="1"/>
  <c r="P223" i="16"/>
  <c r="T222" i="16"/>
  <c r="P222" i="16"/>
  <c r="Q222" i="16" s="1"/>
  <c r="R222" i="16" s="1"/>
  <c r="S222" i="16" s="1"/>
  <c r="T221" i="16"/>
  <c r="P221" i="16"/>
  <c r="Q221" i="16" s="1"/>
  <c r="R221" i="16" s="1"/>
  <c r="S221" i="16" s="1"/>
  <c r="T220" i="16"/>
  <c r="P220" i="16"/>
  <c r="Q220" i="16" s="1"/>
  <c r="R220" i="16" s="1"/>
  <c r="S220" i="16" s="1"/>
  <c r="Q219" i="16"/>
  <c r="R219" i="16" s="1"/>
  <c r="S219" i="16" s="1"/>
  <c r="T219" i="16" s="1"/>
  <c r="P219" i="16"/>
  <c r="S218" i="16"/>
  <c r="T218" i="16" s="1"/>
  <c r="P218" i="16"/>
  <c r="Q218" i="16" s="1"/>
  <c r="R218" i="16" s="1"/>
  <c r="S217" i="16"/>
  <c r="T217" i="16" s="1"/>
  <c r="P217" i="16"/>
  <c r="Q217" i="16" s="1"/>
  <c r="R217" i="16" s="1"/>
  <c r="T216" i="16"/>
  <c r="P216" i="16"/>
  <c r="Q216" i="16" s="1"/>
  <c r="R216" i="16" s="1"/>
  <c r="S216" i="16" s="1"/>
  <c r="Q215" i="16"/>
  <c r="R215" i="16" s="1"/>
  <c r="S215" i="16" s="1"/>
  <c r="T215" i="16" s="1"/>
  <c r="P215" i="16"/>
  <c r="S214" i="16"/>
  <c r="T214" i="16" s="1"/>
  <c r="P214" i="16"/>
  <c r="Q214" i="16" s="1"/>
  <c r="R214" i="16" s="1"/>
  <c r="S213" i="16"/>
  <c r="T213" i="16" s="1"/>
  <c r="P213" i="16"/>
  <c r="Q213" i="16" s="1"/>
  <c r="R213" i="16" s="1"/>
  <c r="T212" i="16"/>
  <c r="P212" i="16"/>
  <c r="Q212" i="16" s="1"/>
  <c r="R212" i="16" s="1"/>
  <c r="S212" i="16" s="1"/>
  <c r="Q211" i="16"/>
  <c r="R211" i="16" s="1"/>
  <c r="S211" i="16" s="1"/>
  <c r="T211" i="16" s="1"/>
  <c r="P211" i="16"/>
  <c r="S210" i="16"/>
  <c r="T210" i="16" s="1"/>
  <c r="P210" i="16"/>
  <c r="Q210" i="16" s="1"/>
  <c r="R210" i="16" s="1"/>
  <c r="S209" i="16"/>
  <c r="T209" i="16" s="1"/>
  <c r="P209" i="16"/>
  <c r="Q209" i="16" s="1"/>
  <c r="R209" i="16" s="1"/>
  <c r="T208" i="16"/>
  <c r="P208" i="16"/>
  <c r="Q208" i="16" s="1"/>
  <c r="R208" i="16" s="1"/>
  <c r="S208" i="16" s="1"/>
  <c r="Q207" i="16"/>
  <c r="R207" i="16" s="1"/>
  <c r="S207" i="16" s="1"/>
  <c r="T207" i="16" s="1"/>
  <c r="P207" i="16"/>
  <c r="S206" i="16"/>
  <c r="T206" i="16" s="1"/>
  <c r="P206" i="16"/>
  <c r="Q206" i="16" s="1"/>
  <c r="R206" i="16" s="1"/>
  <c r="S205" i="16"/>
  <c r="T205" i="16" s="1"/>
  <c r="P205" i="16"/>
  <c r="Q205" i="16" s="1"/>
  <c r="R205" i="16" s="1"/>
  <c r="T204" i="16"/>
  <c r="P204" i="16"/>
  <c r="Q204" i="16" s="1"/>
  <c r="R204" i="16" s="1"/>
  <c r="S204" i="16" s="1"/>
  <c r="Q203" i="16"/>
  <c r="R203" i="16" s="1"/>
  <c r="S203" i="16" s="1"/>
  <c r="T203" i="16" s="1"/>
  <c r="P203" i="16"/>
  <c r="S202" i="16"/>
  <c r="T202" i="16" s="1"/>
  <c r="P202" i="16"/>
  <c r="Q202" i="16" s="1"/>
  <c r="R202" i="16" s="1"/>
  <c r="S201" i="16"/>
  <c r="T201" i="16" s="1"/>
  <c r="P201" i="16"/>
  <c r="Q201" i="16" s="1"/>
  <c r="R201" i="16" s="1"/>
  <c r="T200" i="16"/>
  <c r="P200" i="16"/>
  <c r="Q200" i="16" s="1"/>
  <c r="R200" i="16" s="1"/>
  <c r="S200" i="16" s="1"/>
  <c r="Q199" i="16"/>
  <c r="R199" i="16" s="1"/>
  <c r="S199" i="16" s="1"/>
  <c r="T199" i="16" s="1"/>
  <c r="P199" i="16"/>
  <c r="S198" i="16"/>
  <c r="T198" i="16" s="1"/>
  <c r="P198" i="16"/>
  <c r="Q198" i="16" s="1"/>
  <c r="R198" i="16" s="1"/>
  <c r="S197" i="16"/>
  <c r="T197" i="16" s="1"/>
  <c r="P197" i="16"/>
  <c r="Q197" i="16" s="1"/>
  <c r="R197" i="16" s="1"/>
  <c r="T196" i="16"/>
  <c r="P196" i="16"/>
  <c r="Q196" i="16" s="1"/>
  <c r="R196" i="16" s="1"/>
  <c r="S196" i="16" s="1"/>
  <c r="Q195" i="16"/>
  <c r="R195" i="16" s="1"/>
  <c r="S195" i="16" s="1"/>
  <c r="T195" i="16" s="1"/>
  <c r="P195" i="16"/>
  <c r="S194" i="16"/>
  <c r="T194" i="16" s="1"/>
  <c r="P194" i="16"/>
  <c r="Q194" i="16" s="1"/>
  <c r="R194" i="16" s="1"/>
  <c r="S193" i="16"/>
  <c r="T193" i="16" s="1"/>
  <c r="P193" i="16"/>
  <c r="Q193" i="16" s="1"/>
  <c r="R193" i="16" s="1"/>
  <c r="T192" i="16"/>
  <c r="P192" i="16"/>
  <c r="Q192" i="16" s="1"/>
  <c r="R192" i="16" s="1"/>
  <c r="S192" i="16" s="1"/>
  <c r="Q191" i="16"/>
  <c r="R191" i="16" s="1"/>
  <c r="S191" i="16" s="1"/>
  <c r="T191" i="16" s="1"/>
  <c r="P191" i="16"/>
  <c r="S190" i="16"/>
  <c r="T190" i="16" s="1"/>
  <c r="P190" i="16"/>
  <c r="Q190" i="16" s="1"/>
  <c r="R190" i="16" s="1"/>
  <c r="S189" i="16"/>
  <c r="T189" i="16" s="1"/>
  <c r="P189" i="16"/>
  <c r="Q189" i="16" s="1"/>
  <c r="R189" i="16" s="1"/>
  <c r="T188" i="16"/>
  <c r="P188" i="16"/>
  <c r="Q188" i="16" s="1"/>
  <c r="R188" i="16" s="1"/>
  <c r="S188" i="16" s="1"/>
  <c r="Q187" i="16"/>
  <c r="R187" i="16" s="1"/>
  <c r="S187" i="16" s="1"/>
  <c r="T187" i="16" s="1"/>
  <c r="P187" i="16"/>
  <c r="S186" i="16"/>
  <c r="T186" i="16" s="1"/>
  <c r="P186" i="16"/>
  <c r="Q186" i="16" s="1"/>
  <c r="R186" i="16" s="1"/>
  <c r="S185" i="16"/>
  <c r="T185" i="16" s="1"/>
  <c r="P185" i="16"/>
  <c r="Q185" i="16" s="1"/>
  <c r="R185" i="16" s="1"/>
  <c r="T184" i="16"/>
  <c r="P184" i="16"/>
  <c r="Q184" i="16" s="1"/>
  <c r="R184" i="16" s="1"/>
  <c r="S184" i="16" s="1"/>
  <c r="Q183" i="16"/>
  <c r="R183" i="16" s="1"/>
  <c r="S183" i="16" s="1"/>
  <c r="T183" i="16" s="1"/>
  <c r="P183" i="16"/>
  <c r="S182" i="16"/>
  <c r="T182" i="16" s="1"/>
  <c r="P182" i="16"/>
  <c r="Q182" i="16" s="1"/>
  <c r="R182" i="16" s="1"/>
  <c r="S181" i="16"/>
  <c r="T181" i="16" s="1"/>
  <c r="P181" i="16"/>
  <c r="Q181" i="16" s="1"/>
  <c r="R181" i="16" s="1"/>
  <c r="T180" i="16"/>
  <c r="P180" i="16"/>
  <c r="Q180" i="16" s="1"/>
  <c r="R180" i="16" s="1"/>
  <c r="S180" i="16" s="1"/>
  <c r="Q179" i="16"/>
  <c r="R179" i="16" s="1"/>
  <c r="S179" i="16" s="1"/>
  <c r="T179" i="16" s="1"/>
  <c r="P179" i="16"/>
  <c r="S178" i="16"/>
  <c r="T178" i="16" s="1"/>
  <c r="P178" i="16"/>
  <c r="Q178" i="16" s="1"/>
  <c r="R178" i="16" s="1"/>
  <c r="S177" i="16"/>
  <c r="T177" i="16" s="1"/>
  <c r="P177" i="16"/>
  <c r="Q177" i="16" s="1"/>
  <c r="R177" i="16" s="1"/>
  <c r="T176" i="16"/>
  <c r="P176" i="16"/>
  <c r="Q176" i="16" s="1"/>
  <c r="R176" i="16" s="1"/>
  <c r="S176" i="16" s="1"/>
  <c r="Q175" i="16"/>
  <c r="R175" i="16" s="1"/>
  <c r="S175" i="16" s="1"/>
  <c r="T175" i="16" s="1"/>
  <c r="P175" i="16"/>
  <c r="S174" i="16"/>
  <c r="T174" i="16" s="1"/>
  <c r="P174" i="16"/>
  <c r="Q174" i="16" s="1"/>
  <c r="R174" i="16" s="1"/>
  <c r="S173" i="16"/>
  <c r="T173" i="16" s="1"/>
  <c r="P173" i="16"/>
  <c r="Q173" i="16" s="1"/>
  <c r="R173" i="16" s="1"/>
  <c r="T172" i="16"/>
  <c r="P172" i="16"/>
  <c r="Q172" i="16" s="1"/>
  <c r="R172" i="16" s="1"/>
  <c r="S172" i="16" s="1"/>
  <c r="Q171" i="16"/>
  <c r="R171" i="16" s="1"/>
  <c r="S171" i="16" s="1"/>
  <c r="T171" i="16" s="1"/>
  <c r="P171" i="16"/>
  <c r="S170" i="16"/>
  <c r="T170" i="16" s="1"/>
  <c r="P170" i="16"/>
  <c r="Q170" i="16" s="1"/>
  <c r="R170" i="16" s="1"/>
  <c r="S169" i="16"/>
  <c r="T169" i="16" s="1"/>
  <c r="P169" i="16"/>
  <c r="Q169" i="16" s="1"/>
  <c r="R169" i="16" s="1"/>
  <c r="T168" i="16"/>
  <c r="P168" i="16"/>
  <c r="Q168" i="16" s="1"/>
  <c r="R168" i="16" s="1"/>
  <c r="S168" i="16" s="1"/>
  <c r="Q167" i="16"/>
  <c r="R167" i="16" s="1"/>
  <c r="S167" i="16" s="1"/>
  <c r="T167" i="16" s="1"/>
  <c r="P167" i="16"/>
  <c r="S166" i="16"/>
  <c r="T166" i="16" s="1"/>
  <c r="P166" i="16"/>
  <c r="Q166" i="16" s="1"/>
  <c r="R166" i="16" s="1"/>
  <c r="S165" i="16"/>
  <c r="T165" i="16" s="1"/>
  <c r="P165" i="16"/>
  <c r="Q165" i="16" s="1"/>
  <c r="R165" i="16" s="1"/>
  <c r="T164" i="16"/>
  <c r="P164" i="16"/>
  <c r="Q164" i="16" s="1"/>
  <c r="R164" i="16" s="1"/>
  <c r="S164" i="16" s="1"/>
  <c r="Q163" i="16"/>
  <c r="R163" i="16" s="1"/>
  <c r="S163" i="16" s="1"/>
  <c r="T163" i="16" s="1"/>
  <c r="P163" i="16"/>
  <c r="S162" i="16"/>
  <c r="T162" i="16" s="1"/>
  <c r="P162" i="16"/>
  <c r="Q162" i="16" s="1"/>
  <c r="R162" i="16" s="1"/>
  <c r="S161" i="16"/>
  <c r="T161" i="16" s="1"/>
  <c r="P161" i="16"/>
  <c r="Q161" i="16" s="1"/>
  <c r="R161" i="16" s="1"/>
  <c r="T160" i="16"/>
  <c r="P160" i="16"/>
  <c r="Q160" i="16" s="1"/>
  <c r="R160" i="16" s="1"/>
  <c r="S160" i="16" s="1"/>
  <c r="Q159" i="16"/>
  <c r="R159" i="16" s="1"/>
  <c r="S159" i="16" s="1"/>
  <c r="T159" i="16" s="1"/>
  <c r="P159" i="16"/>
  <c r="S158" i="16"/>
  <c r="T158" i="16" s="1"/>
  <c r="P158" i="16"/>
  <c r="Q158" i="16" s="1"/>
  <c r="R158" i="16" s="1"/>
  <c r="S157" i="16"/>
  <c r="T157" i="16" s="1"/>
  <c r="P157" i="16"/>
  <c r="Q157" i="16" s="1"/>
  <c r="R157" i="16" s="1"/>
  <c r="T156" i="16"/>
  <c r="P156" i="16"/>
  <c r="Q156" i="16" s="1"/>
  <c r="R156" i="16" s="1"/>
  <c r="S156" i="16" s="1"/>
  <c r="Q155" i="16"/>
  <c r="R155" i="16" s="1"/>
  <c r="S155" i="16" s="1"/>
  <c r="T155" i="16" s="1"/>
  <c r="P155" i="16"/>
  <c r="S154" i="16"/>
  <c r="T154" i="16" s="1"/>
  <c r="P154" i="16"/>
  <c r="Q154" i="16" s="1"/>
  <c r="R154" i="16" s="1"/>
  <c r="S153" i="16"/>
  <c r="T153" i="16" s="1"/>
  <c r="P153" i="16"/>
  <c r="Q153" i="16" s="1"/>
  <c r="R153" i="16" s="1"/>
  <c r="T152" i="16"/>
  <c r="P152" i="16"/>
  <c r="Q152" i="16" s="1"/>
  <c r="R152" i="16" s="1"/>
  <c r="S152" i="16" s="1"/>
  <c r="Q151" i="16"/>
  <c r="R151" i="16" s="1"/>
  <c r="S151" i="16" s="1"/>
  <c r="T151" i="16" s="1"/>
  <c r="P151" i="16"/>
  <c r="S150" i="16"/>
  <c r="T150" i="16" s="1"/>
  <c r="P150" i="16"/>
  <c r="Q150" i="16" s="1"/>
  <c r="R150" i="16" s="1"/>
  <c r="S149" i="16"/>
  <c r="T149" i="16" s="1"/>
  <c r="P149" i="16"/>
  <c r="Q149" i="16" s="1"/>
  <c r="R149" i="16" s="1"/>
  <c r="T148" i="16"/>
  <c r="P148" i="16"/>
  <c r="Q148" i="16" s="1"/>
  <c r="R148" i="16" s="1"/>
  <c r="S148" i="16" s="1"/>
  <c r="Q147" i="16"/>
  <c r="R147" i="16" s="1"/>
  <c r="S147" i="16" s="1"/>
  <c r="T147" i="16" s="1"/>
  <c r="P147" i="16"/>
  <c r="S146" i="16"/>
  <c r="T146" i="16" s="1"/>
  <c r="P146" i="16"/>
  <c r="Q146" i="16" s="1"/>
  <c r="R146" i="16" s="1"/>
  <c r="S145" i="16"/>
  <c r="T145" i="16" s="1"/>
  <c r="P145" i="16"/>
  <c r="Q145" i="16" s="1"/>
  <c r="R145" i="16" s="1"/>
  <c r="T144" i="16"/>
  <c r="P144" i="16"/>
  <c r="Q144" i="16" s="1"/>
  <c r="R144" i="16" s="1"/>
  <c r="S144" i="16" s="1"/>
  <c r="Q143" i="16"/>
  <c r="R143" i="16" s="1"/>
  <c r="S143" i="16" s="1"/>
  <c r="T143" i="16" s="1"/>
  <c r="P143" i="16"/>
  <c r="S142" i="16"/>
  <c r="T142" i="16" s="1"/>
  <c r="P142" i="16"/>
  <c r="Q142" i="16" s="1"/>
  <c r="R142" i="16" s="1"/>
  <c r="S141" i="16"/>
  <c r="T141" i="16" s="1"/>
  <c r="P141" i="16"/>
  <c r="Q141" i="16" s="1"/>
  <c r="R141" i="16" s="1"/>
  <c r="T140" i="16"/>
  <c r="P140" i="16"/>
  <c r="Q140" i="16" s="1"/>
  <c r="R140" i="16" s="1"/>
  <c r="S140" i="16" s="1"/>
  <c r="Q139" i="16"/>
  <c r="R139" i="16" s="1"/>
  <c r="S139" i="16" s="1"/>
  <c r="T139" i="16" s="1"/>
  <c r="P139" i="16"/>
  <c r="S138" i="16"/>
  <c r="T138" i="16" s="1"/>
  <c r="P138" i="16"/>
  <c r="Q138" i="16" s="1"/>
  <c r="R138" i="16" s="1"/>
  <c r="S137" i="16"/>
  <c r="T137" i="16" s="1"/>
  <c r="P137" i="16"/>
  <c r="Q137" i="16" s="1"/>
  <c r="R137" i="16" s="1"/>
  <c r="T136" i="16"/>
  <c r="P136" i="16"/>
  <c r="Q136" i="16" s="1"/>
  <c r="R136" i="16" s="1"/>
  <c r="S136" i="16" s="1"/>
  <c r="Q135" i="16"/>
  <c r="R135" i="16" s="1"/>
  <c r="S135" i="16" s="1"/>
  <c r="T135" i="16" s="1"/>
  <c r="P135" i="16"/>
  <c r="S134" i="16"/>
  <c r="T134" i="16" s="1"/>
  <c r="P134" i="16"/>
  <c r="Q134" i="16" s="1"/>
  <c r="R134" i="16" s="1"/>
  <c r="S133" i="16"/>
  <c r="T133" i="16" s="1"/>
  <c r="P133" i="16"/>
  <c r="Q133" i="16" s="1"/>
  <c r="R133" i="16" s="1"/>
  <c r="T132" i="16"/>
  <c r="P132" i="16"/>
  <c r="Q132" i="16" s="1"/>
  <c r="R132" i="16" s="1"/>
  <c r="S132" i="16" s="1"/>
  <c r="Q131" i="16"/>
  <c r="R131" i="16" s="1"/>
  <c r="S131" i="16" s="1"/>
  <c r="T131" i="16" s="1"/>
  <c r="P131" i="16"/>
  <c r="S130" i="16"/>
  <c r="T130" i="16" s="1"/>
  <c r="P130" i="16"/>
  <c r="Q130" i="16" s="1"/>
  <c r="R130" i="16" s="1"/>
  <c r="S129" i="16"/>
  <c r="T129" i="16" s="1"/>
  <c r="P129" i="16"/>
  <c r="Q129" i="16" s="1"/>
  <c r="R129" i="16" s="1"/>
  <c r="T128" i="16"/>
  <c r="P128" i="16"/>
  <c r="Q128" i="16" s="1"/>
  <c r="R128" i="16" s="1"/>
  <c r="S128" i="16" s="1"/>
  <c r="Q127" i="16"/>
  <c r="R127" i="16" s="1"/>
  <c r="S127" i="16" s="1"/>
  <c r="T127" i="16" s="1"/>
  <c r="P127" i="16"/>
  <c r="S126" i="16"/>
  <c r="T126" i="16" s="1"/>
  <c r="P126" i="16"/>
  <c r="Q126" i="16" s="1"/>
  <c r="R126" i="16" s="1"/>
  <c r="S125" i="16"/>
  <c r="T125" i="16" s="1"/>
  <c r="P125" i="16"/>
  <c r="Q125" i="16" s="1"/>
  <c r="R125" i="16" s="1"/>
  <c r="T124" i="16"/>
  <c r="P124" i="16"/>
  <c r="Q124" i="16" s="1"/>
  <c r="R124" i="16" s="1"/>
  <c r="S124" i="16" s="1"/>
  <c r="Q123" i="16"/>
  <c r="R123" i="16" s="1"/>
  <c r="S123" i="16" s="1"/>
  <c r="T123" i="16" s="1"/>
  <c r="P123" i="16"/>
  <c r="S122" i="16"/>
  <c r="T122" i="16" s="1"/>
  <c r="P122" i="16"/>
  <c r="Q122" i="16" s="1"/>
  <c r="R122" i="16" s="1"/>
  <c r="S121" i="16"/>
  <c r="T121" i="16" s="1"/>
  <c r="P121" i="16"/>
  <c r="Q121" i="16" s="1"/>
  <c r="R121" i="16" s="1"/>
  <c r="T120" i="16"/>
  <c r="P120" i="16"/>
  <c r="Q120" i="16" s="1"/>
  <c r="R120" i="16" s="1"/>
  <c r="S120" i="16" s="1"/>
  <c r="Q119" i="16"/>
  <c r="R119" i="16" s="1"/>
  <c r="S119" i="16" s="1"/>
  <c r="T119" i="16" s="1"/>
  <c r="P119" i="16"/>
  <c r="S118" i="16"/>
  <c r="T118" i="16" s="1"/>
  <c r="P118" i="16"/>
  <c r="Q118" i="16" s="1"/>
  <c r="R118" i="16" s="1"/>
  <c r="S117" i="16"/>
  <c r="T117" i="16" s="1"/>
  <c r="P117" i="16"/>
  <c r="Q117" i="16" s="1"/>
  <c r="R117" i="16" s="1"/>
  <c r="T116" i="16"/>
  <c r="P116" i="16"/>
  <c r="Q116" i="16" s="1"/>
  <c r="R116" i="16" s="1"/>
  <c r="S116" i="16" s="1"/>
  <c r="Q115" i="16"/>
  <c r="R115" i="16" s="1"/>
  <c r="S115" i="16" s="1"/>
  <c r="T115" i="16" s="1"/>
  <c r="P115" i="16"/>
  <c r="S114" i="16"/>
  <c r="T114" i="16" s="1"/>
  <c r="P114" i="16"/>
  <c r="Q114" i="16" s="1"/>
  <c r="R114" i="16" s="1"/>
  <c r="S113" i="16"/>
  <c r="T113" i="16" s="1"/>
  <c r="P113" i="16"/>
  <c r="Q113" i="16" s="1"/>
  <c r="R113" i="16" s="1"/>
  <c r="T112" i="16"/>
  <c r="P112" i="16"/>
  <c r="Q112" i="16" s="1"/>
  <c r="R112" i="16" s="1"/>
  <c r="S112" i="16" s="1"/>
  <c r="Q111" i="16"/>
  <c r="R111" i="16" s="1"/>
  <c r="S111" i="16" s="1"/>
  <c r="T111" i="16" s="1"/>
  <c r="P111" i="16"/>
  <c r="S110" i="16"/>
  <c r="T110" i="16" s="1"/>
  <c r="P110" i="16"/>
  <c r="Q110" i="16" s="1"/>
  <c r="R110" i="16" s="1"/>
  <c r="S109" i="16"/>
  <c r="T109" i="16" s="1"/>
  <c r="P109" i="16"/>
  <c r="Q109" i="16" s="1"/>
  <c r="R109" i="16" s="1"/>
  <c r="T108" i="16"/>
  <c r="P108" i="16"/>
  <c r="Q108" i="16" s="1"/>
  <c r="R108" i="16" s="1"/>
  <c r="S108" i="16" s="1"/>
  <c r="Q107" i="16"/>
  <c r="R107" i="16" s="1"/>
  <c r="S107" i="16" s="1"/>
  <c r="T107" i="16" s="1"/>
  <c r="P107" i="16"/>
  <c r="S106" i="16"/>
  <c r="T106" i="16" s="1"/>
  <c r="P106" i="16"/>
  <c r="Q106" i="16" s="1"/>
  <c r="R106" i="16" s="1"/>
  <c r="S105" i="16"/>
  <c r="T105" i="16" s="1"/>
  <c r="P105" i="16"/>
  <c r="Q105" i="16" s="1"/>
  <c r="R105" i="16" s="1"/>
  <c r="T104" i="16"/>
  <c r="P104" i="16"/>
  <c r="Q104" i="16" s="1"/>
  <c r="R104" i="16" s="1"/>
  <c r="S104" i="16" s="1"/>
  <c r="Q103" i="16"/>
  <c r="R103" i="16" s="1"/>
  <c r="S103" i="16" s="1"/>
  <c r="T103" i="16" s="1"/>
  <c r="P103" i="16"/>
  <c r="S102" i="16"/>
  <c r="T102" i="16" s="1"/>
  <c r="P102" i="16"/>
  <c r="Q102" i="16" s="1"/>
  <c r="R102" i="16" s="1"/>
  <c r="S101" i="16"/>
  <c r="T101" i="16" s="1"/>
  <c r="P101" i="16"/>
  <c r="Q101" i="16" s="1"/>
  <c r="R101" i="16" s="1"/>
  <c r="T100" i="16"/>
  <c r="P100" i="16"/>
  <c r="Q100" i="16" s="1"/>
  <c r="R100" i="16" s="1"/>
  <c r="S100" i="16" s="1"/>
  <c r="Q99" i="16"/>
  <c r="R99" i="16" s="1"/>
  <c r="S99" i="16" s="1"/>
  <c r="T99" i="16" s="1"/>
  <c r="P99" i="16"/>
  <c r="S98" i="16"/>
  <c r="T98" i="16" s="1"/>
  <c r="P98" i="16"/>
  <c r="Q98" i="16" s="1"/>
  <c r="R98" i="16" s="1"/>
  <c r="S97" i="16"/>
  <c r="T97" i="16" s="1"/>
  <c r="P97" i="16"/>
  <c r="Q97" i="16" s="1"/>
  <c r="R97" i="16" s="1"/>
  <c r="T96" i="16"/>
  <c r="P96" i="16"/>
  <c r="Q96" i="16" s="1"/>
  <c r="R96" i="16" s="1"/>
  <c r="S96" i="16" s="1"/>
  <c r="Q95" i="16"/>
  <c r="R95" i="16" s="1"/>
  <c r="S95" i="16" s="1"/>
  <c r="T95" i="16" s="1"/>
  <c r="P95" i="16"/>
  <c r="S94" i="16"/>
  <c r="T94" i="16" s="1"/>
  <c r="P94" i="16"/>
  <c r="Q94" i="16" s="1"/>
  <c r="R94" i="16" s="1"/>
  <c r="S93" i="16"/>
  <c r="T93" i="16" s="1"/>
  <c r="P93" i="16"/>
  <c r="Q93" i="16" s="1"/>
  <c r="R93" i="16" s="1"/>
  <c r="T92" i="16"/>
  <c r="P92" i="16"/>
  <c r="Q92" i="16" s="1"/>
  <c r="R92" i="16" s="1"/>
  <c r="S92" i="16" s="1"/>
  <c r="Q91" i="16"/>
  <c r="R91" i="16" s="1"/>
  <c r="S91" i="16" s="1"/>
  <c r="T91" i="16" s="1"/>
  <c r="P91" i="16"/>
  <c r="S90" i="16"/>
  <c r="T90" i="16" s="1"/>
  <c r="P90" i="16"/>
  <c r="Q90" i="16" s="1"/>
  <c r="R90" i="16" s="1"/>
  <c r="S89" i="16"/>
  <c r="T89" i="16" s="1"/>
  <c r="P89" i="16"/>
  <c r="Q89" i="16" s="1"/>
  <c r="R89" i="16" s="1"/>
  <c r="T88" i="16"/>
  <c r="P88" i="16"/>
  <c r="Q88" i="16" s="1"/>
  <c r="R88" i="16" s="1"/>
  <c r="S88" i="16" s="1"/>
  <c r="Q87" i="16"/>
  <c r="R87" i="16" s="1"/>
  <c r="S87" i="16" s="1"/>
  <c r="T87" i="16" s="1"/>
  <c r="P87" i="16"/>
  <c r="S86" i="16"/>
  <c r="T86" i="16" s="1"/>
  <c r="P86" i="16"/>
  <c r="Q86" i="16" s="1"/>
  <c r="R86" i="16" s="1"/>
  <c r="S85" i="16"/>
  <c r="T85" i="16" s="1"/>
  <c r="P85" i="16"/>
  <c r="Q85" i="16" s="1"/>
  <c r="R85" i="16" s="1"/>
  <c r="T84" i="16"/>
  <c r="P84" i="16"/>
  <c r="Q84" i="16" s="1"/>
  <c r="R84" i="16" s="1"/>
  <c r="S84" i="16" s="1"/>
  <c r="Q83" i="16"/>
  <c r="R83" i="16" s="1"/>
  <c r="S83" i="16" s="1"/>
  <c r="T83" i="16" s="1"/>
  <c r="P83" i="16"/>
  <c r="S82" i="16"/>
  <c r="T82" i="16" s="1"/>
  <c r="P82" i="16"/>
  <c r="Q82" i="16" s="1"/>
  <c r="R82" i="16" s="1"/>
  <c r="S81" i="16"/>
  <c r="T81" i="16" s="1"/>
  <c r="P81" i="16"/>
  <c r="Q81" i="16" s="1"/>
  <c r="R81" i="16" s="1"/>
  <c r="T80" i="16"/>
  <c r="P80" i="16"/>
  <c r="Q80" i="16" s="1"/>
  <c r="R80" i="16" s="1"/>
  <c r="S80" i="16" s="1"/>
  <c r="Q79" i="16"/>
  <c r="R79" i="16" s="1"/>
  <c r="S79" i="16" s="1"/>
  <c r="T79" i="16" s="1"/>
  <c r="P79" i="16"/>
  <c r="S78" i="16"/>
  <c r="T78" i="16" s="1"/>
  <c r="P78" i="16"/>
  <c r="Q78" i="16" s="1"/>
  <c r="R78" i="16" s="1"/>
  <c r="S77" i="16"/>
  <c r="T77" i="16" s="1"/>
  <c r="P77" i="16"/>
  <c r="Q77" i="16" s="1"/>
  <c r="R77" i="16" s="1"/>
  <c r="T76" i="16"/>
  <c r="P76" i="16"/>
  <c r="Q76" i="16" s="1"/>
  <c r="R76" i="16" s="1"/>
  <c r="S76" i="16" s="1"/>
  <c r="Q75" i="16"/>
  <c r="R75" i="16" s="1"/>
  <c r="S75" i="16" s="1"/>
  <c r="T75" i="16" s="1"/>
  <c r="P75" i="16"/>
  <c r="S74" i="16"/>
  <c r="T74" i="16" s="1"/>
  <c r="P74" i="16"/>
  <c r="Q74" i="16" s="1"/>
  <c r="R74" i="16" s="1"/>
  <c r="S73" i="16"/>
  <c r="T73" i="16" s="1"/>
  <c r="P73" i="16"/>
  <c r="Q73" i="16" s="1"/>
  <c r="R73" i="16" s="1"/>
  <c r="T72" i="16"/>
  <c r="P72" i="16"/>
  <c r="Q72" i="16" s="1"/>
  <c r="R72" i="16" s="1"/>
  <c r="S72" i="16" s="1"/>
  <c r="Q71" i="16"/>
  <c r="R71" i="16" s="1"/>
  <c r="S71" i="16" s="1"/>
  <c r="T71" i="16" s="1"/>
  <c r="P71" i="16"/>
  <c r="S70" i="16"/>
  <c r="T70" i="16" s="1"/>
  <c r="P70" i="16"/>
  <c r="Q70" i="16" s="1"/>
  <c r="R70" i="16" s="1"/>
  <c r="S69" i="16"/>
  <c r="T69" i="16" s="1"/>
  <c r="P69" i="16"/>
  <c r="Q69" i="16" s="1"/>
  <c r="R69" i="16" s="1"/>
  <c r="T68" i="16"/>
  <c r="P68" i="16"/>
  <c r="Q68" i="16" s="1"/>
  <c r="R68" i="16" s="1"/>
  <c r="S68" i="16" s="1"/>
  <c r="Q67" i="16"/>
  <c r="R67" i="16" s="1"/>
  <c r="S67" i="16" s="1"/>
  <c r="T67" i="16" s="1"/>
  <c r="P67" i="16"/>
  <c r="S66" i="16"/>
  <c r="T66" i="16" s="1"/>
  <c r="P66" i="16"/>
  <c r="Q66" i="16" s="1"/>
  <c r="R66" i="16" s="1"/>
  <c r="S65" i="16"/>
  <c r="T65" i="16" s="1"/>
  <c r="P65" i="16"/>
  <c r="Q65" i="16" s="1"/>
  <c r="R65" i="16" s="1"/>
  <c r="T64" i="16"/>
  <c r="P64" i="16"/>
  <c r="Q64" i="16" s="1"/>
  <c r="R64" i="16" s="1"/>
  <c r="S64" i="16" s="1"/>
  <c r="Q63" i="16"/>
  <c r="R63" i="16" s="1"/>
  <c r="S63" i="16" s="1"/>
  <c r="T63" i="16" s="1"/>
  <c r="P63" i="16"/>
  <c r="S62" i="16"/>
  <c r="T62" i="16" s="1"/>
  <c r="P62" i="16"/>
  <c r="Q62" i="16" s="1"/>
  <c r="R62" i="16" s="1"/>
  <c r="S61" i="16"/>
  <c r="T61" i="16" s="1"/>
  <c r="P61" i="16"/>
  <c r="Q61" i="16" s="1"/>
  <c r="R61" i="16" s="1"/>
  <c r="T60" i="16"/>
  <c r="P60" i="16"/>
  <c r="Q60" i="16" s="1"/>
  <c r="R60" i="16" s="1"/>
  <c r="S60" i="16" s="1"/>
  <c r="Q59" i="16"/>
  <c r="R59" i="16" s="1"/>
  <c r="S59" i="16" s="1"/>
  <c r="T59" i="16" s="1"/>
  <c r="P59" i="16"/>
  <c r="S58" i="16"/>
  <c r="T58" i="16" s="1"/>
  <c r="P58" i="16"/>
  <c r="Q58" i="16" s="1"/>
  <c r="R58" i="16" s="1"/>
  <c r="S57" i="16"/>
  <c r="T57" i="16" s="1"/>
  <c r="P57" i="16"/>
  <c r="Q57" i="16" s="1"/>
  <c r="R57" i="16" s="1"/>
  <c r="T56" i="16"/>
  <c r="P56" i="16"/>
  <c r="Q56" i="16" s="1"/>
  <c r="R56" i="16" s="1"/>
  <c r="S56" i="16" s="1"/>
  <c r="Q55" i="16"/>
  <c r="R55" i="16" s="1"/>
  <c r="S55" i="16" s="1"/>
  <c r="T55" i="16" s="1"/>
  <c r="P55" i="16"/>
  <c r="S54" i="16"/>
  <c r="T54" i="16" s="1"/>
  <c r="P54" i="16"/>
  <c r="Q54" i="16" s="1"/>
  <c r="R54" i="16" s="1"/>
  <c r="S53" i="16"/>
  <c r="T53" i="16" s="1"/>
  <c r="P53" i="16"/>
  <c r="Q53" i="16" s="1"/>
  <c r="R53" i="16" s="1"/>
  <c r="T52" i="16"/>
  <c r="P52" i="16"/>
  <c r="Q52" i="16" s="1"/>
  <c r="R52" i="16" s="1"/>
  <c r="S52" i="16" s="1"/>
  <c r="Q51" i="16"/>
  <c r="R51" i="16" s="1"/>
  <c r="S51" i="16" s="1"/>
  <c r="T51" i="16" s="1"/>
  <c r="P51" i="16"/>
  <c r="S50" i="16"/>
  <c r="T50" i="16" s="1"/>
  <c r="P50" i="16"/>
  <c r="Q50" i="16" s="1"/>
  <c r="R50" i="16" s="1"/>
  <c r="S49" i="16"/>
  <c r="T49" i="16" s="1"/>
  <c r="P49" i="16"/>
  <c r="Q49" i="16" s="1"/>
  <c r="R49" i="16" s="1"/>
  <c r="T48" i="16"/>
  <c r="P48" i="16"/>
  <c r="Q48" i="16" s="1"/>
  <c r="R48" i="16" s="1"/>
  <c r="S48" i="16" s="1"/>
  <c r="Q47" i="16"/>
  <c r="R47" i="16" s="1"/>
  <c r="S47" i="16" s="1"/>
  <c r="T47" i="16" s="1"/>
  <c r="P47" i="16"/>
  <c r="S46" i="16"/>
  <c r="T46" i="16" s="1"/>
  <c r="P46" i="16"/>
  <c r="Q46" i="16" s="1"/>
  <c r="R46" i="16" s="1"/>
  <c r="S45" i="16"/>
  <c r="T45" i="16" s="1"/>
  <c r="P45" i="16"/>
  <c r="Q45" i="16" s="1"/>
  <c r="R45" i="16" s="1"/>
  <c r="T44" i="16"/>
  <c r="P44" i="16"/>
  <c r="Q44" i="16" s="1"/>
  <c r="R44" i="16" s="1"/>
  <c r="S44" i="16" s="1"/>
  <c r="Q43" i="16"/>
  <c r="R43" i="16" s="1"/>
  <c r="S43" i="16" s="1"/>
  <c r="T43" i="16" s="1"/>
  <c r="P43" i="16"/>
  <c r="S42" i="16"/>
  <c r="T42" i="16" s="1"/>
  <c r="P42" i="16"/>
  <c r="Q42" i="16" s="1"/>
  <c r="R42" i="16" s="1"/>
  <c r="S41" i="16"/>
  <c r="T41" i="16" s="1"/>
  <c r="P41" i="16"/>
  <c r="Q41" i="16" s="1"/>
  <c r="R41" i="16" s="1"/>
  <c r="T40" i="16"/>
  <c r="P40" i="16"/>
  <c r="Q40" i="16" s="1"/>
  <c r="R40" i="16" s="1"/>
  <c r="S40" i="16" s="1"/>
  <c r="Q39" i="16"/>
  <c r="R39" i="16" s="1"/>
  <c r="S39" i="16" s="1"/>
  <c r="T39" i="16" s="1"/>
  <c r="P39" i="16"/>
  <c r="S38" i="16"/>
  <c r="T38" i="16" s="1"/>
  <c r="P38" i="16"/>
  <c r="Q38" i="16" s="1"/>
  <c r="R38" i="16" s="1"/>
  <c r="S37" i="16"/>
  <c r="T37" i="16" s="1"/>
  <c r="P37" i="16"/>
  <c r="Q37" i="16" s="1"/>
  <c r="R37" i="16" s="1"/>
  <c r="T36" i="16"/>
  <c r="P36" i="16"/>
  <c r="Q36" i="16" s="1"/>
  <c r="R36" i="16" s="1"/>
  <c r="S36" i="16" s="1"/>
  <c r="Q35" i="16"/>
  <c r="R35" i="16" s="1"/>
  <c r="S35" i="16" s="1"/>
  <c r="T35" i="16" s="1"/>
  <c r="P35" i="16"/>
  <c r="S34" i="16"/>
  <c r="T34" i="16" s="1"/>
  <c r="P34" i="16"/>
  <c r="Q34" i="16" s="1"/>
  <c r="R34" i="16" s="1"/>
  <c r="S33" i="16"/>
  <c r="T33" i="16" s="1"/>
  <c r="P33" i="16"/>
  <c r="Q33" i="16" s="1"/>
  <c r="R33" i="16" s="1"/>
  <c r="T32" i="16"/>
  <c r="P32" i="16"/>
  <c r="Q32" i="16" s="1"/>
  <c r="R32" i="16" s="1"/>
  <c r="S32" i="16" s="1"/>
  <c r="Q31" i="16"/>
  <c r="R31" i="16" s="1"/>
  <c r="S31" i="16" s="1"/>
  <c r="T31" i="16" s="1"/>
  <c r="P31" i="16"/>
  <c r="S30" i="16"/>
  <c r="T30" i="16" s="1"/>
  <c r="P30" i="16"/>
  <c r="Q30" i="16" s="1"/>
  <c r="R30" i="16" s="1"/>
  <c r="S29" i="16"/>
  <c r="T29" i="16" s="1"/>
  <c r="P29" i="16"/>
  <c r="Q29" i="16" s="1"/>
  <c r="R29" i="16" s="1"/>
  <c r="T28" i="16"/>
  <c r="P28" i="16"/>
  <c r="Q28" i="16" s="1"/>
  <c r="R28" i="16" s="1"/>
  <c r="S28" i="16" s="1"/>
  <c r="Q27" i="16"/>
  <c r="R27" i="16" s="1"/>
  <c r="S27" i="16" s="1"/>
  <c r="T27" i="16" s="1"/>
  <c r="P27" i="16"/>
  <c r="S26" i="16"/>
  <c r="T26" i="16" s="1"/>
  <c r="P26" i="16"/>
  <c r="Q26" i="16" s="1"/>
  <c r="R26" i="16" s="1"/>
  <c r="S25" i="16"/>
  <c r="T25" i="16" s="1"/>
  <c r="P25" i="16"/>
  <c r="Q25" i="16" s="1"/>
  <c r="R25" i="16" s="1"/>
  <c r="T24" i="16"/>
  <c r="P24" i="16"/>
  <c r="Q24" i="16" s="1"/>
  <c r="R24" i="16" s="1"/>
  <c r="S24" i="16" s="1"/>
  <c r="Q23" i="16"/>
  <c r="R23" i="16" s="1"/>
  <c r="S23" i="16" s="1"/>
  <c r="T23" i="16" s="1"/>
  <c r="P23" i="16"/>
  <c r="S22" i="16"/>
  <c r="T22" i="16" s="1"/>
  <c r="P22" i="16"/>
  <c r="Q22" i="16" s="1"/>
  <c r="R22" i="16" s="1"/>
  <c r="S21" i="16"/>
  <c r="T21" i="16" s="1"/>
  <c r="P21" i="16"/>
  <c r="Q21" i="16" s="1"/>
  <c r="R21" i="16" s="1"/>
  <c r="T20" i="16"/>
  <c r="P20" i="16"/>
  <c r="Q20" i="16" s="1"/>
  <c r="R20" i="16" s="1"/>
  <c r="S20" i="16" s="1"/>
  <c r="Q19" i="16"/>
  <c r="R19" i="16" s="1"/>
  <c r="S19" i="16" s="1"/>
  <c r="T19" i="16" s="1"/>
  <c r="P19" i="16"/>
  <c r="S18" i="16"/>
  <c r="T18" i="16" s="1"/>
  <c r="P18" i="16"/>
  <c r="Q18" i="16" s="1"/>
  <c r="R18" i="16" s="1"/>
  <c r="S17" i="16"/>
  <c r="T17" i="16" s="1"/>
  <c r="P17" i="16"/>
  <c r="Q17" i="16" s="1"/>
  <c r="R17" i="16" s="1"/>
  <c r="T16" i="16"/>
  <c r="P16" i="16"/>
  <c r="Q16" i="16" s="1"/>
  <c r="R16" i="16" s="1"/>
  <c r="S16" i="16" s="1"/>
  <c r="Q15" i="16"/>
  <c r="R15" i="16" s="1"/>
  <c r="S15" i="16" s="1"/>
  <c r="T15" i="16" s="1"/>
  <c r="P15" i="16"/>
  <c r="S14" i="16"/>
  <c r="T14" i="16" s="1"/>
  <c r="P14" i="16"/>
  <c r="Q14" i="16" s="1"/>
  <c r="R14" i="16" s="1"/>
  <c r="S13" i="16"/>
  <c r="T13" i="16" s="1"/>
  <c r="P13" i="16"/>
  <c r="Q13" i="16" s="1"/>
  <c r="R13" i="16" s="1"/>
  <c r="T12" i="16"/>
  <c r="P12" i="16"/>
  <c r="Q12" i="16" s="1"/>
  <c r="R12" i="16" s="1"/>
  <c r="S12" i="16" s="1"/>
  <c r="Q11" i="16"/>
  <c r="R11" i="16" s="1"/>
  <c r="S11" i="16" s="1"/>
  <c r="T11" i="16" s="1"/>
  <c r="P11" i="16"/>
  <c r="S10" i="16"/>
  <c r="T10" i="16" s="1"/>
  <c r="P10" i="16"/>
  <c r="Q10" i="16" s="1"/>
  <c r="R10" i="16" s="1"/>
  <c r="S9" i="16"/>
  <c r="T9" i="16" s="1"/>
  <c r="P9" i="16"/>
  <c r="Q9" i="16" s="1"/>
  <c r="R9" i="16" s="1"/>
  <c r="T8" i="16"/>
  <c r="P8" i="16"/>
  <c r="Q8" i="16" s="1"/>
  <c r="R8" i="16" s="1"/>
  <c r="S8" i="16" s="1"/>
  <c r="Q7" i="16"/>
  <c r="R7" i="16" s="1"/>
  <c r="S7" i="16" s="1"/>
  <c r="T7" i="16" s="1"/>
  <c r="P7" i="16"/>
  <c r="P6" i="16"/>
  <c r="Q6" i="16" s="1"/>
  <c r="R6" i="16" s="1"/>
  <c r="S6" i="16" s="1"/>
  <c r="T6" i="16" s="1"/>
  <c r="P5" i="16"/>
  <c r="Q5" i="16" s="1"/>
  <c r="R5" i="16" s="1"/>
  <c r="S5" i="16" s="1"/>
  <c r="T5" i="16" s="1"/>
  <c r="P4" i="16"/>
  <c r="Q4" i="16" s="1"/>
  <c r="R4" i="16" s="1"/>
  <c r="S4" i="16" s="1"/>
  <c r="T4" i="16" s="1"/>
  <c r="Q3" i="16"/>
  <c r="R3" i="16" s="1"/>
  <c r="S3" i="16" s="1"/>
  <c r="T3" i="16" s="1"/>
  <c r="P3" i="16"/>
  <c r="P2" i="16"/>
  <c r="Q2" i="16" s="1"/>
  <c r="R2" i="16" s="1"/>
  <c r="S2" i="16" s="1"/>
  <c r="T2" i="16" s="1"/>
  <c r="P1001" i="15"/>
  <c r="Q1001" i="15" s="1"/>
  <c r="R1001" i="15" s="1"/>
  <c r="S1001" i="15" s="1"/>
  <c r="T1001" i="15" s="1"/>
  <c r="P1000" i="15"/>
  <c r="Q1000" i="15" s="1"/>
  <c r="R1000" i="15" s="1"/>
  <c r="S1000" i="15" s="1"/>
  <c r="T1000" i="15" s="1"/>
  <c r="Q999" i="15"/>
  <c r="R999" i="15" s="1"/>
  <c r="S999" i="15" s="1"/>
  <c r="T999" i="15" s="1"/>
  <c r="P999" i="15"/>
  <c r="P998" i="15"/>
  <c r="Q998" i="15" s="1"/>
  <c r="R998" i="15" s="1"/>
  <c r="S998" i="15" s="1"/>
  <c r="T998" i="15" s="1"/>
  <c r="P997" i="15"/>
  <c r="Q997" i="15" s="1"/>
  <c r="R997" i="15" s="1"/>
  <c r="S997" i="15" s="1"/>
  <c r="T997" i="15" s="1"/>
  <c r="P996" i="15"/>
  <c r="Q996" i="15" s="1"/>
  <c r="R996" i="15" s="1"/>
  <c r="S996" i="15" s="1"/>
  <c r="T996" i="15" s="1"/>
  <c r="Q995" i="15"/>
  <c r="R995" i="15" s="1"/>
  <c r="S995" i="15" s="1"/>
  <c r="T995" i="15" s="1"/>
  <c r="P995" i="15"/>
  <c r="P994" i="15"/>
  <c r="Q994" i="15" s="1"/>
  <c r="R994" i="15" s="1"/>
  <c r="S994" i="15" s="1"/>
  <c r="T994" i="15" s="1"/>
  <c r="P993" i="15"/>
  <c r="Q993" i="15" s="1"/>
  <c r="R993" i="15" s="1"/>
  <c r="S993" i="15" s="1"/>
  <c r="T993" i="15" s="1"/>
  <c r="P992" i="15"/>
  <c r="Q992" i="15" s="1"/>
  <c r="R992" i="15" s="1"/>
  <c r="S992" i="15" s="1"/>
  <c r="T992" i="15" s="1"/>
  <c r="Q991" i="15"/>
  <c r="R991" i="15" s="1"/>
  <c r="S991" i="15" s="1"/>
  <c r="T991" i="15" s="1"/>
  <c r="P991" i="15"/>
  <c r="P990" i="15"/>
  <c r="Q990" i="15" s="1"/>
  <c r="R990" i="15" s="1"/>
  <c r="S990" i="15" s="1"/>
  <c r="T990" i="15" s="1"/>
  <c r="P989" i="15"/>
  <c r="Q989" i="15" s="1"/>
  <c r="R989" i="15" s="1"/>
  <c r="S989" i="15" s="1"/>
  <c r="T989" i="15" s="1"/>
  <c r="P988" i="15"/>
  <c r="Q988" i="15" s="1"/>
  <c r="R988" i="15" s="1"/>
  <c r="S988" i="15" s="1"/>
  <c r="T988" i="15" s="1"/>
  <c r="Q987" i="15"/>
  <c r="R987" i="15" s="1"/>
  <c r="S987" i="15" s="1"/>
  <c r="T987" i="15" s="1"/>
  <c r="P987" i="15"/>
  <c r="P986" i="15"/>
  <c r="Q986" i="15" s="1"/>
  <c r="R986" i="15" s="1"/>
  <c r="S986" i="15" s="1"/>
  <c r="T986" i="15" s="1"/>
  <c r="P985" i="15"/>
  <c r="Q985" i="15" s="1"/>
  <c r="R985" i="15" s="1"/>
  <c r="S985" i="15" s="1"/>
  <c r="T985" i="15" s="1"/>
  <c r="P984" i="15"/>
  <c r="Q984" i="15" s="1"/>
  <c r="R984" i="15" s="1"/>
  <c r="S984" i="15" s="1"/>
  <c r="T984" i="15" s="1"/>
  <c r="Q983" i="15"/>
  <c r="R983" i="15" s="1"/>
  <c r="S983" i="15" s="1"/>
  <c r="T983" i="15" s="1"/>
  <c r="P983" i="15"/>
  <c r="P982" i="15"/>
  <c r="Q982" i="15" s="1"/>
  <c r="R982" i="15" s="1"/>
  <c r="S982" i="15" s="1"/>
  <c r="T982" i="15" s="1"/>
  <c r="P981" i="15"/>
  <c r="Q981" i="15" s="1"/>
  <c r="R981" i="15" s="1"/>
  <c r="S981" i="15" s="1"/>
  <c r="T981" i="15" s="1"/>
  <c r="P980" i="15"/>
  <c r="Q980" i="15" s="1"/>
  <c r="R980" i="15" s="1"/>
  <c r="S980" i="15" s="1"/>
  <c r="T980" i="15" s="1"/>
  <c r="Q979" i="15"/>
  <c r="R979" i="15" s="1"/>
  <c r="S979" i="15" s="1"/>
  <c r="T979" i="15" s="1"/>
  <c r="P979" i="15"/>
  <c r="P978" i="15"/>
  <c r="Q978" i="15" s="1"/>
  <c r="R978" i="15" s="1"/>
  <c r="S978" i="15" s="1"/>
  <c r="T978" i="15" s="1"/>
  <c r="P977" i="15"/>
  <c r="Q977" i="15" s="1"/>
  <c r="R977" i="15" s="1"/>
  <c r="S977" i="15" s="1"/>
  <c r="T977" i="15" s="1"/>
  <c r="P976" i="15"/>
  <c r="Q976" i="15" s="1"/>
  <c r="R976" i="15" s="1"/>
  <c r="S976" i="15" s="1"/>
  <c r="T976" i="15" s="1"/>
  <c r="Q975" i="15"/>
  <c r="R975" i="15" s="1"/>
  <c r="S975" i="15" s="1"/>
  <c r="T975" i="15" s="1"/>
  <c r="P975" i="15"/>
  <c r="P974" i="15"/>
  <c r="Q974" i="15" s="1"/>
  <c r="R974" i="15" s="1"/>
  <c r="S974" i="15" s="1"/>
  <c r="T974" i="15" s="1"/>
  <c r="P973" i="15"/>
  <c r="Q973" i="15" s="1"/>
  <c r="R973" i="15" s="1"/>
  <c r="S973" i="15" s="1"/>
  <c r="T973" i="15" s="1"/>
  <c r="P972" i="15"/>
  <c r="Q972" i="15" s="1"/>
  <c r="R972" i="15" s="1"/>
  <c r="S972" i="15" s="1"/>
  <c r="T972" i="15" s="1"/>
  <c r="Q971" i="15"/>
  <c r="R971" i="15" s="1"/>
  <c r="S971" i="15" s="1"/>
  <c r="T971" i="15" s="1"/>
  <c r="P971" i="15"/>
  <c r="P970" i="15"/>
  <c r="Q970" i="15" s="1"/>
  <c r="R970" i="15" s="1"/>
  <c r="S970" i="15" s="1"/>
  <c r="T970" i="15" s="1"/>
  <c r="P969" i="15"/>
  <c r="Q969" i="15" s="1"/>
  <c r="R969" i="15" s="1"/>
  <c r="S969" i="15" s="1"/>
  <c r="T969" i="15" s="1"/>
  <c r="P968" i="15"/>
  <c r="Q968" i="15" s="1"/>
  <c r="R968" i="15" s="1"/>
  <c r="S968" i="15" s="1"/>
  <c r="T968" i="15" s="1"/>
  <c r="Q967" i="15"/>
  <c r="R967" i="15" s="1"/>
  <c r="S967" i="15" s="1"/>
  <c r="T967" i="15" s="1"/>
  <c r="P967" i="15"/>
  <c r="P966" i="15"/>
  <c r="Q966" i="15" s="1"/>
  <c r="R966" i="15" s="1"/>
  <c r="S966" i="15" s="1"/>
  <c r="T966" i="15" s="1"/>
  <c r="P965" i="15"/>
  <c r="Q965" i="15" s="1"/>
  <c r="R965" i="15" s="1"/>
  <c r="S965" i="15" s="1"/>
  <c r="T965" i="15" s="1"/>
  <c r="P964" i="15"/>
  <c r="Q964" i="15" s="1"/>
  <c r="R964" i="15" s="1"/>
  <c r="S964" i="15" s="1"/>
  <c r="T964" i="15" s="1"/>
  <c r="Q963" i="15"/>
  <c r="R963" i="15" s="1"/>
  <c r="S963" i="15" s="1"/>
  <c r="T963" i="15" s="1"/>
  <c r="P963" i="15"/>
  <c r="P962" i="15"/>
  <c r="Q962" i="15" s="1"/>
  <c r="R962" i="15" s="1"/>
  <c r="S962" i="15" s="1"/>
  <c r="T962" i="15" s="1"/>
  <c r="P961" i="15"/>
  <c r="Q961" i="15" s="1"/>
  <c r="R961" i="15" s="1"/>
  <c r="S961" i="15" s="1"/>
  <c r="T961" i="15" s="1"/>
  <c r="P960" i="15"/>
  <c r="Q960" i="15" s="1"/>
  <c r="R960" i="15" s="1"/>
  <c r="S960" i="15" s="1"/>
  <c r="T960" i="15" s="1"/>
  <c r="Q959" i="15"/>
  <c r="R959" i="15" s="1"/>
  <c r="S959" i="15" s="1"/>
  <c r="T959" i="15" s="1"/>
  <c r="P959" i="15"/>
  <c r="P958" i="15"/>
  <c r="Q958" i="15" s="1"/>
  <c r="R958" i="15" s="1"/>
  <c r="S958" i="15" s="1"/>
  <c r="T958" i="15" s="1"/>
  <c r="P957" i="15"/>
  <c r="Q957" i="15" s="1"/>
  <c r="R957" i="15" s="1"/>
  <c r="S957" i="15" s="1"/>
  <c r="T957" i="15" s="1"/>
  <c r="P956" i="15"/>
  <c r="Q956" i="15" s="1"/>
  <c r="R956" i="15" s="1"/>
  <c r="S956" i="15" s="1"/>
  <c r="T956" i="15" s="1"/>
  <c r="Q955" i="15"/>
  <c r="R955" i="15" s="1"/>
  <c r="S955" i="15" s="1"/>
  <c r="T955" i="15" s="1"/>
  <c r="P955" i="15"/>
  <c r="P954" i="15"/>
  <c r="Q954" i="15" s="1"/>
  <c r="R954" i="15" s="1"/>
  <c r="S954" i="15" s="1"/>
  <c r="T954" i="15" s="1"/>
  <c r="P953" i="15"/>
  <c r="Q953" i="15" s="1"/>
  <c r="R953" i="15" s="1"/>
  <c r="S953" i="15" s="1"/>
  <c r="T953" i="15" s="1"/>
  <c r="P952" i="15"/>
  <c r="Q952" i="15" s="1"/>
  <c r="R952" i="15" s="1"/>
  <c r="S952" i="15" s="1"/>
  <c r="T952" i="15" s="1"/>
  <c r="Q951" i="15"/>
  <c r="R951" i="15" s="1"/>
  <c r="S951" i="15" s="1"/>
  <c r="T951" i="15" s="1"/>
  <c r="P951" i="15"/>
  <c r="P950" i="15"/>
  <c r="Q950" i="15" s="1"/>
  <c r="R950" i="15" s="1"/>
  <c r="S950" i="15" s="1"/>
  <c r="T950" i="15" s="1"/>
  <c r="P949" i="15"/>
  <c r="Q949" i="15" s="1"/>
  <c r="R949" i="15" s="1"/>
  <c r="S949" i="15" s="1"/>
  <c r="T949" i="15" s="1"/>
  <c r="P948" i="15"/>
  <c r="Q948" i="15" s="1"/>
  <c r="R948" i="15" s="1"/>
  <c r="S948" i="15" s="1"/>
  <c r="T948" i="15" s="1"/>
  <c r="Q947" i="15"/>
  <c r="R947" i="15" s="1"/>
  <c r="S947" i="15" s="1"/>
  <c r="T947" i="15" s="1"/>
  <c r="P947" i="15"/>
  <c r="P946" i="15"/>
  <c r="Q946" i="15" s="1"/>
  <c r="R946" i="15" s="1"/>
  <c r="S946" i="15" s="1"/>
  <c r="T946" i="15" s="1"/>
  <c r="P945" i="15"/>
  <c r="Q945" i="15" s="1"/>
  <c r="R945" i="15" s="1"/>
  <c r="S945" i="15" s="1"/>
  <c r="T945" i="15" s="1"/>
  <c r="P944" i="15"/>
  <c r="Q944" i="15" s="1"/>
  <c r="R944" i="15" s="1"/>
  <c r="S944" i="15" s="1"/>
  <c r="T944" i="15" s="1"/>
  <c r="Q943" i="15"/>
  <c r="R943" i="15" s="1"/>
  <c r="S943" i="15" s="1"/>
  <c r="T943" i="15" s="1"/>
  <c r="P943" i="15"/>
  <c r="P942" i="15"/>
  <c r="Q942" i="15" s="1"/>
  <c r="R942" i="15" s="1"/>
  <c r="S942" i="15" s="1"/>
  <c r="T942" i="15" s="1"/>
  <c r="P941" i="15"/>
  <c r="Q941" i="15" s="1"/>
  <c r="R941" i="15" s="1"/>
  <c r="S941" i="15" s="1"/>
  <c r="T941" i="15" s="1"/>
  <c r="P940" i="15"/>
  <c r="Q940" i="15" s="1"/>
  <c r="R940" i="15" s="1"/>
  <c r="S940" i="15" s="1"/>
  <c r="T940" i="15" s="1"/>
  <c r="Q939" i="15"/>
  <c r="R939" i="15" s="1"/>
  <c r="S939" i="15" s="1"/>
  <c r="T939" i="15" s="1"/>
  <c r="P939" i="15"/>
  <c r="P938" i="15"/>
  <c r="Q938" i="15" s="1"/>
  <c r="R938" i="15" s="1"/>
  <c r="S938" i="15" s="1"/>
  <c r="T938" i="15" s="1"/>
  <c r="P937" i="15"/>
  <c r="Q937" i="15" s="1"/>
  <c r="R937" i="15" s="1"/>
  <c r="S937" i="15" s="1"/>
  <c r="T937" i="15" s="1"/>
  <c r="P936" i="15"/>
  <c r="Q936" i="15" s="1"/>
  <c r="R936" i="15" s="1"/>
  <c r="S936" i="15" s="1"/>
  <c r="T936" i="15" s="1"/>
  <c r="Q935" i="15"/>
  <c r="R935" i="15" s="1"/>
  <c r="S935" i="15" s="1"/>
  <c r="T935" i="15" s="1"/>
  <c r="P935" i="15"/>
  <c r="P934" i="15"/>
  <c r="Q934" i="15" s="1"/>
  <c r="R934" i="15" s="1"/>
  <c r="S934" i="15" s="1"/>
  <c r="T934" i="15" s="1"/>
  <c r="P933" i="15"/>
  <c r="Q933" i="15" s="1"/>
  <c r="R933" i="15" s="1"/>
  <c r="S933" i="15" s="1"/>
  <c r="T933" i="15" s="1"/>
  <c r="P932" i="15"/>
  <c r="Q932" i="15" s="1"/>
  <c r="R932" i="15" s="1"/>
  <c r="S932" i="15" s="1"/>
  <c r="T932" i="15" s="1"/>
  <c r="Q931" i="15"/>
  <c r="R931" i="15" s="1"/>
  <c r="S931" i="15" s="1"/>
  <c r="T931" i="15" s="1"/>
  <c r="P931" i="15"/>
  <c r="P930" i="15"/>
  <c r="Q930" i="15" s="1"/>
  <c r="R930" i="15" s="1"/>
  <c r="S930" i="15" s="1"/>
  <c r="T930" i="15" s="1"/>
  <c r="P929" i="15"/>
  <c r="Q929" i="15" s="1"/>
  <c r="R929" i="15" s="1"/>
  <c r="S929" i="15" s="1"/>
  <c r="T929" i="15" s="1"/>
  <c r="P928" i="15"/>
  <c r="Q928" i="15" s="1"/>
  <c r="R928" i="15" s="1"/>
  <c r="S928" i="15" s="1"/>
  <c r="T928" i="15" s="1"/>
  <c r="Q927" i="15"/>
  <c r="R927" i="15" s="1"/>
  <c r="S927" i="15" s="1"/>
  <c r="T927" i="15" s="1"/>
  <c r="P927" i="15"/>
  <c r="P926" i="15"/>
  <c r="Q926" i="15" s="1"/>
  <c r="R926" i="15" s="1"/>
  <c r="S926" i="15" s="1"/>
  <c r="T926" i="15" s="1"/>
  <c r="P925" i="15"/>
  <c r="Q925" i="15" s="1"/>
  <c r="R925" i="15" s="1"/>
  <c r="S925" i="15" s="1"/>
  <c r="T925" i="15" s="1"/>
  <c r="P924" i="15"/>
  <c r="Q924" i="15" s="1"/>
  <c r="R924" i="15" s="1"/>
  <c r="S924" i="15" s="1"/>
  <c r="T924" i="15" s="1"/>
  <c r="Q923" i="15"/>
  <c r="R923" i="15" s="1"/>
  <c r="S923" i="15" s="1"/>
  <c r="T923" i="15" s="1"/>
  <c r="P923" i="15"/>
  <c r="P922" i="15"/>
  <c r="Q922" i="15" s="1"/>
  <c r="R922" i="15" s="1"/>
  <c r="S922" i="15" s="1"/>
  <c r="T922" i="15" s="1"/>
  <c r="P921" i="15"/>
  <c r="Q921" i="15" s="1"/>
  <c r="R921" i="15" s="1"/>
  <c r="S921" i="15" s="1"/>
  <c r="T921" i="15" s="1"/>
  <c r="P920" i="15"/>
  <c r="Q920" i="15" s="1"/>
  <c r="R920" i="15" s="1"/>
  <c r="S920" i="15" s="1"/>
  <c r="T920" i="15" s="1"/>
  <c r="Q919" i="15"/>
  <c r="R919" i="15" s="1"/>
  <c r="S919" i="15" s="1"/>
  <c r="T919" i="15" s="1"/>
  <c r="P919" i="15"/>
  <c r="P918" i="15"/>
  <c r="Q918" i="15" s="1"/>
  <c r="R918" i="15" s="1"/>
  <c r="S918" i="15" s="1"/>
  <c r="T918" i="15" s="1"/>
  <c r="P917" i="15"/>
  <c r="Q917" i="15" s="1"/>
  <c r="R917" i="15" s="1"/>
  <c r="S917" i="15" s="1"/>
  <c r="T917" i="15" s="1"/>
  <c r="P916" i="15"/>
  <c r="Q916" i="15" s="1"/>
  <c r="R916" i="15" s="1"/>
  <c r="S916" i="15" s="1"/>
  <c r="T916" i="15" s="1"/>
  <c r="Q915" i="15"/>
  <c r="R915" i="15" s="1"/>
  <c r="S915" i="15" s="1"/>
  <c r="T915" i="15" s="1"/>
  <c r="P915" i="15"/>
  <c r="P914" i="15"/>
  <c r="Q914" i="15" s="1"/>
  <c r="R914" i="15" s="1"/>
  <c r="S914" i="15" s="1"/>
  <c r="T914" i="15" s="1"/>
  <c r="P913" i="15"/>
  <c r="Q913" i="15" s="1"/>
  <c r="R913" i="15" s="1"/>
  <c r="S913" i="15" s="1"/>
  <c r="T913" i="15" s="1"/>
  <c r="P912" i="15"/>
  <c r="Q912" i="15" s="1"/>
  <c r="R912" i="15" s="1"/>
  <c r="S912" i="15" s="1"/>
  <c r="T912" i="15" s="1"/>
  <c r="Q911" i="15"/>
  <c r="R911" i="15" s="1"/>
  <c r="S911" i="15" s="1"/>
  <c r="T911" i="15" s="1"/>
  <c r="P911" i="15"/>
  <c r="P910" i="15"/>
  <c r="Q910" i="15" s="1"/>
  <c r="R910" i="15" s="1"/>
  <c r="S910" i="15" s="1"/>
  <c r="T910" i="15" s="1"/>
  <c r="P909" i="15"/>
  <c r="Q909" i="15" s="1"/>
  <c r="R909" i="15" s="1"/>
  <c r="S909" i="15" s="1"/>
  <c r="T909" i="15" s="1"/>
  <c r="P908" i="15"/>
  <c r="Q908" i="15" s="1"/>
  <c r="R908" i="15" s="1"/>
  <c r="S908" i="15" s="1"/>
  <c r="T908" i="15" s="1"/>
  <c r="Q907" i="15"/>
  <c r="R907" i="15" s="1"/>
  <c r="S907" i="15" s="1"/>
  <c r="T907" i="15" s="1"/>
  <c r="P907" i="15"/>
  <c r="P906" i="15"/>
  <c r="Q906" i="15" s="1"/>
  <c r="R906" i="15" s="1"/>
  <c r="S906" i="15" s="1"/>
  <c r="T906" i="15" s="1"/>
  <c r="P905" i="15"/>
  <c r="Q905" i="15" s="1"/>
  <c r="R905" i="15" s="1"/>
  <c r="S905" i="15" s="1"/>
  <c r="T905" i="15" s="1"/>
  <c r="P904" i="15"/>
  <c r="Q904" i="15" s="1"/>
  <c r="R904" i="15" s="1"/>
  <c r="S904" i="15" s="1"/>
  <c r="T904" i="15" s="1"/>
  <c r="Q903" i="15"/>
  <c r="R903" i="15" s="1"/>
  <c r="S903" i="15" s="1"/>
  <c r="T903" i="15" s="1"/>
  <c r="P903" i="15"/>
  <c r="P902" i="15"/>
  <c r="Q902" i="15" s="1"/>
  <c r="R902" i="15" s="1"/>
  <c r="S902" i="15" s="1"/>
  <c r="T902" i="15" s="1"/>
  <c r="P901" i="15"/>
  <c r="Q901" i="15" s="1"/>
  <c r="R901" i="15" s="1"/>
  <c r="S901" i="15" s="1"/>
  <c r="T901" i="15" s="1"/>
  <c r="P900" i="15"/>
  <c r="Q900" i="15" s="1"/>
  <c r="R900" i="15" s="1"/>
  <c r="S900" i="15" s="1"/>
  <c r="T900" i="15" s="1"/>
  <c r="Q899" i="15"/>
  <c r="R899" i="15" s="1"/>
  <c r="S899" i="15" s="1"/>
  <c r="T899" i="15" s="1"/>
  <c r="P899" i="15"/>
  <c r="P898" i="15"/>
  <c r="Q898" i="15" s="1"/>
  <c r="R898" i="15" s="1"/>
  <c r="S898" i="15" s="1"/>
  <c r="T898" i="15" s="1"/>
  <c r="P897" i="15"/>
  <c r="Q897" i="15" s="1"/>
  <c r="R897" i="15" s="1"/>
  <c r="S897" i="15" s="1"/>
  <c r="T897" i="15" s="1"/>
  <c r="P896" i="15"/>
  <c r="Q896" i="15" s="1"/>
  <c r="R896" i="15" s="1"/>
  <c r="S896" i="15" s="1"/>
  <c r="T896" i="15" s="1"/>
  <c r="Q895" i="15"/>
  <c r="R895" i="15" s="1"/>
  <c r="S895" i="15" s="1"/>
  <c r="T895" i="15" s="1"/>
  <c r="P895" i="15"/>
  <c r="P894" i="15"/>
  <c r="Q894" i="15" s="1"/>
  <c r="R894" i="15" s="1"/>
  <c r="S894" i="15" s="1"/>
  <c r="T894" i="15" s="1"/>
  <c r="P893" i="15"/>
  <c r="Q893" i="15" s="1"/>
  <c r="R893" i="15" s="1"/>
  <c r="S893" i="15" s="1"/>
  <c r="T893" i="15" s="1"/>
  <c r="P892" i="15"/>
  <c r="Q892" i="15" s="1"/>
  <c r="R892" i="15" s="1"/>
  <c r="S892" i="15" s="1"/>
  <c r="T892" i="15" s="1"/>
  <c r="Q891" i="15"/>
  <c r="R891" i="15" s="1"/>
  <c r="S891" i="15" s="1"/>
  <c r="T891" i="15" s="1"/>
  <c r="P891" i="15"/>
  <c r="P890" i="15"/>
  <c r="Q890" i="15" s="1"/>
  <c r="R890" i="15" s="1"/>
  <c r="S890" i="15" s="1"/>
  <c r="T890" i="15" s="1"/>
  <c r="P889" i="15"/>
  <c r="Q889" i="15" s="1"/>
  <c r="R889" i="15" s="1"/>
  <c r="S889" i="15" s="1"/>
  <c r="T889" i="15" s="1"/>
  <c r="P888" i="15"/>
  <c r="Q888" i="15" s="1"/>
  <c r="R888" i="15" s="1"/>
  <c r="S888" i="15" s="1"/>
  <c r="T888" i="15" s="1"/>
  <c r="Q887" i="15"/>
  <c r="R887" i="15" s="1"/>
  <c r="S887" i="15" s="1"/>
  <c r="T887" i="15" s="1"/>
  <c r="P887" i="15"/>
  <c r="P886" i="15"/>
  <c r="Q886" i="15" s="1"/>
  <c r="R886" i="15" s="1"/>
  <c r="S886" i="15" s="1"/>
  <c r="T886" i="15" s="1"/>
  <c r="P885" i="15"/>
  <c r="Q885" i="15" s="1"/>
  <c r="R885" i="15" s="1"/>
  <c r="S885" i="15" s="1"/>
  <c r="T885" i="15" s="1"/>
  <c r="P884" i="15"/>
  <c r="Q884" i="15" s="1"/>
  <c r="R884" i="15" s="1"/>
  <c r="S884" i="15" s="1"/>
  <c r="T884" i="15" s="1"/>
  <c r="Q883" i="15"/>
  <c r="R883" i="15" s="1"/>
  <c r="S883" i="15" s="1"/>
  <c r="T883" i="15" s="1"/>
  <c r="P883" i="15"/>
  <c r="P882" i="15"/>
  <c r="Q882" i="15" s="1"/>
  <c r="R882" i="15" s="1"/>
  <c r="S882" i="15" s="1"/>
  <c r="T882" i="15" s="1"/>
  <c r="P881" i="15"/>
  <c r="Q881" i="15" s="1"/>
  <c r="R881" i="15" s="1"/>
  <c r="S881" i="15" s="1"/>
  <c r="T881" i="15" s="1"/>
  <c r="P880" i="15"/>
  <c r="Q880" i="15" s="1"/>
  <c r="R880" i="15" s="1"/>
  <c r="S880" i="15" s="1"/>
  <c r="T880" i="15" s="1"/>
  <c r="Q879" i="15"/>
  <c r="R879" i="15" s="1"/>
  <c r="S879" i="15" s="1"/>
  <c r="T879" i="15" s="1"/>
  <c r="P879" i="15"/>
  <c r="P878" i="15"/>
  <c r="Q878" i="15" s="1"/>
  <c r="R878" i="15" s="1"/>
  <c r="S878" i="15" s="1"/>
  <c r="T878" i="15" s="1"/>
  <c r="P877" i="15"/>
  <c r="Q877" i="15" s="1"/>
  <c r="R877" i="15" s="1"/>
  <c r="S877" i="15" s="1"/>
  <c r="T877" i="15" s="1"/>
  <c r="P876" i="15"/>
  <c r="Q876" i="15" s="1"/>
  <c r="R876" i="15" s="1"/>
  <c r="S876" i="15" s="1"/>
  <c r="T876" i="15" s="1"/>
  <c r="Q875" i="15"/>
  <c r="R875" i="15" s="1"/>
  <c r="S875" i="15" s="1"/>
  <c r="T875" i="15" s="1"/>
  <c r="P875" i="15"/>
  <c r="P874" i="15"/>
  <c r="Q874" i="15" s="1"/>
  <c r="R874" i="15" s="1"/>
  <c r="S874" i="15" s="1"/>
  <c r="T874" i="15" s="1"/>
  <c r="P873" i="15"/>
  <c r="Q873" i="15" s="1"/>
  <c r="R873" i="15" s="1"/>
  <c r="S873" i="15" s="1"/>
  <c r="T873" i="15" s="1"/>
  <c r="P872" i="15"/>
  <c r="Q872" i="15" s="1"/>
  <c r="R872" i="15" s="1"/>
  <c r="S872" i="15" s="1"/>
  <c r="T872" i="15" s="1"/>
  <c r="Q871" i="15"/>
  <c r="R871" i="15" s="1"/>
  <c r="S871" i="15" s="1"/>
  <c r="T871" i="15" s="1"/>
  <c r="P871" i="15"/>
  <c r="P870" i="15"/>
  <c r="Q870" i="15" s="1"/>
  <c r="R870" i="15" s="1"/>
  <c r="S870" i="15" s="1"/>
  <c r="T870" i="15" s="1"/>
  <c r="P869" i="15"/>
  <c r="Q869" i="15" s="1"/>
  <c r="R869" i="15" s="1"/>
  <c r="S869" i="15" s="1"/>
  <c r="T869" i="15" s="1"/>
  <c r="P868" i="15"/>
  <c r="Q868" i="15" s="1"/>
  <c r="R868" i="15" s="1"/>
  <c r="S868" i="15" s="1"/>
  <c r="T868" i="15" s="1"/>
  <c r="Q867" i="15"/>
  <c r="R867" i="15" s="1"/>
  <c r="S867" i="15" s="1"/>
  <c r="T867" i="15" s="1"/>
  <c r="P867" i="15"/>
  <c r="P866" i="15"/>
  <c r="Q866" i="15" s="1"/>
  <c r="R866" i="15" s="1"/>
  <c r="S866" i="15" s="1"/>
  <c r="T866" i="15" s="1"/>
  <c r="P865" i="15"/>
  <c r="Q865" i="15" s="1"/>
  <c r="R865" i="15" s="1"/>
  <c r="S865" i="15" s="1"/>
  <c r="T865" i="15" s="1"/>
  <c r="P864" i="15"/>
  <c r="Q864" i="15" s="1"/>
  <c r="R864" i="15" s="1"/>
  <c r="S864" i="15" s="1"/>
  <c r="T864" i="15" s="1"/>
  <c r="Q863" i="15"/>
  <c r="R863" i="15" s="1"/>
  <c r="S863" i="15" s="1"/>
  <c r="T863" i="15" s="1"/>
  <c r="P863" i="15"/>
  <c r="P862" i="15"/>
  <c r="Q862" i="15" s="1"/>
  <c r="R862" i="15" s="1"/>
  <c r="S862" i="15" s="1"/>
  <c r="T862" i="15" s="1"/>
  <c r="P861" i="15"/>
  <c r="Q861" i="15" s="1"/>
  <c r="R861" i="15" s="1"/>
  <c r="S861" i="15" s="1"/>
  <c r="T861" i="15" s="1"/>
  <c r="P860" i="15"/>
  <c r="Q860" i="15" s="1"/>
  <c r="R860" i="15" s="1"/>
  <c r="S860" i="15" s="1"/>
  <c r="T860" i="15" s="1"/>
  <c r="Q859" i="15"/>
  <c r="R859" i="15" s="1"/>
  <c r="S859" i="15" s="1"/>
  <c r="T859" i="15" s="1"/>
  <c r="P859" i="15"/>
  <c r="P858" i="15"/>
  <c r="Q858" i="15" s="1"/>
  <c r="R858" i="15" s="1"/>
  <c r="S858" i="15" s="1"/>
  <c r="T858" i="15" s="1"/>
  <c r="P857" i="15"/>
  <c r="Q857" i="15" s="1"/>
  <c r="R857" i="15" s="1"/>
  <c r="S857" i="15" s="1"/>
  <c r="T857" i="15" s="1"/>
  <c r="P856" i="15"/>
  <c r="Q856" i="15" s="1"/>
  <c r="R856" i="15" s="1"/>
  <c r="S856" i="15" s="1"/>
  <c r="T856" i="15" s="1"/>
  <c r="Q855" i="15"/>
  <c r="R855" i="15" s="1"/>
  <c r="S855" i="15" s="1"/>
  <c r="T855" i="15" s="1"/>
  <c r="P855" i="15"/>
  <c r="P854" i="15"/>
  <c r="Q854" i="15" s="1"/>
  <c r="R854" i="15" s="1"/>
  <c r="S854" i="15" s="1"/>
  <c r="T854" i="15" s="1"/>
  <c r="P853" i="15"/>
  <c r="Q853" i="15" s="1"/>
  <c r="R853" i="15" s="1"/>
  <c r="S853" i="15" s="1"/>
  <c r="T853" i="15" s="1"/>
  <c r="P852" i="15"/>
  <c r="Q852" i="15" s="1"/>
  <c r="R852" i="15" s="1"/>
  <c r="S852" i="15" s="1"/>
  <c r="T852" i="15" s="1"/>
  <c r="Q851" i="15"/>
  <c r="R851" i="15" s="1"/>
  <c r="S851" i="15" s="1"/>
  <c r="T851" i="15" s="1"/>
  <c r="P851" i="15"/>
  <c r="R850" i="15"/>
  <c r="S850" i="15" s="1"/>
  <c r="T850" i="15" s="1"/>
  <c r="P850" i="15"/>
  <c r="Q850" i="15" s="1"/>
  <c r="Q849" i="15"/>
  <c r="R849" i="15" s="1"/>
  <c r="S849" i="15" s="1"/>
  <c r="T849" i="15" s="1"/>
  <c r="P849" i="15"/>
  <c r="Q848" i="15"/>
  <c r="R848" i="15" s="1"/>
  <c r="S848" i="15" s="1"/>
  <c r="T848" i="15" s="1"/>
  <c r="P848" i="15"/>
  <c r="Q847" i="15"/>
  <c r="R847" i="15" s="1"/>
  <c r="S847" i="15" s="1"/>
  <c r="T847" i="15" s="1"/>
  <c r="P847" i="15"/>
  <c r="R846" i="15"/>
  <c r="S846" i="15" s="1"/>
  <c r="T846" i="15" s="1"/>
  <c r="P846" i="15"/>
  <c r="Q846" i="15" s="1"/>
  <c r="Q845" i="15"/>
  <c r="R845" i="15" s="1"/>
  <c r="S845" i="15" s="1"/>
  <c r="T845" i="15" s="1"/>
  <c r="P845" i="15"/>
  <c r="Q844" i="15"/>
  <c r="R844" i="15" s="1"/>
  <c r="S844" i="15" s="1"/>
  <c r="T844" i="15" s="1"/>
  <c r="P844" i="15"/>
  <c r="Q843" i="15"/>
  <c r="R843" i="15" s="1"/>
  <c r="S843" i="15" s="1"/>
  <c r="T843" i="15" s="1"/>
  <c r="P843" i="15"/>
  <c r="R842" i="15"/>
  <c r="S842" i="15" s="1"/>
  <c r="T842" i="15" s="1"/>
  <c r="P842" i="15"/>
  <c r="Q842" i="15" s="1"/>
  <c r="Q841" i="15"/>
  <c r="R841" i="15" s="1"/>
  <c r="S841" i="15" s="1"/>
  <c r="T841" i="15" s="1"/>
  <c r="P841" i="15"/>
  <c r="Q840" i="15"/>
  <c r="R840" i="15" s="1"/>
  <c r="S840" i="15" s="1"/>
  <c r="T840" i="15" s="1"/>
  <c r="P840" i="15"/>
  <c r="Q839" i="15"/>
  <c r="R839" i="15" s="1"/>
  <c r="S839" i="15" s="1"/>
  <c r="T839" i="15" s="1"/>
  <c r="P839" i="15"/>
  <c r="R838" i="15"/>
  <c r="S838" i="15" s="1"/>
  <c r="T838" i="15" s="1"/>
  <c r="P838" i="15"/>
  <c r="Q838" i="15" s="1"/>
  <c r="Q837" i="15"/>
  <c r="R837" i="15" s="1"/>
  <c r="S837" i="15" s="1"/>
  <c r="T837" i="15" s="1"/>
  <c r="P837" i="15"/>
  <c r="Q836" i="15"/>
  <c r="R836" i="15" s="1"/>
  <c r="S836" i="15" s="1"/>
  <c r="T836" i="15" s="1"/>
  <c r="P836" i="15"/>
  <c r="Q835" i="15"/>
  <c r="R835" i="15" s="1"/>
  <c r="S835" i="15" s="1"/>
  <c r="T835" i="15" s="1"/>
  <c r="P835" i="15"/>
  <c r="R834" i="15"/>
  <c r="S834" i="15" s="1"/>
  <c r="T834" i="15" s="1"/>
  <c r="P834" i="15"/>
  <c r="Q834" i="15" s="1"/>
  <c r="Q833" i="15"/>
  <c r="R833" i="15" s="1"/>
  <c r="S833" i="15" s="1"/>
  <c r="T833" i="15" s="1"/>
  <c r="P833" i="15"/>
  <c r="Q832" i="15"/>
  <c r="R832" i="15" s="1"/>
  <c r="S832" i="15" s="1"/>
  <c r="T832" i="15" s="1"/>
  <c r="P832" i="15"/>
  <c r="Q831" i="15"/>
  <c r="R831" i="15" s="1"/>
  <c r="S831" i="15" s="1"/>
  <c r="T831" i="15" s="1"/>
  <c r="P831" i="15"/>
  <c r="R830" i="15"/>
  <c r="S830" i="15" s="1"/>
  <c r="T830" i="15" s="1"/>
  <c r="P830" i="15"/>
  <c r="Q830" i="15" s="1"/>
  <c r="Q829" i="15"/>
  <c r="R829" i="15" s="1"/>
  <c r="S829" i="15" s="1"/>
  <c r="T829" i="15" s="1"/>
  <c r="P829" i="15"/>
  <c r="Q828" i="15"/>
  <c r="R828" i="15" s="1"/>
  <c r="S828" i="15" s="1"/>
  <c r="T828" i="15" s="1"/>
  <c r="P828" i="15"/>
  <c r="Q827" i="15"/>
  <c r="R827" i="15" s="1"/>
  <c r="S827" i="15" s="1"/>
  <c r="T827" i="15" s="1"/>
  <c r="P827" i="15"/>
  <c r="R826" i="15"/>
  <c r="S826" i="15" s="1"/>
  <c r="T826" i="15" s="1"/>
  <c r="P826" i="15"/>
  <c r="Q826" i="15" s="1"/>
  <c r="Q825" i="15"/>
  <c r="R825" i="15" s="1"/>
  <c r="S825" i="15" s="1"/>
  <c r="T825" i="15" s="1"/>
  <c r="P825" i="15"/>
  <c r="Q824" i="15"/>
  <c r="R824" i="15" s="1"/>
  <c r="S824" i="15" s="1"/>
  <c r="T824" i="15" s="1"/>
  <c r="P824" i="15"/>
  <c r="Q823" i="15"/>
  <c r="R823" i="15" s="1"/>
  <c r="S823" i="15" s="1"/>
  <c r="T823" i="15" s="1"/>
  <c r="P823" i="15"/>
  <c r="R822" i="15"/>
  <c r="S822" i="15" s="1"/>
  <c r="T822" i="15" s="1"/>
  <c r="P822" i="15"/>
  <c r="Q822" i="15" s="1"/>
  <c r="Q821" i="15"/>
  <c r="R821" i="15" s="1"/>
  <c r="S821" i="15" s="1"/>
  <c r="T821" i="15" s="1"/>
  <c r="P821" i="15"/>
  <c r="Q820" i="15"/>
  <c r="R820" i="15" s="1"/>
  <c r="S820" i="15" s="1"/>
  <c r="T820" i="15" s="1"/>
  <c r="P820" i="15"/>
  <c r="Q819" i="15"/>
  <c r="R819" i="15" s="1"/>
  <c r="S819" i="15" s="1"/>
  <c r="T819" i="15" s="1"/>
  <c r="P819" i="15"/>
  <c r="R818" i="15"/>
  <c r="S818" i="15" s="1"/>
  <c r="T818" i="15" s="1"/>
  <c r="P818" i="15"/>
  <c r="Q818" i="15" s="1"/>
  <c r="Q817" i="15"/>
  <c r="R817" i="15" s="1"/>
  <c r="S817" i="15" s="1"/>
  <c r="T817" i="15" s="1"/>
  <c r="P817" i="15"/>
  <c r="Q816" i="15"/>
  <c r="R816" i="15" s="1"/>
  <c r="S816" i="15" s="1"/>
  <c r="T816" i="15" s="1"/>
  <c r="P816" i="15"/>
  <c r="Q815" i="15"/>
  <c r="R815" i="15" s="1"/>
  <c r="S815" i="15" s="1"/>
  <c r="T815" i="15" s="1"/>
  <c r="P815" i="15"/>
  <c r="R814" i="15"/>
  <c r="S814" i="15" s="1"/>
  <c r="T814" i="15" s="1"/>
  <c r="P814" i="15"/>
  <c r="Q814" i="15" s="1"/>
  <c r="Q813" i="15"/>
  <c r="R813" i="15" s="1"/>
  <c r="S813" i="15" s="1"/>
  <c r="T813" i="15" s="1"/>
  <c r="P813" i="15"/>
  <c r="Q812" i="15"/>
  <c r="R812" i="15" s="1"/>
  <c r="S812" i="15" s="1"/>
  <c r="T812" i="15" s="1"/>
  <c r="P812" i="15"/>
  <c r="Q811" i="15"/>
  <c r="R811" i="15" s="1"/>
  <c r="S811" i="15" s="1"/>
  <c r="T811" i="15" s="1"/>
  <c r="P811" i="15"/>
  <c r="R810" i="15"/>
  <c r="S810" i="15" s="1"/>
  <c r="T810" i="15" s="1"/>
  <c r="P810" i="15"/>
  <c r="Q810" i="15" s="1"/>
  <c r="Q809" i="15"/>
  <c r="R809" i="15" s="1"/>
  <c r="S809" i="15" s="1"/>
  <c r="T809" i="15" s="1"/>
  <c r="P809" i="15"/>
  <c r="Q808" i="15"/>
  <c r="R808" i="15" s="1"/>
  <c r="S808" i="15" s="1"/>
  <c r="T808" i="15" s="1"/>
  <c r="P808" i="15"/>
  <c r="Q807" i="15"/>
  <c r="R807" i="15" s="1"/>
  <c r="S807" i="15" s="1"/>
  <c r="T807" i="15" s="1"/>
  <c r="P807" i="15"/>
  <c r="R806" i="15"/>
  <c r="S806" i="15" s="1"/>
  <c r="T806" i="15" s="1"/>
  <c r="P806" i="15"/>
  <c r="Q806" i="15" s="1"/>
  <c r="Q805" i="15"/>
  <c r="R805" i="15" s="1"/>
  <c r="S805" i="15" s="1"/>
  <c r="T805" i="15" s="1"/>
  <c r="P805" i="15"/>
  <c r="Q804" i="15"/>
  <c r="R804" i="15" s="1"/>
  <c r="S804" i="15" s="1"/>
  <c r="T804" i="15" s="1"/>
  <c r="P804" i="15"/>
  <c r="Q803" i="15"/>
  <c r="R803" i="15" s="1"/>
  <c r="S803" i="15" s="1"/>
  <c r="T803" i="15" s="1"/>
  <c r="P803" i="15"/>
  <c r="R802" i="15"/>
  <c r="S802" i="15" s="1"/>
  <c r="T802" i="15" s="1"/>
  <c r="P802" i="15"/>
  <c r="Q802" i="15" s="1"/>
  <c r="Q801" i="15"/>
  <c r="R801" i="15" s="1"/>
  <c r="S801" i="15" s="1"/>
  <c r="T801" i="15" s="1"/>
  <c r="P801" i="15"/>
  <c r="Q800" i="15"/>
  <c r="R800" i="15" s="1"/>
  <c r="S800" i="15" s="1"/>
  <c r="T800" i="15" s="1"/>
  <c r="P800" i="15"/>
  <c r="Q799" i="15"/>
  <c r="R799" i="15" s="1"/>
  <c r="S799" i="15" s="1"/>
  <c r="T799" i="15" s="1"/>
  <c r="P799" i="15"/>
  <c r="R798" i="15"/>
  <c r="S798" i="15" s="1"/>
  <c r="T798" i="15" s="1"/>
  <c r="P798" i="15"/>
  <c r="Q798" i="15" s="1"/>
  <c r="Q797" i="15"/>
  <c r="R797" i="15" s="1"/>
  <c r="S797" i="15" s="1"/>
  <c r="T797" i="15" s="1"/>
  <c r="P797" i="15"/>
  <c r="Q796" i="15"/>
  <c r="R796" i="15" s="1"/>
  <c r="S796" i="15" s="1"/>
  <c r="T796" i="15" s="1"/>
  <c r="P796" i="15"/>
  <c r="Q795" i="15"/>
  <c r="R795" i="15" s="1"/>
  <c r="S795" i="15" s="1"/>
  <c r="T795" i="15" s="1"/>
  <c r="P795" i="15"/>
  <c r="R794" i="15"/>
  <c r="S794" i="15" s="1"/>
  <c r="T794" i="15" s="1"/>
  <c r="P794" i="15"/>
  <c r="Q794" i="15" s="1"/>
  <c r="Q793" i="15"/>
  <c r="R793" i="15" s="1"/>
  <c r="S793" i="15" s="1"/>
  <c r="T793" i="15" s="1"/>
  <c r="P793" i="15"/>
  <c r="Q792" i="15"/>
  <c r="R792" i="15" s="1"/>
  <c r="S792" i="15" s="1"/>
  <c r="T792" i="15" s="1"/>
  <c r="P792" i="15"/>
  <c r="Q791" i="15"/>
  <c r="R791" i="15" s="1"/>
  <c r="S791" i="15" s="1"/>
  <c r="T791" i="15" s="1"/>
  <c r="P791" i="15"/>
  <c r="R790" i="15"/>
  <c r="S790" i="15" s="1"/>
  <c r="T790" i="15" s="1"/>
  <c r="P790" i="15"/>
  <c r="Q790" i="15" s="1"/>
  <c r="Q789" i="15"/>
  <c r="R789" i="15" s="1"/>
  <c r="S789" i="15" s="1"/>
  <c r="T789" i="15" s="1"/>
  <c r="P789" i="15"/>
  <c r="Q788" i="15"/>
  <c r="R788" i="15" s="1"/>
  <c r="S788" i="15" s="1"/>
  <c r="T788" i="15" s="1"/>
  <c r="P788" i="15"/>
  <c r="Q787" i="15"/>
  <c r="R787" i="15" s="1"/>
  <c r="S787" i="15" s="1"/>
  <c r="T787" i="15" s="1"/>
  <c r="P787" i="15"/>
  <c r="R786" i="15"/>
  <c r="S786" i="15" s="1"/>
  <c r="T786" i="15" s="1"/>
  <c r="P786" i="15"/>
  <c r="Q786" i="15" s="1"/>
  <c r="Q785" i="15"/>
  <c r="R785" i="15" s="1"/>
  <c r="S785" i="15" s="1"/>
  <c r="T785" i="15" s="1"/>
  <c r="P785" i="15"/>
  <c r="Q784" i="15"/>
  <c r="R784" i="15" s="1"/>
  <c r="S784" i="15" s="1"/>
  <c r="T784" i="15" s="1"/>
  <c r="P784" i="15"/>
  <c r="Q783" i="15"/>
  <c r="R783" i="15" s="1"/>
  <c r="S783" i="15" s="1"/>
  <c r="T783" i="15" s="1"/>
  <c r="P783" i="15"/>
  <c r="R782" i="15"/>
  <c r="S782" i="15" s="1"/>
  <c r="T782" i="15" s="1"/>
  <c r="P782" i="15"/>
  <c r="Q782" i="15" s="1"/>
  <c r="Q781" i="15"/>
  <c r="R781" i="15" s="1"/>
  <c r="S781" i="15" s="1"/>
  <c r="T781" i="15" s="1"/>
  <c r="P781" i="15"/>
  <c r="Q780" i="15"/>
  <c r="R780" i="15" s="1"/>
  <c r="S780" i="15" s="1"/>
  <c r="T780" i="15" s="1"/>
  <c r="P780" i="15"/>
  <c r="Q779" i="15"/>
  <c r="R779" i="15" s="1"/>
  <c r="S779" i="15" s="1"/>
  <c r="T779" i="15" s="1"/>
  <c r="P779" i="15"/>
  <c r="R778" i="15"/>
  <c r="S778" i="15" s="1"/>
  <c r="T778" i="15" s="1"/>
  <c r="P778" i="15"/>
  <c r="Q778" i="15" s="1"/>
  <c r="Q777" i="15"/>
  <c r="R777" i="15" s="1"/>
  <c r="S777" i="15" s="1"/>
  <c r="T777" i="15" s="1"/>
  <c r="P777" i="15"/>
  <c r="Q776" i="15"/>
  <c r="R776" i="15" s="1"/>
  <c r="S776" i="15" s="1"/>
  <c r="T776" i="15" s="1"/>
  <c r="P776" i="15"/>
  <c r="Q775" i="15"/>
  <c r="R775" i="15" s="1"/>
  <c r="S775" i="15" s="1"/>
  <c r="T775" i="15" s="1"/>
  <c r="P775" i="15"/>
  <c r="R774" i="15"/>
  <c r="S774" i="15" s="1"/>
  <c r="T774" i="15" s="1"/>
  <c r="P774" i="15"/>
  <c r="Q774" i="15" s="1"/>
  <c r="Q773" i="15"/>
  <c r="R773" i="15" s="1"/>
  <c r="S773" i="15" s="1"/>
  <c r="T773" i="15" s="1"/>
  <c r="P773" i="15"/>
  <c r="Q772" i="15"/>
  <c r="R772" i="15" s="1"/>
  <c r="S772" i="15" s="1"/>
  <c r="T772" i="15" s="1"/>
  <c r="P772" i="15"/>
  <c r="Q771" i="15"/>
  <c r="R771" i="15" s="1"/>
  <c r="S771" i="15" s="1"/>
  <c r="T771" i="15" s="1"/>
  <c r="P771" i="15"/>
  <c r="R770" i="15"/>
  <c r="S770" i="15" s="1"/>
  <c r="T770" i="15" s="1"/>
  <c r="P770" i="15"/>
  <c r="Q770" i="15" s="1"/>
  <c r="Q769" i="15"/>
  <c r="R769" i="15" s="1"/>
  <c r="S769" i="15" s="1"/>
  <c r="T769" i="15" s="1"/>
  <c r="P769" i="15"/>
  <c r="Q768" i="15"/>
  <c r="R768" i="15" s="1"/>
  <c r="S768" i="15" s="1"/>
  <c r="T768" i="15" s="1"/>
  <c r="P768" i="15"/>
  <c r="Q767" i="15"/>
  <c r="R767" i="15" s="1"/>
  <c r="S767" i="15" s="1"/>
  <c r="T767" i="15" s="1"/>
  <c r="P767" i="15"/>
  <c r="R766" i="15"/>
  <c r="S766" i="15" s="1"/>
  <c r="T766" i="15" s="1"/>
  <c r="P766" i="15"/>
  <c r="Q766" i="15" s="1"/>
  <c r="Q765" i="15"/>
  <c r="R765" i="15" s="1"/>
  <c r="S765" i="15" s="1"/>
  <c r="T765" i="15" s="1"/>
  <c r="P765" i="15"/>
  <c r="Q764" i="15"/>
  <c r="R764" i="15" s="1"/>
  <c r="S764" i="15" s="1"/>
  <c r="T764" i="15" s="1"/>
  <c r="P764" i="15"/>
  <c r="Q763" i="15"/>
  <c r="R763" i="15" s="1"/>
  <c r="S763" i="15" s="1"/>
  <c r="T763" i="15" s="1"/>
  <c r="P763" i="15"/>
  <c r="R762" i="15"/>
  <c r="S762" i="15" s="1"/>
  <c r="T762" i="15" s="1"/>
  <c r="P762" i="15"/>
  <c r="Q762" i="15" s="1"/>
  <c r="Q761" i="15"/>
  <c r="R761" i="15" s="1"/>
  <c r="S761" i="15" s="1"/>
  <c r="T761" i="15" s="1"/>
  <c r="P761" i="15"/>
  <c r="Q760" i="15"/>
  <c r="R760" i="15" s="1"/>
  <c r="S760" i="15" s="1"/>
  <c r="T760" i="15" s="1"/>
  <c r="P760" i="15"/>
  <c r="Q759" i="15"/>
  <c r="R759" i="15" s="1"/>
  <c r="S759" i="15" s="1"/>
  <c r="T759" i="15" s="1"/>
  <c r="P759" i="15"/>
  <c r="R758" i="15"/>
  <c r="S758" i="15" s="1"/>
  <c r="T758" i="15" s="1"/>
  <c r="P758" i="15"/>
  <c r="Q758" i="15" s="1"/>
  <c r="Q757" i="15"/>
  <c r="R757" i="15" s="1"/>
  <c r="S757" i="15" s="1"/>
  <c r="T757" i="15" s="1"/>
  <c r="P757" i="15"/>
  <c r="Q756" i="15"/>
  <c r="R756" i="15" s="1"/>
  <c r="S756" i="15" s="1"/>
  <c r="T756" i="15" s="1"/>
  <c r="P756" i="15"/>
  <c r="Q755" i="15"/>
  <c r="R755" i="15" s="1"/>
  <c r="S755" i="15" s="1"/>
  <c r="T755" i="15" s="1"/>
  <c r="P755" i="15"/>
  <c r="R754" i="15"/>
  <c r="S754" i="15" s="1"/>
  <c r="T754" i="15" s="1"/>
  <c r="P754" i="15"/>
  <c r="Q754" i="15" s="1"/>
  <c r="Q753" i="15"/>
  <c r="R753" i="15" s="1"/>
  <c r="S753" i="15" s="1"/>
  <c r="T753" i="15" s="1"/>
  <c r="P753" i="15"/>
  <c r="Q752" i="15"/>
  <c r="R752" i="15" s="1"/>
  <c r="S752" i="15" s="1"/>
  <c r="T752" i="15" s="1"/>
  <c r="P752" i="15"/>
  <c r="Q751" i="15"/>
  <c r="R751" i="15" s="1"/>
  <c r="S751" i="15" s="1"/>
  <c r="T751" i="15" s="1"/>
  <c r="P751" i="15"/>
  <c r="R750" i="15"/>
  <c r="S750" i="15" s="1"/>
  <c r="T750" i="15" s="1"/>
  <c r="P750" i="15"/>
  <c r="Q750" i="15" s="1"/>
  <c r="Q749" i="15"/>
  <c r="R749" i="15" s="1"/>
  <c r="S749" i="15" s="1"/>
  <c r="T749" i="15" s="1"/>
  <c r="P749" i="15"/>
  <c r="Q748" i="15"/>
  <c r="R748" i="15" s="1"/>
  <c r="S748" i="15" s="1"/>
  <c r="T748" i="15" s="1"/>
  <c r="P748" i="15"/>
  <c r="Q747" i="15"/>
  <c r="R747" i="15" s="1"/>
  <c r="S747" i="15" s="1"/>
  <c r="T747" i="15" s="1"/>
  <c r="P747" i="15"/>
  <c r="R746" i="15"/>
  <c r="S746" i="15" s="1"/>
  <c r="T746" i="15" s="1"/>
  <c r="P746" i="15"/>
  <c r="Q746" i="15" s="1"/>
  <c r="Q745" i="15"/>
  <c r="R745" i="15" s="1"/>
  <c r="S745" i="15" s="1"/>
  <c r="T745" i="15" s="1"/>
  <c r="P745" i="15"/>
  <c r="Q744" i="15"/>
  <c r="R744" i="15" s="1"/>
  <c r="S744" i="15" s="1"/>
  <c r="T744" i="15" s="1"/>
  <c r="P744" i="15"/>
  <c r="Q743" i="15"/>
  <c r="R743" i="15" s="1"/>
  <c r="S743" i="15" s="1"/>
  <c r="T743" i="15" s="1"/>
  <c r="P743" i="15"/>
  <c r="R742" i="15"/>
  <c r="S742" i="15" s="1"/>
  <c r="T742" i="15" s="1"/>
  <c r="P742" i="15"/>
  <c r="Q742" i="15" s="1"/>
  <c r="Q741" i="15"/>
  <c r="R741" i="15" s="1"/>
  <c r="S741" i="15" s="1"/>
  <c r="T741" i="15" s="1"/>
  <c r="P741" i="15"/>
  <c r="Q740" i="15"/>
  <c r="R740" i="15" s="1"/>
  <c r="S740" i="15" s="1"/>
  <c r="T740" i="15" s="1"/>
  <c r="P740" i="15"/>
  <c r="Q739" i="15"/>
  <c r="R739" i="15" s="1"/>
  <c r="S739" i="15" s="1"/>
  <c r="T739" i="15" s="1"/>
  <c r="P739" i="15"/>
  <c r="R738" i="15"/>
  <c r="S738" i="15" s="1"/>
  <c r="T738" i="15" s="1"/>
  <c r="P738" i="15"/>
  <c r="Q738" i="15" s="1"/>
  <c r="Q737" i="15"/>
  <c r="R737" i="15" s="1"/>
  <c r="S737" i="15" s="1"/>
  <c r="T737" i="15" s="1"/>
  <c r="P737" i="15"/>
  <c r="Q736" i="15"/>
  <c r="R736" i="15" s="1"/>
  <c r="S736" i="15" s="1"/>
  <c r="T736" i="15" s="1"/>
  <c r="P736" i="15"/>
  <c r="Q735" i="15"/>
  <c r="R735" i="15" s="1"/>
  <c r="S735" i="15" s="1"/>
  <c r="T735" i="15" s="1"/>
  <c r="P735" i="15"/>
  <c r="R734" i="15"/>
  <c r="S734" i="15" s="1"/>
  <c r="T734" i="15" s="1"/>
  <c r="P734" i="15"/>
  <c r="Q734" i="15" s="1"/>
  <c r="Q733" i="15"/>
  <c r="R733" i="15" s="1"/>
  <c r="S733" i="15" s="1"/>
  <c r="T733" i="15" s="1"/>
  <c r="P733" i="15"/>
  <c r="Q732" i="15"/>
  <c r="R732" i="15" s="1"/>
  <c r="S732" i="15" s="1"/>
  <c r="T732" i="15" s="1"/>
  <c r="P732" i="15"/>
  <c r="Q731" i="15"/>
  <c r="R731" i="15" s="1"/>
  <c r="S731" i="15" s="1"/>
  <c r="T731" i="15" s="1"/>
  <c r="P731" i="15"/>
  <c r="R730" i="15"/>
  <c r="S730" i="15" s="1"/>
  <c r="T730" i="15" s="1"/>
  <c r="P730" i="15"/>
  <c r="Q730" i="15" s="1"/>
  <c r="Q729" i="15"/>
  <c r="R729" i="15" s="1"/>
  <c r="S729" i="15" s="1"/>
  <c r="T729" i="15" s="1"/>
  <c r="P729" i="15"/>
  <c r="Q728" i="15"/>
  <c r="R728" i="15" s="1"/>
  <c r="S728" i="15" s="1"/>
  <c r="T728" i="15" s="1"/>
  <c r="P728" i="15"/>
  <c r="Q727" i="15"/>
  <c r="R727" i="15" s="1"/>
  <c r="S727" i="15" s="1"/>
  <c r="T727" i="15" s="1"/>
  <c r="P727" i="15"/>
  <c r="R726" i="15"/>
  <c r="S726" i="15" s="1"/>
  <c r="T726" i="15" s="1"/>
  <c r="P726" i="15"/>
  <c r="Q726" i="15" s="1"/>
  <c r="Q725" i="15"/>
  <c r="R725" i="15" s="1"/>
  <c r="S725" i="15" s="1"/>
  <c r="T725" i="15" s="1"/>
  <c r="P725" i="15"/>
  <c r="Q724" i="15"/>
  <c r="R724" i="15" s="1"/>
  <c r="S724" i="15" s="1"/>
  <c r="T724" i="15" s="1"/>
  <c r="P724" i="15"/>
  <c r="Q723" i="15"/>
  <c r="R723" i="15" s="1"/>
  <c r="S723" i="15" s="1"/>
  <c r="T723" i="15" s="1"/>
  <c r="P723" i="15"/>
  <c r="R722" i="15"/>
  <c r="S722" i="15" s="1"/>
  <c r="T722" i="15" s="1"/>
  <c r="P722" i="15"/>
  <c r="Q722" i="15" s="1"/>
  <c r="Q721" i="15"/>
  <c r="R721" i="15" s="1"/>
  <c r="S721" i="15" s="1"/>
  <c r="T721" i="15" s="1"/>
  <c r="P721" i="15"/>
  <c r="Q720" i="15"/>
  <c r="R720" i="15" s="1"/>
  <c r="S720" i="15" s="1"/>
  <c r="T720" i="15" s="1"/>
  <c r="P720" i="15"/>
  <c r="Q719" i="15"/>
  <c r="R719" i="15" s="1"/>
  <c r="S719" i="15" s="1"/>
  <c r="T719" i="15" s="1"/>
  <c r="P719" i="15"/>
  <c r="R718" i="15"/>
  <c r="S718" i="15" s="1"/>
  <c r="T718" i="15" s="1"/>
  <c r="P718" i="15"/>
  <c r="Q718" i="15" s="1"/>
  <c r="Q717" i="15"/>
  <c r="R717" i="15" s="1"/>
  <c r="S717" i="15" s="1"/>
  <c r="T717" i="15" s="1"/>
  <c r="P717" i="15"/>
  <c r="Q716" i="15"/>
  <c r="R716" i="15" s="1"/>
  <c r="S716" i="15" s="1"/>
  <c r="T716" i="15" s="1"/>
  <c r="P716" i="15"/>
  <c r="Q715" i="15"/>
  <c r="R715" i="15" s="1"/>
  <c r="S715" i="15" s="1"/>
  <c r="T715" i="15" s="1"/>
  <c r="P715" i="15"/>
  <c r="R714" i="15"/>
  <c r="S714" i="15" s="1"/>
  <c r="T714" i="15" s="1"/>
  <c r="P714" i="15"/>
  <c r="Q714" i="15" s="1"/>
  <c r="R713" i="15"/>
  <c r="S713" i="15" s="1"/>
  <c r="T713" i="15" s="1"/>
  <c r="P713" i="15"/>
  <c r="Q713" i="15" s="1"/>
  <c r="Q712" i="15"/>
  <c r="R712" i="15" s="1"/>
  <c r="S712" i="15" s="1"/>
  <c r="T712" i="15" s="1"/>
  <c r="P712" i="15"/>
  <c r="Q711" i="15"/>
  <c r="R711" i="15" s="1"/>
  <c r="S711" i="15" s="1"/>
  <c r="T711" i="15" s="1"/>
  <c r="P711" i="15"/>
  <c r="Q710" i="15"/>
  <c r="R710" i="15" s="1"/>
  <c r="S710" i="15" s="1"/>
  <c r="T710" i="15" s="1"/>
  <c r="P710" i="15"/>
  <c r="R709" i="15"/>
  <c r="S709" i="15" s="1"/>
  <c r="T709" i="15" s="1"/>
  <c r="P709" i="15"/>
  <c r="Q709" i="15" s="1"/>
  <c r="Q708" i="15"/>
  <c r="R708" i="15" s="1"/>
  <c r="S708" i="15" s="1"/>
  <c r="T708" i="15" s="1"/>
  <c r="P708" i="15"/>
  <c r="Q707" i="15"/>
  <c r="R707" i="15" s="1"/>
  <c r="S707" i="15" s="1"/>
  <c r="T707" i="15" s="1"/>
  <c r="P707" i="15"/>
  <c r="Q706" i="15"/>
  <c r="R706" i="15" s="1"/>
  <c r="S706" i="15" s="1"/>
  <c r="T706" i="15" s="1"/>
  <c r="P706" i="15"/>
  <c r="R705" i="15"/>
  <c r="S705" i="15" s="1"/>
  <c r="T705" i="15" s="1"/>
  <c r="P705" i="15"/>
  <c r="Q705" i="15" s="1"/>
  <c r="Q704" i="15"/>
  <c r="R704" i="15" s="1"/>
  <c r="S704" i="15" s="1"/>
  <c r="T704" i="15" s="1"/>
  <c r="P704" i="15"/>
  <c r="Q703" i="15"/>
  <c r="R703" i="15" s="1"/>
  <c r="S703" i="15" s="1"/>
  <c r="T703" i="15" s="1"/>
  <c r="P703" i="15"/>
  <c r="Q702" i="15"/>
  <c r="R702" i="15" s="1"/>
  <c r="S702" i="15" s="1"/>
  <c r="T702" i="15" s="1"/>
  <c r="P702" i="15"/>
  <c r="R701" i="15"/>
  <c r="S701" i="15" s="1"/>
  <c r="T701" i="15" s="1"/>
  <c r="P701" i="15"/>
  <c r="Q701" i="15" s="1"/>
  <c r="Q700" i="15"/>
  <c r="R700" i="15" s="1"/>
  <c r="S700" i="15" s="1"/>
  <c r="T700" i="15" s="1"/>
  <c r="P700" i="15"/>
  <c r="Q699" i="15"/>
  <c r="R699" i="15" s="1"/>
  <c r="S699" i="15" s="1"/>
  <c r="T699" i="15" s="1"/>
  <c r="P699" i="15"/>
  <c r="Q698" i="15"/>
  <c r="R698" i="15" s="1"/>
  <c r="S698" i="15" s="1"/>
  <c r="T698" i="15" s="1"/>
  <c r="P698" i="15"/>
  <c r="R697" i="15"/>
  <c r="S697" i="15" s="1"/>
  <c r="T697" i="15" s="1"/>
  <c r="P697" i="15"/>
  <c r="Q697" i="15" s="1"/>
  <c r="Q696" i="15"/>
  <c r="R696" i="15" s="1"/>
  <c r="S696" i="15" s="1"/>
  <c r="T696" i="15" s="1"/>
  <c r="P696" i="15"/>
  <c r="Q695" i="15"/>
  <c r="R695" i="15" s="1"/>
  <c r="S695" i="15" s="1"/>
  <c r="T695" i="15" s="1"/>
  <c r="P695" i="15"/>
  <c r="Q694" i="15"/>
  <c r="R694" i="15" s="1"/>
  <c r="S694" i="15" s="1"/>
  <c r="T694" i="15" s="1"/>
  <c r="P694" i="15"/>
  <c r="R693" i="15"/>
  <c r="S693" i="15" s="1"/>
  <c r="T693" i="15" s="1"/>
  <c r="P693" i="15"/>
  <c r="Q693" i="15" s="1"/>
  <c r="Q692" i="15"/>
  <c r="R692" i="15" s="1"/>
  <c r="S692" i="15" s="1"/>
  <c r="T692" i="15" s="1"/>
  <c r="P692" i="15"/>
  <c r="Q691" i="15"/>
  <c r="R691" i="15" s="1"/>
  <c r="S691" i="15" s="1"/>
  <c r="T691" i="15" s="1"/>
  <c r="P691" i="15"/>
  <c r="Q690" i="15"/>
  <c r="R690" i="15" s="1"/>
  <c r="S690" i="15" s="1"/>
  <c r="T690" i="15" s="1"/>
  <c r="P690" i="15"/>
  <c r="R689" i="15"/>
  <c r="S689" i="15" s="1"/>
  <c r="T689" i="15" s="1"/>
  <c r="P689" i="15"/>
  <c r="Q689" i="15" s="1"/>
  <c r="Q688" i="15"/>
  <c r="R688" i="15" s="1"/>
  <c r="S688" i="15" s="1"/>
  <c r="T688" i="15" s="1"/>
  <c r="P688" i="15"/>
  <c r="Q687" i="15"/>
  <c r="R687" i="15" s="1"/>
  <c r="S687" i="15" s="1"/>
  <c r="T687" i="15" s="1"/>
  <c r="P687" i="15"/>
  <c r="Q686" i="15"/>
  <c r="R686" i="15" s="1"/>
  <c r="S686" i="15" s="1"/>
  <c r="T686" i="15" s="1"/>
  <c r="P686" i="15"/>
  <c r="R685" i="15"/>
  <c r="S685" i="15" s="1"/>
  <c r="T685" i="15" s="1"/>
  <c r="P685" i="15"/>
  <c r="Q685" i="15" s="1"/>
  <c r="Q684" i="15"/>
  <c r="R684" i="15" s="1"/>
  <c r="S684" i="15" s="1"/>
  <c r="T684" i="15" s="1"/>
  <c r="P684" i="15"/>
  <c r="Q683" i="15"/>
  <c r="R683" i="15" s="1"/>
  <c r="S683" i="15" s="1"/>
  <c r="T683" i="15" s="1"/>
  <c r="P683" i="15"/>
  <c r="Q682" i="15"/>
  <c r="R682" i="15" s="1"/>
  <c r="S682" i="15" s="1"/>
  <c r="T682" i="15" s="1"/>
  <c r="P682" i="15"/>
  <c r="R681" i="15"/>
  <c r="S681" i="15" s="1"/>
  <c r="T681" i="15" s="1"/>
  <c r="P681" i="15"/>
  <c r="Q681" i="15" s="1"/>
  <c r="Q680" i="15"/>
  <c r="R680" i="15" s="1"/>
  <c r="S680" i="15" s="1"/>
  <c r="T680" i="15" s="1"/>
  <c r="P680" i="15"/>
  <c r="Q679" i="15"/>
  <c r="R679" i="15" s="1"/>
  <c r="S679" i="15" s="1"/>
  <c r="T679" i="15" s="1"/>
  <c r="P679" i="15"/>
  <c r="Q678" i="15"/>
  <c r="R678" i="15" s="1"/>
  <c r="S678" i="15" s="1"/>
  <c r="T678" i="15" s="1"/>
  <c r="P678" i="15"/>
  <c r="R677" i="15"/>
  <c r="S677" i="15" s="1"/>
  <c r="T677" i="15" s="1"/>
  <c r="P677" i="15"/>
  <c r="Q677" i="15" s="1"/>
  <c r="Q676" i="15"/>
  <c r="R676" i="15" s="1"/>
  <c r="S676" i="15" s="1"/>
  <c r="T676" i="15" s="1"/>
  <c r="P676" i="15"/>
  <c r="Q675" i="15"/>
  <c r="R675" i="15" s="1"/>
  <c r="S675" i="15" s="1"/>
  <c r="T675" i="15" s="1"/>
  <c r="P675" i="15"/>
  <c r="Q674" i="15"/>
  <c r="R674" i="15" s="1"/>
  <c r="S674" i="15" s="1"/>
  <c r="T674" i="15" s="1"/>
  <c r="P674" i="15"/>
  <c r="R673" i="15"/>
  <c r="S673" i="15" s="1"/>
  <c r="T673" i="15" s="1"/>
  <c r="P673" i="15"/>
  <c r="Q673" i="15" s="1"/>
  <c r="Q672" i="15"/>
  <c r="R672" i="15" s="1"/>
  <c r="S672" i="15" s="1"/>
  <c r="T672" i="15" s="1"/>
  <c r="P672" i="15"/>
  <c r="Q671" i="15"/>
  <c r="R671" i="15" s="1"/>
  <c r="S671" i="15" s="1"/>
  <c r="T671" i="15" s="1"/>
  <c r="P671" i="15"/>
  <c r="Q670" i="15"/>
  <c r="R670" i="15" s="1"/>
  <c r="S670" i="15" s="1"/>
  <c r="T670" i="15" s="1"/>
  <c r="P670" i="15"/>
  <c r="R669" i="15"/>
  <c r="S669" i="15" s="1"/>
  <c r="T669" i="15" s="1"/>
  <c r="P669" i="15"/>
  <c r="Q669" i="15" s="1"/>
  <c r="Q668" i="15"/>
  <c r="R668" i="15" s="1"/>
  <c r="S668" i="15" s="1"/>
  <c r="T668" i="15" s="1"/>
  <c r="P668" i="15"/>
  <c r="Q667" i="15"/>
  <c r="R667" i="15" s="1"/>
  <c r="S667" i="15" s="1"/>
  <c r="T667" i="15" s="1"/>
  <c r="P667" i="15"/>
  <c r="Q666" i="15"/>
  <c r="R666" i="15" s="1"/>
  <c r="S666" i="15" s="1"/>
  <c r="T666" i="15" s="1"/>
  <c r="P666" i="15"/>
  <c r="R665" i="15"/>
  <c r="S665" i="15" s="1"/>
  <c r="T665" i="15" s="1"/>
  <c r="P665" i="15"/>
  <c r="Q665" i="15" s="1"/>
  <c r="Q664" i="15"/>
  <c r="R664" i="15" s="1"/>
  <c r="S664" i="15" s="1"/>
  <c r="T664" i="15" s="1"/>
  <c r="P664" i="15"/>
  <c r="Q663" i="15"/>
  <c r="R663" i="15" s="1"/>
  <c r="S663" i="15" s="1"/>
  <c r="T663" i="15" s="1"/>
  <c r="P663" i="15"/>
  <c r="Q662" i="15"/>
  <c r="R662" i="15" s="1"/>
  <c r="S662" i="15" s="1"/>
  <c r="T662" i="15" s="1"/>
  <c r="P662" i="15"/>
  <c r="R661" i="15"/>
  <c r="S661" i="15" s="1"/>
  <c r="T661" i="15" s="1"/>
  <c r="P661" i="15"/>
  <c r="Q661" i="15" s="1"/>
  <c r="Q660" i="15"/>
  <c r="R660" i="15" s="1"/>
  <c r="S660" i="15" s="1"/>
  <c r="T660" i="15" s="1"/>
  <c r="P660" i="15"/>
  <c r="Q659" i="15"/>
  <c r="R659" i="15" s="1"/>
  <c r="S659" i="15" s="1"/>
  <c r="T659" i="15" s="1"/>
  <c r="P659" i="15"/>
  <c r="Q658" i="15"/>
  <c r="R658" i="15" s="1"/>
  <c r="S658" i="15" s="1"/>
  <c r="T658" i="15" s="1"/>
  <c r="P658" i="15"/>
  <c r="R657" i="15"/>
  <c r="S657" i="15" s="1"/>
  <c r="T657" i="15" s="1"/>
  <c r="P657" i="15"/>
  <c r="Q657" i="15" s="1"/>
  <c r="Q656" i="15"/>
  <c r="R656" i="15" s="1"/>
  <c r="S656" i="15" s="1"/>
  <c r="T656" i="15" s="1"/>
  <c r="P656" i="15"/>
  <c r="Q655" i="15"/>
  <c r="R655" i="15" s="1"/>
  <c r="S655" i="15" s="1"/>
  <c r="T655" i="15" s="1"/>
  <c r="P655" i="15"/>
  <c r="Q654" i="15"/>
  <c r="R654" i="15" s="1"/>
  <c r="S654" i="15" s="1"/>
  <c r="T654" i="15" s="1"/>
  <c r="P654" i="15"/>
  <c r="R653" i="15"/>
  <c r="S653" i="15" s="1"/>
  <c r="T653" i="15" s="1"/>
  <c r="P653" i="15"/>
  <c r="Q653" i="15" s="1"/>
  <c r="Q652" i="15"/>
  <c r="R652" i="15" s="1"/>
  <c r="S652" i="15" s="1"/>
  <c r="T652" i="15" s="1"/>
  <c r="P652" i="15"/>
  <c r="Q651" i="15"/>
  <c r="R651" i="15" s="1"/>
  <c r="S651" i="15" s="1"/>
  <c r="T651" i="15" s="1"/>
  <c r="P651" i="15"/>
  <c r="Q650" i="15"/>
  <c r="R650" i="15" s="1"/>
  <c r="S650" i="15" s="1"/>
  <c r="T650" i="15" s="1"/>
  <c r="P650" i="15"/>
  <c r="R649" i="15"/>
  <c r="S649" i="15" s="1"/>
  <c r="T649" i="15" s="1"/>
  <c r="P649" i="15"/>
  <c r="Q649" i="15" s="1"/>
  <c r="Q648" i="15"/>
  <c r="R648" i="15" s="1"/>
  <c r="S648" i="15" s="1"/>
  <c r="T648" i="15" s="1"/>
  <c r="P648" i="15"/>
  <c r="Q647" i="15"/>
  <c r="R647" i="15" s="1"/>
  <c r="S647" i="15" s="1"/>
  <c r="T647" i="15" s="1"/>
  <c r="P647" i="15"/>
  <c r="Q646" i="15"/>
  <c r="R646" i="15" s="1"/>
  <c r="S646" i="15" s="1"/>
  <c r="T646" i="15" s="1"/>
  <c r="P646" i="15"/>
  <c r="R645" i="15"/>
  <c r="S645" i="15" s="1"/>
  <c r="T645" i="15" s="1"/>
  <c r="P645" i="15"/>
  <c r="Q645" i="15" s="1"/>
  <c r="Q644" i="15"/>
  <c r="R644" i="15" s="1"/>
  <c r="S644" i="15" s="1"/>
  <c r="T644" i="15" s="1"/>
  <c r="P644" i="15"/>
  <c r="Q643" i="15"/>
  <c r="R643" i="15" s="1"/>
  <c r="S643" i="15" s="1"/>
  <c r="T643" i="15" s="1"/>
  <c r="P643" i="15"/>
  <c r="Q642" i="15"/>
  <c r="R642" i="15" s="1"/>
  <c r="S642" i="15" s="1"/>
  <c r="T642" i="15" s="1"/>
  <c r="P642" i="15"/>
  <c r="R641" i="15"/>
  <c r="S641" i="15" s="1"/>
  <c r="T641" i="15" s="1"/>
  <c r="P641" i="15"/>
  <c r="Q641" i="15" s="1"/>
  <c r="Q640" i="15"/>
  <c r="R640" i="15" s="1"/>
  <c r="S640" i="15" s="1"/>
  <c r="T640" i="15" s="1"/>
  <c r="P640" i="15"/>
  <c r="Q639" i="15"/>
  <c r="R639" i="15" s="1"/>
  <c r="S639" i="15" s="1"/>
  <c r="T639" i="15" s="1"/>
  <c r="P639" i="15"/>
  <c r="Q638" i="15"/>
  <c r="R638" i="15" s="1"/>
  <c r="S638" i="15" s="1"/>
  <c r="T638" i="15" s="1"/>
  <c r="P638" i="15"/>
  <c r="R637" i="15"/>
  <c r="S637" i="15" s="1"/>
  <c r="T637" i="15" s="1"/>
  <c r="P637" i="15"/>
  <c r="Q637" i="15" s="1"/>
  <c r="Q636" i="15"/>
  <c r="R636" i="15" s="1"/>
  <c r="S636" i="15" s="1"/>
  <c r="T636" i="15" s="1"/>
  <c r="P636" i="15"/>
  <c r="Q635" i="15"/>
  <c r="R635" i="15" s="1"/>
  <c r="S635" i="15" s="1"/>
  <c r="T635" i="15" s="1"/>
  <c r="P635" i="15"/>
  <c r="Q634" i="15"/>
  <c r="R634" i="15" s="1"/>
  <c r="S634" i="15" s="1"/>
  <c r="T634" i="15" s="1"/>
  <c r="P634" i="15"/>
  <c r="R633" i="15"/>
  <c r="S633" i="15" s="1"/>
  <c r="T633" i="15" s="1"/>
  <c r="P633" i="15"/>
  <c r="Q633" i="15" s="1"/>
  <c r="Q632" i="15"/>
  <c r="R632" i="15" s="1"/>
  <c r="S632" i="15" s="1"/>
  <c r="T632" i="15" s="1"/>
  <c r="P632" i="15"/>
  <c r="Q631" i="15"/>
  <c r="R631" i="15" s="1"/>
  <c r="S631" i="15" s="1"/>
  <c r="T631" i="15" s="1"/>
  <c r="P631" i="15"/>
  <c r="Q630" i="15"/>
  <c r="R630" i="15" s="1"/>
  <c r="S630" i="15" s="1"/>
  <c r="T630" i="15" s="1"/>
  <c r="P630" i="15"/>
  <c r="R629" i="15"/>
  <c r="S629" i="15" s="1"/>
  <c r="T629" i="15" s="1"/>
  <c r="P629" i="15"/>
  <c r="Q629" i="15" s="1"/>
  <c r="Q628" i="15"/>
  <c r="R628" i="15" s="1"/>
  <c r="S628" i="15" s="1"/>
  <c r="T628" i="15" s="1"/>
  <c r="P628" i="15"/>
  <c r="Q627" i="15"/>
  <c r="R627" i="15" s="1"/>
  <c r="S627" i="15" s="1"/>
  <c r="T627" i="15" s="1"/>
  <c r="P627" i="15"/>
  <c r="Q626" i="15"/>
  <c r="R626" i="15" s="1"/>
  <c r="S626" i="15" s="1"/>
  <c r="T626" i="15" s="1"/>
  <c r="P626" i="15"/>
  <c r="R625" i="15"/>
  <c r="S625" i="15" s="1"/>
  <c r="T625" i="15" s="1"/>
  <c r="P625" i="15"/>
  <c r="Q625" i="15" s="1"/>
  <c r="Q624" i="15"/>
  <c r="R624" i="15" s="1"/>
  <c r="S624" i="15" s="1"/>
  <c r="T624" i="15" s="1"/>
  <c r="P624" i="15"/>
  <c r="Q623" i="15"/>
  <c r="R623" i="15" s="1"/>
  <c r="S623" i="15" s="1"/>
  <c r="T623" i="15" s="1"/>
  <c r="P623" i="15"/>
  <c r="Q622" i="15"/>
  <c r="R622" i="15" s="1"/>
  <c r="S622" i="15" s="1"/>
  <c r="T622" i="15" s="1"/>
  <c r="P622" i="15"/>
  <c r="R621" i="15"/>
  <c r="S621" i="15" s="1"/>
  <c r="T621" i="15" s="1"/>
  <c r="P621" i="15"/>
  <c r="Q621" i="15" s="1"/>
  <c r="Q620" i="15"/>
  <c r="R620" i="15" s="1"/>
  <c r="S620" i="15" s="1"/>
  <c r="T620" i="15" s="1"/>
  <c r="P620" i="15"/>
  <c r="Q619" i="15"/>
  <c r="R619" i="15" s="1"/>
  <c r="S619" i="15" s="1"/>
  <c r="T619" i="15" s="1"/>
  <c r="P619" i="15"/>
  <c r="Q618" i="15"/>
  <c r="R618" i="15" s="1"/>
  <c r="S618" i="15" s="1"/>
  <c r="T618" i="15" s="1"/>
  <c r="P618" i="15"/>
  <c r="R617" i="15"/>
  <c r="S617" i="15" s="1"/>
  <c r="T617" i="15" s="1"/>
  <c r="P617" i="15"/>
  <c r="Q617" i="15" s="1"/>
  <c r="Q616" i="15"/>
  <c r="R616" i="15" s="1"/>
  <c r="S616" i="15" s="1"/>
  <c r="T616" i="15" s="1"/>
  <c r="P616" i="15"/>
  <c r="Q615" i="15"/>
  <c r="R615" i="15" s="1"/>
  <c r="S615" i="15" s="1"/>
  <c r="T615" i="15" s="1"/>
  <c r="P615" i="15"/>
  <c r="Q614" i="15"/>
  <c r="R614" i="15" s="1"/>
  <c r="S614" i="15" s="1"/>
  <c r="T614" i="15" s="1"/>
  <c r="P614" i="15"/>
  <c r="R613" i="15"/>
  <c r="S613" i="15" s="1"/>
  <c r="T613" i="15" s="1"/>
  <c r="P613" i="15"/>
  <c r="Q613" i="15" s="1"/>
  <c r="Q612" i="15"/>
  <c r="R612" i="15" s="1"/>
  <c r="S612" i="15" s="1"/>
  <c r="T612" i="15" s="1"/>
  <c r="P612" i="15"/>
  <c r="Q611" i="15"/>
  <c r="R611" i="15" s="1"/>
  <c r="S611" i="15" s="1"/>
  <c r="T611" i="15" s="1"/>
  <c r="P611" i="15"/>
  <c r="Q610" i="15"/>
  <c r="R610" i="15" s="1"/>
  <c r="S610" i="15" s="1"/>
  <c r="T610" i="15" s="1"/>
  <c r="P610" i="15"/>
  <c r="R609" i="15"/>
  <c r="S609" i="15" s="1"/>
  <c r="T609" i="15" s="1"/>
  <c r="P609" i="15"/>
  <c r="Q609" i="15" s="1"/>
  <c r="Q608" i="15"/>
  <c r="R608" i="15" s="1"/>
  <c r="S608" i="15" s="1"/>
  <c r="T608" i="15" s="1"/>
  <c r="P608" i="15"/>
  <c r="Q607" i="15"/>
  <c r="R607" i="15" s="1"/>
  <c r="S607" i="15" s="1"/>
  <c r="T607" i="15" s="1"/>
  <c r="P607" i="15"/>
  <c r="Q606" i="15"/>
  <c r="R606" i="15" s="1"/>
  <c r="S606" i="15" s="1"/>
  <c r="T606" i="15" s="1"/>
  <c r="P606" i="15"/>
  <c r="R605" i="15"/>
  <c r="S605" i="15" s="1"/>
  <c r="T605" i="15" s="1"/>
  <c r="P605" i="15"/>
  <c r="Q605" i="15" s="1"/>
  <c r="Q604" i="15"/>
  <c r="R604" i="15" s="1"/>
  <c r="S604" i="15" s="1"/>
  <c r="T604" i="15" s="1"/>
  <c r="P604" i="15"/>
  <c r="Q603" i="15"/>
  <c r="R603" i="15" s="1"/>
  <c r="S603" i="15" s="1"/>
  <c r="T603" i="15" s="1"/>
  <c r="P603" i="15"/>
  <c r="Q602" i="15"/>
  <c r="R602" i="15" s="1"/>
  <c r="S602" i="15" s="1"/>
  <c r="T602" i="15" s="1"/>
  <c r="P602" i="15"/>
  <c r="R601" i="15"/>
  <c r="S601" i="15" s="1"/>
  <c r="T601" i="15" s="1"/>
  <c r="P601" i="15"/>
  <c r="Q601" i="15" s="1"/>
  <c r="T600" i="15"/>
  <c r="Q600" i="15"/>
  <c r="R600" i="15" s="1"/>
  <c r="S600" i="15" s="1"/>
  <c r="P600" i="15"/>
  <c r="Q599" i="15"/>
  <c r="R599" i="15" s="1"/>
  <c r="S599" i="15" s="1"/>
  <c r="T599" i="15" s="1"/>
  <c r="P599" i="15"/>
  <c r="S598" i="15"/>
  <c r="T598" i="15" s="1"/>
  <c r="Q598" i="15"/>
  <c r="R598" i="15" s="1"/>
  <c r="P598" i="15"/>
  <c r="R597" i="15"/>
  <c r="S597" i="15" s="1"/>
  <c r="T597" i="15" s="1"/>
  <c r="P597" i="15"/>
  <c r="Q597" i="15" s="1"/>
  <c r="T596" i="15"/>
  <c r="Q596" i="15"/>
  <c r="R596" i="15" s="1"/>
  <c r="S596" i="15" s="1"/>
  <c r="P596" i="15"/>
  <c r="Q595" i="15"/>
  <c r="R595" i="15" s="1"/>
  <c r="S595" i="15" s="1"/>
  <c r="T595" i="15" s="1"/>
  <c r="P595" i="15"/>
  <c r="S594" i="15"/>
  <c r="T594" i="15" s="1"/>
  <c r="Q594" i="15"/>
  <c r="R594" i="15" s="1"/>
  <c r="P594" i="15"/>
  <c r="R593" i="15"/>
  <c r="S593" i="15" s="1"/>
  <c r="T593" i="15" s="1"/>
  <c r="P593" i="15"/>
  <c r="Q593" i="15" s="1"/>
  <c r="T592" i="15"/>
  <c r="Q592" i="15"/>
  <c r="R592" i="15" s="1"/>
  <c r="S592" i="15" s="1"/>
  <c r="P592" i="15"/>
  <c r="Q591" i="15"/>
  <c r="R591" i="15" s="1"/>
  <c r="S591" i="15" s="1"/>
  <c r="T591" i="15" s="1"/>
  <c r="P591" i="15"/>
  <c r="S590" i="15"/>
  <c r="T590" i="15" s="1"/>
  <c r="Q590" i="15"/>
  <c r="R590" i="15" s="1"/>
  <c r="P590" i="15"/>
  <c r="R589" i="15"/>
  <c r="S589" i="15" s="1"/>
  <c r="T589" i="15" s="1"/>
  <c r="P589" i="15"/>
  <c r="Q589" i="15" s="1"/>
  <c r="T588" i="15"/>
  <c r="Q588" i="15"/>
  <c r="R588" i="15" s="1"/>
  <c r="S588" i="15" s="1"/>
  <c r="P588" i="15"/>
  <c r="Q587" i="15"/>
  <c r="R587" i="15" s="1"/>
  <c r="S587" i="15" s="1"/>
  <c r="T587" i="15" s="1"/>
  <c r="P587" i="15"/>
  <c r="S586" i="15"/>
  <c r="T586" i="15" s="1"/>
  <c r="Q586" i="15"/>
  <c r="R586" i="15" s="1"/>
  <c r="P586" i="15"/>
  <c r="R585" i="15"/>
  <c r="S585" i="15" s="1"/>
  <c r="T585" i="15" s="1"/>
  <c r="P585" i="15"/>
  <c r="Q585" i="15" s="1"/>
  <c r="T584" i="15"/>
  <c r="Q584" i="15"/>
  <c r="R584" i="15" s="1"/>
  <c r="S584" i="15" s="1"/>
  <c r="P584" i="15"/>
  <c r="Q583" i="15"/>
  <c r="R583" i="15" s="1"/>
  <c r="S583" i="15" s="1"/>
  <c r="T583" i="15" s="1"/>
  <c r="P583" i="15"/>
  <c r="S582" i="15"/>
  <c r="T582" i="15" s="1"/>
  <c r="Q582" i="15"/>
  <c r="R582" i="15" s="1"/>
  <c r="P582" i="15"/>
  <c r="R581" i="15"/>
  <c r="S581" i="15" s="1"/>
  <c r="T581" i="15" s="1"/>
  <c r="P581" i="15"/>
  <c r="Q581" i="15" s="1"/>
  <c r="T580" i="15"/>
  <c r="Q580" i="15"/>
  <c r="R580" i="15" s="1"/>
  <c r="S580" i="15" s="1"/>
  <c r="P580" i="15"/>
  <c r="Q579" i="15"/>
  <c r="R579" i="15" s="1"/>
  <c r="S579" i="15" s="1"/>
  <c r="T579" i="15" s="1"/>
  <c r="P579" i="15"/>
  <c r="S578" i="15"/>
  <c r="T578" i="15" s="1"/>
  <c r="Q578" i="15"/>
  <c r="R578" i="15" s="1"/>
  <c r="P578" i="15"/>
  <c r="R577" i="15"/>
  <c r="S577" i="15" s="1"/>
  <c r="T577" i="15" s="1"/>
  <c r="P577" i="15"/>
  <c r="Q577" i="15" s="1"/>
  <c r="T576" i="15"/>
  <c r="Q576" i="15"/>
  <c r="R576" i="15" s="1"/>
  <c r="S576" i="15" s="1"/>
  <c r="P576" i="15"/>
  <c r="Q575" i="15"/>
  <c r="R575" i="15" s="1"/>
  <c r="S575" i="15" s="1"/>
  <c r="T575" i="15" s="1"/>
  <c r="P575" i="15"/>
  <c r="S574" i="15"/>
  <c r="T574" i="15" s="1"/>
  <c r="Q574" i="15"/>
  <c r="R574" i="15" s="1"/>
  <c r="P574" i="15"/>
  <c r="R573" i="15"/>
  <c r="S573" i="15" s="1"/>
  <c r="T573" i="15" s="1"/>
  <c r="P573" i="15"/>
  <c r="Q573" i="15" s="1"/>
  <c r="T572" i="15"/>
  <c r="Q572" i="15"/>
  <c r="R572" i="15" s="1"/>
  <c r="S572" i="15" s="1"/>
  <c r="P572" i="15"/>
  <c r="Q571" i="15"/>
  <c r="R571" i="15" s="1"/>
  <c r="S571" i="15" s="1"/>
  <c r="T571" i="15" s="1"/>
  <c r="P571" i="15"/>
  <c r="S570" i="15"/>
  <c r="T570" i="15" s="1"/>
  <c r="Q570" i="15"/>
  <c r="R570" i="15" s="1"/>
  <c r="P570" i="15"/>
  <c r="R569" i="15"/>
  <c r="S569" i="15" s="1"/>
  <c r="T569" i="15" s="1"/>
  <c r="P569" i="15"/>
  <c r="Q569" i="15" s="1"/>
  <c r="T568" i="15"/>
  <c r="Q568" i="15"/>
  <c r="R568" i="15" s="1"/>
  <c r="S568" i="15" s="1"/>
  <c r="P568" i="15"/>
  <c r="Q567" i="15"/>
  <c r="R567" i="15" s="1"/>
  <c r="S567" i="15" s="1"/>
  <c r="T567" i="15" s="1"/>
  <c r="P567" i="15"/>
  <c r="S566" i="15"/>
  <c r="T566" i="15" s="1"/>
  <c r="Q566" i="15"/>
  <c r="R566" i="15" s="1"/>
  <c r="P566" i="15"/>
  <c r="R565" i="15"/>
  <c r="S565" i="15" s="1"/>
  <c r="T565" i="15" s="1"/>
  <c r="P565" i="15"/>
  <c r="Q565" i="15" s="1"/>
  <c r="T564" i="15"/>
  <c r="Q564" i="15"/>
  <c r="R564" i="15" s="1"/>
  <c r="S564" i="15" s="1"/>
  <c r="P564" i="15"/>
  <c r="Q563" i="15"/>
  <c r="R563" i="15" s="1"/>
  <c r="S563" i="15" s="1"/>
  <c r="T563" i="15" s="1"/>
  <c r="P563" i="15"/>
  <c r="S562" i="15"/>
  <c r="T562" i="15" s="1"/>
  <c r="Q562" i="15"/>
  <c r="R562" i="15" s="1"/>
  <c r="P562" i="15"/>
  <c r="R561" i="15"/>
  <c r="S561" i="15" s="1"/>
  <c r="T561" i="15" s="1"/>
  <c r="P561" i="15"/>
  <c r="Q561" i="15" s="1"/>
  <c r="T560" i="15"/>
  <c r="Q560" i="15"/>
  <c r="R560" i="15" s="1"/>
  <c r="S560" i="15" s="1"/>
  <c r="P560" i="15"/>
  <c r="Q559" i="15"/>
  <c r="R559" i="15" s="1"/>
  <c r="S559" i="15" s="1"/>
  <c r="T559" i="15" s="1"/>
  <c r="P559" i="15"/>
  <c r="S558" i="15"/>
  <c r="T558" i="15" s="1"/>
  <c r="Q558" i="15"/>
  <c r="R558" i="15" s="1"/>
  <c r="P558" i="15"/>
  <c r="R557" i="15"/>
  <c r="S557" i="15" s="1"/>
  <c r="T557" i="15" s="1"/>
  <c r="P557" i="15"/>
  <c r="Q557" i="15" s="1"/>
  <c r="T556" i="15"/>
  <c r="Q556" i="15"/>
  <c r="R556" i="15" s="1"/>
  <c r="S556" i="15" s="1"/>
  <c r="P556" i="15"/>
  <c r="Q555" i="15"/>
  <c r="R555" i="15" s="1"/>
  <c r="S555" i="15" s="1"/>
  <c r="T555" i="15" s="1"/>
  <c r="P555" i="15"/>
  <c r="S554" i="15"/>
  <c r="T554" i="15" s="1"/>
  <c r="Q554" i="15"/>
  <c r="R554" i="15" s="1"/>
  <c r="P554" i="15"/>
  <c r="R553" i="15"/>
  <c r="S553" i="15" s="1"/>
  <c r="T553" i="15" s="1"/>
  <c r="P553" i="15"/>
  <c r="Q553" i="15" s="1"/>
  <c r="T552" i="15"/>
  <c r="Q552" i="15"/>
  <c r="R552" i="15" s="1"/>
  <c r="S552" i="15" s="1"/>
  <c r="P552" i="15"/>
  <c r="Q551" i="15"/>
  <c r="R551" i="15" s="1"/>
  <c r="S551" i="15" s="1"/>
  <c r="T551" i="15" s="1"/>
  <c r="P551" i="15"/>
  <c r="S550" i="15"/>
  <c r="T550" i="15" s="1"/>
  <c r="Q550" i="15"/>
  <c r="R550" i="15" s="1"/>
  <c r="P550" i="15"/>
  <c r="R549" i="15"/>
  <c r="S549" i="15" s="1"/>
  <c r="T549" i="15" s="1"/>
  <c r="P549" i="15"/>
  <c r="Q549" i="15" s="1"/>
  <c r="T548" i="15"/>
  <c r="Q548" i="15"/>
  <c r="R548" i="15" s="1"/>
  <c r="S548" i="15" s="1"/>
  <c r="P548" i="15"/>
  <c r="Q547" i="15"/>
  <c r="R547" i="15" s="1"/>
  <c r="S547" i="15" s="1"/>
  <c r="T547" i="15" s="1"/>
  <c r="P547" i="15"/>
  <c r="S546" i="15"/>
  <c r="T546" i="15" s="1"/>
  <c r="Q546" i="15"/>
  <c r="R546" i="15" s="1"/>
  <c r="P546" i="15"/>
  <c r="R545" i="15"/>
  <c r="S545" i="15" s="1"/>
  <c r="T545" i="15" s="1"/>
  <c r="P545" i="15"/>
  <c r="Q545" i="15" s="1"/>
  <c r="T544" i="15"/>
  <c r="Q544" i="15"/>
  <c r="R544" i="15" s="1"/>
  <c r="S544" i="15" s="1"/>
  <c r="P544" i="15"/>
  <c r="Q543" i="15"/>
  <c r="R543" i="15" s="1"/>
  <c r="S543" i="15" s="1"/>
  <c r="T543" i="15" s="1"/>
  <c r="P543" i="15"/>
  <c r="S542" i="15"/>
  <c r="T542" i="15" s="1"/>
  <c r="Q542" i="15"/>
  <c r="R542" i="15" s="1"/>
  <c r="P542" i="15"/>
  <c r="R541" i="15"/>
  <c r="S541" i="15" s="1"/>
  <c r="T541" i="15" s="1"/>
  <c r="P541" i="15"/>
  <c r="Q541" i="15" s="1"/>
  <c r="T540" i="15"/>
  <c r="Q540" i="15"/>
  <c r="R540" i="15" s="1"/>
  <c r="S540" i="15" s="1"/>
  <c r="P540" i="15"/>
  <c r="Q539" i="15"/>
  <c r="R539" i="15" s="1"/>
  <c r="S539" i="15" s="1"/>
  <c r="T539" i="15" s="1"/>
  <c r="P539" i="15"/>
  <c r="S538" i="15"/>
  <c r="T538" i="15" s="1"/>
  <c r="Q538" i="15"/>
  <c r="R538" i="15" s="1"/>
  <c r="P538" i="15"/>
  <c r="R537" i="15"/>
  <c r="S537" i="15" s="1"/>
  <c r="T537" i="15" s="1"/>
  <c r="P537" i="15"/>
  <c r="Q537" i="15" s="1"/>
  <c r="T536" i="15"/>
  <c r="Q536" i="15"/>
  <c r="R536" i="15" s="1"/>
  <c r="S536" i="15" s="1"/>
  <c r="P536" i="15"/>
  <c r="Q535" i="15"/>
  <c r="R535" i="15" s="1"/>
  <c r="S535" i="15" s="1"/>
  <c r="T535" i="15" s="1"/>
  <c r="P535" i="15"/>
  <c r="S534" i="15"/>
  <c r="T534" i="15" s="1"/>
  <c r="Q534" i="15"/>
  <c r="R534" i="15" s="1"/>
  <c r="P534" i="15"/>
  <c r="R533" i="15"/>
  <c r="S533" i="15" s="1"/>
  <c r="T533" i="15" s="1"/>
  <c r="P533" i="15"/>
  <c r="Q533" i="15" s="1"/>
  <c r="T532" i="15"/>
  <c r="Q532" i="15"/>
  <c r="R532" i="15" s="1"/>
  <c r="S532" i="15" s="1"/>
  <c r="P532" i="15"/>
  <c r="Q531" i="15"/>
  <c r="R531" i="15" s="1"/>
  <c r="S531" i="15" s="1"/>
  <c r="T531" i="15" s="1"/>
  <c r="P531" i="15"/>
  <c r="S530" i="15"/>
  <c r="T530" i="15" s="1"/>
  <c r="Q530" i="15"/>
  <c r="R530" i="15" s="1"/>
  <c r="P530" i="15"/>
  <c r="R529" i="15"/>
  <c r="S529" i="15" s="1"/>
  <c r="T529" i="15" s="1"/>
  <c r="P529" i="15"/>
  <c r="Q529" i="15" s="1"/>
  <c r="T528" i="15"/>
  <c r="Q528" i="15"/>
  <c r="R528" i="15" s="1"/>
  <c r="S528" i="15" s="1"/>
  <c r="P528" i="15"/>
  <c r="Q527" i="15"/>
  <c r="R527" i="15" s="1"/>
  <c r="S527" i="15" s="1"/>
  <c r="T527" i="15" s="1"/>
  <c r="P527" i="15"/>
  <c r="S526" i="15"/>
  <c r="T526" i="15" s="1"/>
  <c r="Q526" i="15"/>
  <c r="R526" i="15" s="1"/>
  <c r="P526" i="15"/>
  <c r="R525" i="15"/>
  <c r="S525" i="15" s="1"/>
  <c r="T525" i="15" s="1"/>
  <c r="P525" i="15"/>
  <c r="Q525" i="15" s="1"/>
  <c r="T524" i="15"/>
  <c r="Q524" i="15"/>
  <c r="R524" i="15" s="1"/>
  <c r="S524" i="15" s="1"/>
  <c r="P524" i="15"/>
  <c r="Q523" i="15"/>
  <c r="R523" i="15" s="1"/>
  <c r="S523" i="15" s="1"/>
  <c r="T523" i="15" s="1"/>
  <c r="P523" i="15"/>
  <c r="S522" i="15"/>
  <c r="T522" i="15" s="1"/>
  <c r="Q522" i="15"/>
  <c r="R522" i="15" s="1"/>
  <c r="P522" i="15"/>
  <c r="R521" i="15"/>
  <c r="S521" i="15" s="1"/>
  <c r="T521" i="15" s="1"/>
  <c r="P521" i="15"/>
  <c r="Q521" i="15" s="1"/>
  <c r="T520" i="15"/>
  <c r="Q520" i="15"/>
  <c r="R520" i="15" s="1"/>
  <c r="S520" i="15" s="1"/>
  <c r="P520" i="15"/>
  <c r="Q519" i="15"/>
  <c r="R519" i="15" s="1"/>
  <c r="S519" i="15" s="1"/>
  <c r="T519" i="15" s="1"/>
  <c r="P519" i="15"/>
  <c r="S518" i="15"/>
  <c r="T518" i="15" s="1"/>
  <c r="Q518" i="15"/>
  <c r="R518" i="15" s="1"/>
  <c r="P518" i="15"/>
  <c r="R517" i="15"/>
  <c r="S517" i="15" s="1"/>
  <c r="T517" i="15" s="1"/>
  <c r="P517" i="15"/>
  <c r="Q517" i="15" s="1"/>
  <c r="T516" i="15"/>
  <c r="Q516" i="15"/>
  <c r="R516" i="15" s="1"/>
  <c r="S516" i="15" s="1"/>
  <c r="P516" i="15"/>
  <c r="Q515" i="15"/>
  <c r="R515" i="15" s="1"/>
  <c r="S515" i="15" s="1"/>
  <c r="T515" i="15" s="1"/>
  <c r="P515" i="15"/>
  <c r="S514" i="15"/>
  <c r="T514" i="15" s="1"/>
  <c r="Q514" i="15"/>
  <c r="R514" i="15" s="1"/>
  <c r="P514" i="15"/>
  <c r="R513" i="15"/>
  <c r="S513" i="15" s="1"/>
  <c r="T513" i="15" s="1"/>
  <c r="P513" i="15"/>
  <c r="Q513" i="15" s="1"/>
  <c r="T512" i="15"/>
  <c r="Q512" i="15"/>
  <c r="R512" i="15" s="1"/>
  <c r="S512" i="15" s="1"/>
  <c r="P512" i="15"/>
  <c r="Q511" i="15"/>
  <c r="R511" i="15" s="1"/>
  <c r="S511" i="15" s="1"/>
  <c r="T511" i="15" s="1"/>
  <c r="P511" i="15"/>
  <c r="S510" i="15"/>
  <c r="T510" i="15" s="1"/>
  <c r="Q510" i="15"/>
  <c r="R510" i="15" s="1"/>
  <c r="P510" i="15"/>
  <c r="R509" i="15"/>
  <c r="S509" i="15" s="1"/>
  <c r="T509" i="15" s="1"/>
  <c r="P509" i="15"/>
  <c r="Q509" i="15" s="1"/>
  <c r="T508" i="15"/>
  <c r="Q508" i="15"/>
  <c r="R508" i="15" s="1"/>
  <c r="S508" i="15" s="1"/>
  <c r="P508" i="15"/>
  <c r="Q507" i="15"/>
  <c r="R507" i="15" s="1"/>
  <c r="S507" i="15" s="1"/>
  <c r="T507" i="15" s="1"/>
  <c r="P507" i="15"/>
  <c r="S506" i="15"/>
  <c r="T506" i="15" s="1"/>
  <c r="Q506" i="15"/>
  <c r="R506" i="15" s="1"/>
  <c r="P506" i="15"/>
  <c r="R505" i="15"/>
  <c r="S505" i="15" s="1"/>
  <c r="T505" i="15" s="1"/>
  <c r="P505" i="15"/>
  <c r="Q505" i="15" s="1"/>
  <c r="T504" i="15"/>
  <c r="Q504" i="15"/>
  <c r="R504" i="15" s="1"/>
  <c r="S504" i="15" s="1"/>
  <c r="P504" i="15"/>
  <c r="Q503" i="15"/>
  <c r="R503" i="15" s="1"/>
  <c r="S503" i="15" s="1"/>
  <c r="T503" i="15" s="1"/>
  <c r="P503" i="15"/>
  <c r="S502" i="15"/>
  <c r="T502" i="15" s="1"/>
  <c r="Q502" i="15"/>
  <c r="R502" i="15" s="1"/>
  <c r="P502" i="15"/>
  <c r="R501" i="15"/>
  <c r="S501" i="15" s="1"/>
  <c r="T501" i="15" s="1"/>
  <c r="P501" i="15"/>
  <c r="Q501" i="15" s="1"/>
  <c r="T500" i="15"/>
  <c r="Q500" i="15"/>
  <c r="R500" i="15" s="1"/>
  <c r="S500" i="15" s="1"/>
  <c r="P500" i="15"/>
  <c r="Q499" i="15"/>
  <c r="R499" i="15" s="1"/>
  <c r="S499" i="15" s="1"/>
  <c r="T499" i="15" s="1"/>
  <c r="P499" i="15"/>
  <c r="S498" i="15"/>
  <c r="T498" i="15" s="1"/>
  <c r="Q498" i="15"/>
  <c r="R498" i="15" s="1"/>
  <c r="P498" i="15"/>
  <c r="R497" i="15"/>
  <c r="S497" i="15" s="1"/>
  <c r="T497" i="15" s="1"/>
  <c r="P497" i="15"/>
  <c r="Q497" i="15" s="1"/>
  <c r="T496" i="15"/>
  <c r="Q496" i="15"/>
  <c r="R496" i="15" s="1"/>
  <c r="S496" i="15" s="1"/>
  <c r="P496" i="15"/>
  <c r="Q495" i="15"/>
  <c r="R495" i="15" s="1"/>
  <c r="S495" i="15" s="1"/>
  <c r="T495" i="15" s="1"/>
  <c r="P495" i="15"/>
  <c r="S494" i="15"/>
  <c r="T494" i="15" s="1"/>
  <c r="Q494" i="15"/>
  <c r="R494" i="15" s="1"/>
  <c r="P494" i="15"/>
  <c r="R493" i="15"/>
  <c r="S493" i="15" s="1"/>
  <c r="T493" i="15" s="1"/>
  <c r="P493" i="15"/>
  <c r="Q493" i="15" s="1"/>
  <c r="T492" i="15"/>
  <c r="Q492" i="15"/>
  <c r="R492" i="15" s="1"/>
  <c r="S492" i="15" s="1"/>
  <c r="P492" i="15"/>
  <c r="Q491" i="15"/>
  <c r="R491" i="15" s="1"/>
  <c r="S491" i="15" s="1"/>
  <c r="T491" i="15" s="1"/>
  <c r="P491" i="15"/>
  <c r="S490" i="15"/>
  <c r="T490" i="15" s="1"/>
  <c r="Q490" i="15"/>
  <c r="R490" i="15" s="1"/>
  <c r="P490" i="15"/>
  <c r="R489" i="15"/>
  <c r="S489" i="15" s="1"/>
  <c r="T489" i="15" s="1"/>
  <c r="P489" i="15"/>
  <c r="Q489" i="15" s="1"/>
  <c r="T488" i="15"/>
  <c r="Q488" i="15"/>
  <c r="R488" i="15" s="1"/>
  <c r="S488" i="15" s="1"/>
  <c r="P488" i="15"/>
  <c r="Q487" i="15"/>
  <c r="R487" i="15" s="1"/>
  <c r="S487" i="15" s="1"/>
  <c r="T487" i="15" s="1"/>
  <c r="P487" i="15"/>
  <c r="S486" i="15"/>
  <c r="T486" i="15" s="1"/>
  <c r="Q486" i="15"/>
  <c r="R486" i="15" s="1"/>
  <c r="P486" i="15"/>
  <c r="R485" i="15"/>
  <c r="S485" i="15" s="1"/>
  <c r="T485" i="15" s="1"/>
  <c r="P485" i="15"/>
  <c r="Q485" i="15" s="1"/>
  <c r="T484" i="15"/>
  <c r="Q484" i="15"/>
  <c r="R484" i="15" s="1"/>
  <c r="S484" i="15" s="1"/>
  <c r="P484" i="15"/>
  <c r="Q483" i="15"/>
  <c r="R483" i="15" s="1"/>
  <c r="S483" i="15" s="1"/>
  <c r="T483" i="15" s="1"/>
  <c r="P483" i="15"/>
  <c r="S482" i="15"/>
  <c r="T482" i="15" s="1"/>
  <c r="Q482" i="15"/>
  <c r="R482" i="15" s="1"/>
  <c r="P482" i="15"/>
  <c r="R481" i="15"/>
  <c r="S481" i="15" s="1"/>
  <c r="T481" i="15" s="1"/>
  <c r="P481" i="15"/>
  <c r="Q481" i="15" s="1"/>
  <c r="T480" i="15"/>
  <c r="Q480" i="15"/>
  <c r="R480" i="15" s="1"/>
  <c r="S480" i="15" s="1"/>
  <c r="P480" i="15"/>
  <c r="Q479" i="15"/>
  <c r="R479" i="15" s="1"/>
  <c r="S479" i="15" s="1"/>
  <c r="T479" i="15" s="1"/>
  <c r="P479" i="15"/>
  <c r="S478" i="15"/>
  <c r="T478" i="15" s="1"/>
  <c r="Q478" i="15"/>
  <c r="R478" i="15" s="1"/>
  <c r="P478" i="15"/>
  <c r="R477" i="15"/>
  <c r="S477" i="15" s="1"/>
  <c r="T477" i="15" s="1"/>
  <c r="P477" i="15"/>
  <c r="Q477" i="15" s="1"/>
  <c r="T476" i="15"/>
  <c r="Q476" i="15"/>
  <c r="R476" i="15" s="1"/>
  <c r="S476" i="15" s="1"/>
  <c r="P476" i="15"/>
  <c r="Q475" i="15"/>
  <c r="R475" i="15" s="1"/>
  <c r="S475" i="15" s="1"/>
  <c r="T475" i="15" s="1"/>
  <c r="P475" i="15"/>
  <c r="S474" i="15"/>
  <c r="T474" i="15" s="1"/>
  <c r="Q474" i="15"/>
  <c r="R474" i="15" s="1"/>
  <c r="P474" i="15"/>
  <c r="R473" i="15"/>
  <c r="S473" i="15" s="1"/>
  <c r="T473" i="15" s="1"/>
  <c r="P473" i="15"/>
  <c r="Q473" i="15" s="1"/>
  <c r="T472" i="15"/>
  <c r="Q472" i="15"/>
  <c r="R472" i="15" s="1"/>
  <c r="S472" i="15" s="1"/>
  <c r="P472" i="15"/>
  <c r="Q471" i="15"/>
  <c r="R471" i="15" s="1"/>
  <c r="S471" i="15" s="1"/>
  <c r="T471" i="15" s="1"/>
  <c r="P471" i="15"/>
  <c r="S470" i="15"/>
  <c r="T470" i="15" s="1"/>
  <c r="Q470" i="15"/>
  <c r="R470" i="15" s="1"/>
  <c r="P470" i="15"/>
  <c r="R469" i="15"/>
  <c r="S469" i="15" s="1"/>
  <c r="T469" i="15" s="1"/>
  <c r="P469" i="15"/>
  <c r="Q469" i="15" s="1"/>
  <c r="T468" i="15"/>
  <c r="Q468" i="15"/>
  <c r="R468" i="15" s="1"/>
  <c r="S468" i="15" s="1"/>
  <c r="P468" i="15"/>
  <c r="Q467" i="15"/>
  <c r="R467" i="15" s="1"/>
  <c r="S467" i="15" s="1"/>
  <c r="T467" i="15" s="1"/>
  <c r="P467" i="15"/>
  <c r="S466" i="15"/>
  <c r="T466" i="15" s="1"/>
  <c r="Q466" i="15"/>
  <c r="R466" i="15" s="1"/>
  <c r="P466" i="15"/>
  <c r="R465" i="15"/>
  <c r="S465" i="15" s="1"/>
  <c r="T465" i="15" s="1"/>
  <c r="P465" i="15"/>
  <c r="Q465" i="15" s="1"/>
  <c r="T464" i="15"/>
  <c r="Q464" i="15"/>
  <c r="R464" i="15" s="1"/>
  <c r="S464" i="15" s="1"/>
  <c r="P464" i="15"/>
  <c r="Q463" i="15"/>
  <c r="R463" i="15" s="1"/>
  <c r="S463" i="15" s="1"/>
  <c r="T463" i="15" s="1"/>
  <c r="P463" i="15"/>
  <c r="S462" i="15"/>
  <c r="T462" i="15" s="1"/>
  <c r="Q462" i="15"/>
  <c r="R462" i="15" s="1"/>
  <c r="P462" i="15"/>
  <c r="R461" i="15"/>
  <c r="S461" i="15" s="1"/>
  <c r="T461" i="15" s="1"/>
  <c r="P461" i="15"/>
  <c r="Q461" i="15" s="1"/>
  <c r="T460" i="15"/>
  <c r="Q460" i="15"/>
  <c r="R460" i="15" s="1"/>
  <c r="S460" i="15" s="1"/>
  <c r="P460" i="15"/>
  <c r="Q459" i="15"/>
  <c r="R459" i="15" s="1"/>
  <c r="S459" i="15" s="1"/>
  <c r="T459" i="15" s="1"/>
  <c r="P459" i="15"/>
  <c r="S458" i="15"/>
  <c r="T458" i="15" s="1"/>
  <c r="Q458" i="15"/>
  <c r="R458" i="15" s="1"/>
  <c r="P458" i="15"/>
  <c r="R457" i="15"/>
  <c r="S457" i="15" s="1"/>
  <c r="T457" i="15" s="1"/>
  <c r="P457" i="15"/>
  <c r="Q457" i="15" s="1"/>
  <c r="T456" i="15"/>
  <c r="Q456" i="15"/>
  <c r="R456" i="15" s="1"/>
  <c r="S456" i="15" s="1"/>
  <c r="P456" i="15"/>
  <c r="Q455" i="15"/>
  <c r="R455" i="15" s="1"/>
  <c r="S455" i="15" s="1"/>
  <c r="T455" i="15" s="1"/>
  <c r="P455" i="15"/>
  <c r="S454" i="15"/>
  <c r="T454" i="15" s="1"/>
  <c r="Q454" i="15"/>
  <c r="R454" i="15" s="1"/>
  <c r="P454" i="15"/>
  <c r="R453" i="15"/>
  <c r="S453" i="15" s="1"/>
  <c r="T453" i="15" s="1"/>
  <c r="P453" i="15"/>
  <c r="Q453" i="15" s="1"/>
  <c r="T452" i="15"/>
  <c r="Q452" i="15"/>
  <c r="R452" i="15" s="1"/>
  <c r="S452" i="15" s="1"/>
  <c r="P452" i="15"/>
  <c r="Q451" i="15"/>
  <c r="R451" i="15" s="1"/>
  <c r="S451" i="15" s="1"/>
  <c r="T451" i="15" s="1"/>
  <c r="P451" i="15"/>
  <c r="S450" i="15"/>
  <c r="T450" i="15" s="1"/>
  <c r="Q450" i="15"/>
  <c r="R450" i="15" s="1"/>
  <c r="P450" i="15"/>
  <c r="R449" i="15"/>
  <c r="S449" i="15" s="1"/>
  <c r="T449" i="15" s="1"/>
  <c r="P449" i="15"/>
  <c r="Q449" i="15" s="1"/>
  <c r="T448" i="15"/>
  <c r="Q448" i="15"/>
  <c r="R448" i="15" s="1"/>
  <c r="S448" i="15" s="1"/>
  <c r="P448" i="15"/>
  <c r="Q447" i="15"/>
  <c r="R447" i="15" s="1"/>
  <c r="S447" i="15" s="1"/>
  <c r="T447" i="15" s="1"/>
  <c r="P447" i="15"/>
  <c r="S446" i="15"/>
  <c r="T446" i="15" s="1"/>
  <c r="Q446" i="15"/>
  <c r="R446" i="15" s="1"/>
  <c r="P446" i="15"/>
  <c r="R445" i="15"/>
  <c r="S445" i="15" s="1"/>
  <c r="T445" i="15" s="1"/>
  <c r="P445" i="15"/>
  <c r="Q445" i="15" s="1"/>
  <c r="T444" i="15"/>
  <c r="Q444" i="15"/>
  <c r="R444" i="15" s="1"/>
  <c r="S444" i="15" s="1"/>
  <c r="P444" i="15"/>
  <c r="Q443" i="15"/>
  <c r="R443" i="15" s="1"/>
  <c r="S443" i="15" s="1"/>
  <c r="T443" i="15" s="1"/>
  <c r="P443" i="15"/>
  <c r="S442" i="15"/>
  <c r="T442" i="15" s="1"/>
  <c r="Q442" i="15"/>
  <c r="R442" i="15" s="1"/>
  <c r="P442" i="15"/>
  <c r="R441" i="15"/>
  <c r="S441" i="15" s="1"/>
  <c r="T441" i="15" s="1"/>
  <c r="P441" i="15"/>
  <c r="Q441" i="15" s="1"/>
  <c r="T440" i="15"/>
  <c r="Q440" i="15"/>
  <c r="R440" i="15" s="1"/>
  <c r="S440" i="15" s="1"/>
  <c r="P440" i="15"/>
  <c r="Q439" i="15"/>
  <c r="R439" i="15" s="1"/>
  <c r="S439" i="15" s="1"/>
  <c r="T439" i="15" s="1"/>
  <c r="P439" i="15"/>
  <c r="S438" i="15"/>
  <c r="T438" i="15" s="1"/>
  <c r="Q438" i="15"/>
  <c r="R438" i="15" s="1"/>
  <c r="P438" i="15"/>
  <c r="R437" i="15"/>
  <c r="S437" i="15" s="1"/>
  <c r="T437" i="15" s="1"/>
  <c r="P437" i="15"/>
  <c r="Q437" i="15" s="1"/>
  <c r="T436" i="15"/>
  <c r="Q436" i="15"/>
  <c r="R436" i="15" s="1"/>
  <c r="S436" i="15" s="1"/>
  <c r="P436" i="15"/>
  <c r="Q435" i="15"/>
  <c r="R435" i="15" s="1"/>
  <c r="S435" i="15" s="1"/>
  <c r="T435" i="15" s="1"/>
  <c r="P435" i="15"/>
  <c r="S434" i="15"/>
  <c r="T434" i="15" s="1"/>
  <c r="Q434" i="15"/>
  <c r="R434" i="15" s="1"/>
  <c r="P434" i="15"/>
  <c r="R433" i="15"/>
  <c r="S433" i="15" s="1"/>
  <c r="T433" i="15" s="1"/>
  <c r="P433" i="15"/>
  <c r="Q433" i="15" s="1"/>
  <c r="T432" i="15"/>
  <c r="Q432" i="15"/>
  <c r="R432" i="15" s="1"/>
  <c r="S432" i="15" s="1"/>
  <c r="P432" i="15"/>
  <c r="Q431" i="15"/>
  <c r="R431" i="15" s="1"/>
  <c r="S431" i="15" s="1"/>
  <c r="T431" i="15" s="1"/>
  <c r="P431" i="15"/>
  <c r="S430" i="15"/>
  <c r="T430" i="15" s="1"/>
  <c r="Q430" i="15"/>
  <c r="R430" i="15" s="1"/>
  <c r="P430" i="15"/>
  <c r="R429" i="15"/>
  <c r="S429" i="15" s="1"/>
  <c r="T429" i="15" s="1"/>
  <c r="P429" i="15"/>
  <c r="Q429" i="15" s="1"/>
  <c r="T428" i="15"/>
  <c r="Q428" i="15"/>
  <c r="R428" i="15" s="1"/>
  <c r="S428" i="15" s="1"/>
  <c r="P428" i="15"/>
  <c r="Q427" i="15"/>
  <c r="R427" i="15" s="1"/>
  <c r="S427" i="15" s="1"/>
  <c r="T427" i="15" s="1"/>
  <c r="P427" i="15"/>
  <c r="S426" i="15"/>
  <c r="T426" i="15" s="1"/>
  <c r="Q426" i="15"/>
  <c r="R426" i="15" s="1"/>
  <c r="P426" i="15"/>
  <c r="R425" i="15"/>
  <c r="S425" i="15" s="1"/>
  <c r="T425" i="15" s="1"/>
  <c r="P425" i="15"/>
  <c r="Q425" i="15" s="1"/>
  <c r="T424" i="15"/>
  <c r="Q424" i="15"/>
  <c r="R424" i="15" s="1"/>
  <c r="S424" i="15" s="1"/>
  <c r="P424" i="15"/>
  <c r="Q423" i="15"/>
  <c r="R423" i="15" s="1"/>
  <c r="S423" i="15" s="1"/>
  <c r="T423" i="15" s="1"/>
  <c r="P423" i="15"/>
  <c r="S422" i="15"/>
  <c r="T422" i="15" s="1"/>
  <c r="Q422" i="15"/>
  <c r="R422" i="15" s="1"/>
  <c r="P422" i="15"/>
  <c r="R421" i="15"/>
  <c r="S421" i="15" s="1"/>
  <c r="T421" i="15" s="1"/>
  <c r="P421" i="15"/>
  <c r="Q421" i="15" s="1"/>
  <c r="T420" i="15"/>
  <c r="Q420" i="15"/>
  <c r="R420" i="15" s="1"/>
  <c r="S420" i="15" s="1"/>
  <c r="P420" i="15"/>
  <c r="Q419" i="15"/>
  <c r="R419" i="15" s="1"/>
  <c r="S419" i="15" s="1"/>
  <c r="T419" i="15" s="1"/>
  <c r="P419" i="15"/>
  <c r="S418" i="15"/>
  <c r="T418" i="15" s="1"/>
  <c r="Q418" i="15"/>
  <c r="R418" i="15" s="1"/>
  <c r="P418" i="15"/>
  <c r="R417" i="15"/>
  <c r="S417" i="15" s="1"/>
  <c r="T417" i="15" s="1"/>
  <c r="P417" i="15"/>
  <c r="Q417" i="15" s="1"/>
  <c r="T416" i="15"/>
  <c r="Q416" i="15"/>
  <c r="R416" i="15" s="1"/>
  <c r="S416" i="15" s="1"/>
  <c r="P416" i="15"/>
  <c r="Q415" i="15"/>
  <c r="R415" i="15" s="1"/>
  <c r="S415" i="15" s="1"/>
  <c r="T415" i="15" s="1"/>
  <c r="P415" i="15"/>
  <c r="S414" i="15"/>
  <c r="T414" i="15" s="1"/>
  <c r="Q414" i="15"/>
  <c r="R414" i="15" s="1"/>
  <c r="P414" i="15"/>
  <c r="R413" i="15"/>
  <c r="S413" i="15" s="1"/>
  <c r="T413" i="15" s="1"/>
  <c r="P413" i="15"/>
  <c r="Q413" i="15" s="1"/>
  <c r="T412" i="15"/>
  <c r="Q412" i="15"/>
  <c r="R412" i="15" s="1"/>
  <c r="S412" i="15" s="1"/>
  <c r="P412" i="15"/>
  <c r="Q411" i="15"/>
  <c r="R411" i="15" s="1"/>
  <c r="S411" i="15" s="1"/>
  <c r="T411" i="15" s="1"/>
  <c r="P411" i="15"/>
  <c r="S410" i="15"/>
  <c r="T410" i="15" s="1"/>
  <c r="Q410" i="15"/>
  <c r="R410" i="15" s="1"/>
  <c r="P410" i="15"/>
  <c r="R409" i="15"/>
  <c r="S409" i="15" s="1"/>
  <c r="T409" i="15" s="1"/>
  <c r="P409" i="15"/>
  <c r="Q409" i="15" s="1"/>
  <c r="T408" i="15"/>
  <c r="Q408" i="15"/>
  <c r="R408" i="15" s="1"/>
  <c r="S408" i="15" s="1"/>
  <c r="P408" i="15"/>
  <c r="Q407" i="15"/>
  <c r="R407" i="15" s="1"/>
  <c r="S407" i="15" s="1"/>
  <c r="T407" i="15" s="1"/>
  <c r="P407" i="15"/>
  <c r="S406" i="15"/>
  <c r="T406" i="15" s="1"/>
  <c r="Q406" i="15"/>
  <c r="R406" i="15" s="1"/>
  <c r="P406" i="15"/>
  <c r="R405" i="15"/>
  <c r="S405" i="15" s="1"/>
  <c r="T405" i="15" s="1"/>
  <c r="P405" i="15"/>
  <c r="Q405" i="15" s="1"/>
  <c r="T404" i="15"/>
  <c r="Q404" i="15"/>
  <c r="R404" i="15" s="1"/>
  <c r="S404" i="15" s="1"/>
  <c r="P404" i="15"/>
  <c r="Q403" i="15"/>
  <c r="R403" i="15" s="1"/>
  <c r="S403" i="15" s="1"/>
  <c r="T403" i="15" s="1"/>
  <c r="P403" i="15"/>
  <c r="S402" i="15"/>
  <c r="T402" i="15" s="1"/>
  <c r="Q402" i="15"/>
  <c r="R402" i="15" s="1"/>
  <c r="P402" i="15"/>
  <c r="R401" i="15"/>
  <c r="S401" i="15" s="1"/>
  <c r="T401" i="15" s="1"/>
  <c r="P401" i="15"/>
  <c r="Q401" i="15" s="1"/>
  <c r="T400" i="15"/>
  <c r="Q400" i="15"/>
  <c r="R400" i="15" s="1"/>
  <c r="S400" i="15" s="1"/>
  <c r="P400" i="15"/>
  <c r="Q399" i="15"/>
  <c r="R399" i="15" s="1"/>
  <c r="S399" i="15" s="1"/>
  <c r="T399" i="15" s="1"/>
  <c r="P399" i="15"/>
  <c r="S398" i="15"/>
  <c r="T398" i="15" s="1"/>
  <c r="Q398" i="15"/>
  <c r="R398" i="15" s="1"/>
  <c r="P398" i="15"/>
  <c r="R397" i="15"/>
  <c r="S397" i="15" s="1"/>
  <c r="T397" i="15" s="1"/>
  <c r="P397" i="15"/>
  <c r="Q397" i="15" s="1"/>
  <c r="T396" i="15"/>
  <c r="Q396" i="15"/>
  <c r="R396" i="15" s="1"/>
  <c r="S396" i="15" s="1"/>
  <c r="P396" i="15"/>
  <c r="Q395" i="15"/>
  <c r="R395" i="15" s="1"/>
  <c r="S395" i="15" s="1"/>
  <c r="T395" i="15" s="1"/>
  <c r="P395" i="15"/>
  <c r="S394" i="15"/>
  <c r="T394" i="15" s="1"/>
  <c r="Q394" i="15"/>
  <c r="R394" i="15" s="1"/>
  <c r="P394" i="15"/>
  <c r="R393" i="15"/>
  <c r="S393" i="15" s="1"/>
  <c r="T393" i="15" s="1"/>
  <c r="P393" i="15"/>
  <c r="Q393" i="15" s="1"/>
  <c r="T392" i="15"/>
  <c r="Q392" i="15"/>
  <c r="R392" i="15" s="1"/>
  <c r="S392" i="15" s="1"/>
  <c r="P392" i="15"/>
  <c r="Q391" i="15"/>
  <c r="R391" i="15" s="1"/>
  <c r="S391" i="15" s="1"/>
  <c r="T391" i="15" s="1"/>
  <c r="P391" i="15"/>
  <c r="S390" i="15"/>
  <c r="T390" i="15" s="1"/>
  <c r="Q390" i="15"/>
  <c r="R390" i="15" s="1"/>
  <c r="P390" i="15"/>
  <c r="R389" i="15"/>
  <c r="S389" i="15" s="1"/>
  <c r="T389" i="15" s="1"/>
  <c r="P389" i="15"/>
  <c r="Q389" i="15" s="1"/>
  <c r="T388" i="15"/>
  <c r="Q388" i="15"/>
  <c r="R388" i="15" s="1"/>
  <c r="S388" i="15" s="1"/>
  <c r="P388" i="15"/>
  <c r="Q387" i="15"/>
  <c r="R387" i="15" s="1"/>
  <c r="S387" i="15" s="1"/>
  <c r="T387" i="15" s="1"/>
  <c r="P387" i="15"/>
  <c r="S386" i="15"/>
  <c r="T386" i="15" s="1"/>
  <c r="Q386" i="15"/>
  <c r="R386" i="15" s="1"/>
  <c r="P386" i="15"/>
  <c r="R385" i="15"/>
  <c r="S385" i="15" s="1"/>
  <c r="T385" i="15" s="1"/>
  <c r="P385" i="15"/>
  <c r="Q385" i="15" s="1"/>
  <c r="T384" i="15"/>
  <c r="Q384" i="15"/>
  <c r="R384" i="15" s="1"/>
  <c r="S384" i="15" s="1"/>
  <c r="P384" i="15"/>
  <c r="Q383" i="15"/>
  <c r="R383" i="15" s="1"/>
  <c r="S383" i="15" s="1"/>
  <c r="T383" i="15" s="1"/>
  <c r="P383" i="15"/>
  <c r="S382" i="15"/>
  <c r="T382" i="15" s="1"/>
  <c r="Q382" i="15"/>
  <c r="R382" i="15" s="1"/>
  <c r="P382" i="15"/>
  <c r="R381" i="15"/>
  <c r="S381" i="15" s="1"/>
  <c r="T381" i="15" s="1"/>
  <c r="P381" i="15"/>
  <c r="Q381" i="15" s="1"/>
  <c r="T380" i="15"/>
  <c r="Q380" i="15"/>
  <c r="R380" i="15" s="1"/>
  <c r="S380" i="15" s="1"/>
  <c r="P380" i="15"/>
  <c r="Q379" i="15"/>
  <c r="R379" i="15" s="1"/>
  <c r="S379" i="15" s="1"/>
  <c r="T379" i="15" s="1"/>
  <c r="P379" i="15"/>
  <c r="S378" i="15"/>
  <c r="T378" i="15" s="1"/>
  <c r="Q378" i="15"/>
  <c r="R378" i="15" s="1"/>
  <c r="P378" i="15"/>
  <c r="R377" i="15"/>
  <c r="S377" i="15" s="1"/>
  <c r="T377" i="15" s="1"/>
  <c r="P377" i="15"/>
  <c r="Q377" i="15" s="1"/>
  <c r="T376" i="15"/>
  <c r="Q376" i="15"/>
  <c r="R376" i="15" s="1"/>
  <c r="S376" i="15" s="1"/>
  <c r="P376" i="15"/>
  <c r="Q375" i="15"/>
  <c r="R375" i="15" s="1"/>
  <c r="S375" i="15" s="1"/>
  <c r="T375" i="15" s="1"/>
  <c r="P375" i="15"/>
  <c r="S374" i="15"/>
  <c r="T374" i="15" s="1"/>
  <c r="Q374" i="15"/>
  <c r="R374" i="15" s="1"/>
  <c r="P374" i="15"/>
  <c r="R373" i="15"/>
  <c r="S373" i="15" s="1"/>
  <c r="T373" i="15" s="1"/>
  <c r="P373" i="15"/>
  <c r="Q373" i="15" s="1"/>
  <c r="T372" i="15"/>
  <c r="Q372" i="15"/>
  <c r="R372" i="15" s="1"/>
  <c r="S372" i="15" s="1"/>
  <c r="P372" i="15"/>
  <c r="Q371" i="15"/>
  <c r="R371" i="15" s="1"/>
  <c r="S371" i="15" s="1"/>
  <c r="T371" i="15" s="1"/>
  <c r="P371" i="15"/>
  <c r="S370" i="15"/>
  <c r="T370" i="15" s="1"/>
  <c r="Q370" i="15"/>
  <c r="R370" i="15" s="1"/>
  <c r="P370" i="15"/>
  <c r="R369" i="15"/>
  <c r="S369" i="15" s="1"/>
  <c r="T369" i="15" s="1"/>
  <c r="P369" i="15"/>
  <c r="Q369" i="15" s="1"/>
  <c r="T368" i="15"/>
  <c r="Q368" i="15"/>
  <c r="R368" i="15" s="1"/>
  <c r="S368" i="15" s="1"/>
  <c r="P368" i="15"/>
  <c r="Q367" i="15"/>
  <c r="R367" i="15" s="1"/>
  <c r="S367" i="15" s="1"/>
  <c r="T367" i="15" s="1"/>
  <c r="P367" i="15"/>
  <c r="S366" i="15"/>
  <c r="T366" i="15" s="1"/>
  <c r="Q366" i="15"/>
  <c r="R366" i="15" s="1"/>
  <c r="P366" i="15"/>
  <c r="R365" i="15"/>
  <c r="S365" i="15" s="1"/>
  <c r="T365" i="15" s="1"/>
  <c r="P365" i="15"/>
  <c r="Q365" i="15" s="1"/>
  <c r="T364" i="15"/>
  <c r="Q364" i="15"/>
  <c r="R364" i="15" s="1"/>
  <c r="S364" i="15" s="1"/>
  <c r="P364" i="15"/>
  <c r="Q363" i="15"/>
  <c r="R363" i="15" s="1"/>
  <c r="S363" i="15" s="1"/>
  <c r="T363" i="15" s="1"/>
  <c r="P363" i="15"/>
  <c r="S362" i="15"/>
  <c r="T362" i="15" s="1"/>
  <c r="Q362" i="15"/>
  <c r="R362" i="15" s="1"/>
  <c r="P362" i="15"/>
  <c r="R361" i="15"/>
  <c r="S361" i="15" s="1"/>
  <c r="T361" i="15" s="1"/>
  <c r="P361" i="15"/>
  <c r="Q361" i="15" s="1"/>
  <c r="T360" i="15"/>
  <c r="Q360" i="15"/>
  <c r="R360" i="15" s="1"/>
  <c r="S360" i="15" s="1"/>
  <c r="P360" i="15"/>
  <c r="Q359" i="15"/>
  <c r="R359" i="15" s="1"/>
  <c r="S359" i="15" s="1"/>
  <c r="T359" i="15" s="1"/>
  <c r="P359" i="15"/>
  <c r="S358" i="15"/>
  <c r="T358" i="15" s="1"/>
  <c r="Q358" i="15"/>
  <c r="R358" i="15" s="1"/>
  <c r="P358" i="15"/>
  <c r="R357" i="15"/>
  <c r="S357" i="15" s="1"/>
  <c r="T357" i="15" s="1"/>
  <c r="P357" i="15"/>
  <c r="Q357" i="15" s="1"/>
  <c r="T356" i="15"/>
  <c r="Q356" i="15"/>
  <c r="R356" i="15" s="1"/>
  <c r="S356" i="15" s="1"/>
  <c r="P356" i="15"/>
  <c r="Q355" i="15"/>
  <c r="R355" i="15" s="1"/>
  <c r="S355" i="15" s="1"/>
  <c r="T355" i="15" s="1"/>
  <c r="P355" i="15"/>
  <c r="S354" i="15"/>
  <c r="T354" i="15" s="1"/>
  <c r="Q354" i="15"/>
  <c r="R354" i="15" s="1"/>
  <c r="P354" i="15"/>
  <c r="R353" i="15"/>
  <c r="S353" i="15" s="1"/>
  <c r="T353" i="15" s="1"/>
  <c r="P353" i="15"/>
  <c r="Q353" i="15" s="1"/>
  <c r="T352" i="15"/>
  <c r="Q352" i="15"/>
  <c r="R352" i="15" s="1"/>
  <c r="S352" i="15" s="1"/>
  <c r="P352" i="15"/>
  <c r="Q351" i="15"/>
  <c r="R351" i="15" s="1"/>
  <c r="S351" i="15" s="1"/>
  <c r="T351" i="15" s="1"/>
  <c r="P351" i="15"/>
  <c r="S350" i="15"/>
  <c r="T350" i="15" s="1"/>
  <c r="Q350" i="15"/>
  <c r="R350" i="15" s="1"/>
  <c r="P350" i="15"/>
  <c r="R349" i="15"/>
  <c r="S349" i="15" s="1"/>
  <c r="T349" i="15" s="1"/>
  <c r="P349" i="15"/>
  <c r="Q349" i="15" s="1"/>
  <c r="T348" i="15"/>
  <c r="Q348" i="15"/>
  <c r="R348" i="15" s="1"/>
  <c r="S348" i="15" s="1"/>
  <c r="P348" i="15"/>
  <c r="Q347" i="15"/>
  <c r="R347" i="15" s="1"/>
  <c r="S347" i="15" s="1"/>
  <c r="T347" i="15" s="1"/>
  <c r="P347" i="15"/>
  <c r="S346" i="15"/>
  <c r="T346" i="15" s="1"/>
  <c r="Q346" i="15"/>
  <c r="R346" i="15" s="1"/>
  <c r="P346" i="15"/>
  <c r="R345" i="15"/>
  <c r="S345" i="15" s="1"/>
  <c r="T345" i="15" s="1"/>
  <c r="P345" i="15"/>
  <c r="Q345" i="15" s="1"/>
  <c r="T344" i="15"/>
  <c r="Q344" i="15"/>
  <c r="R344" i="15" s="1"/>
  <c r="S344" i="15" s="1"/>
  <c r="P344" i="15"/>
  <c r="Q343" i="15"/>
  <c r="R343" i="15" s="1"/>
  <c r="S343" i="15" s="1"/>
  <c r="T343" i="15" s="1"/>
  <c r="P343" i="15"/>
  <c r="S342" i="15"/>
  <c r="T342" i="15" s="1"/>
  <c r="Q342" i="15"/>
  <c r="R342" i="15" s="1"/>
  <c r="P342" i="15"/>
  <c r="R341" i="15"/>
  <c r="S341" i="15" s="1"/>
  <c r="T341" i="15" s="1"/>
  <c r="P341" i="15"/>
  <c r="Q341" i="15" s="1"/>
  <c r="T340" i="15"/>
  <c r="Q340" i="15"/>
  <c r="R340" i="15" s="1"/>
  <c r="S340" i="15" s="1"/>
  <c r="P340" i="15"/>
  <c r="Q339" i="15"/>
  <c r="R339" i="15" s="1"/>
  <c r="S339" i="15" s="1"/>
  <c r="T339" i="15" s="1"/>
  <c r="P339" i="15"/>
  <c r="S338" i="15"/>
  <c r="T338" i="15" s="1"/>
  <c r="Q338" i="15"/>
  <c r="R338" i="15" s="1"/>
  <c r="P338" i="15"/>
  <c r="R337" i="15"/>
  <c r="S337" i="15" s="1"/>
  <c r="T337" i="15" s="1"/>
  <c r="P337" i="15"/>
  <c r="Q337" i="15" s="1"/>
  <c r="T336" i="15"/>
  <c r="Q336" i="15"/>
  <c r="R336" i="15" s="1"/>
  <c r="S336" i="15" s="1"/>
  <c r="P336" i="15"/>
  <c r="Q335" i="15"/>
  <c r="R335" i="15" s="1"/>
  <c r="S335" i="15" s="1"/>
  <c r="T335" i="15" s="1"/>
  <c r="P335" i="15"/>
  <c r="S334" i="15"/>
  <c r="T334" i="15" s="1"/>
  <c r="Q334" i="15"/>
  <c r="R334" i="15" s="1"/>
  <c r="P334" i="15"/>
  <c r="R333" i="15"/>
  <c r="S333" i="15" s="1"/>
  <c r="T333" i="15" s="1"/>
  <c r="P333" i="15"/>
  <c r="Q333" i="15" s="1"/>
  <c r="T332" i="15"/>
  <c r="Q332" i="15"/>
  <c r="R332" i="15" s="1"/>
  <c r="S332" i="15" s="1"/>
  <c r="P332" i="15"/>
  <c r="Q331" i="15"/>
  <c r="R331" i="15" s="1"/>
  <c r="S331" i="15" s="1"/>
  <c r="T331" i="15" s="1"/>
  <c r="P331" i="15"/>
  <c r="S330" i="15"/>
  <c r="T330" i="15" s="1"/>
  <c r="Q330" i="15"/>
  <c r="R330" i="15" s="1"/>
  <c r="P330" i="15"/>
  <c r="R329" i="15"/>
  <c r="S329" i="15" s="1"/>
  <c r="T329" i="15" s="1"/>
  <c r="P329" i="15"/>
  <c r="Q329" i="15" s="1"/>
  <c r="T328" i="15"/>
  <c r="Q328" i="15"/>
  <c r="R328" i="15" s="1"/>
  <c r="S328" i="15" s="1"/>
  <c r="P328" i="15"/>
  <c r="Q327" i="15"/>
  <c r="R327" i="15" s="1"/>
  <c r="S327" i="15" s="1"/>
  <c r="T327" i="15" s="1"/>
  <c r="P327" i="15"/>
  <c r="S326" i="15"/>
  <c r="T326" i="15" s="1"/>
  <c r="Q326" i="15"/>
  <c r="R326" i="15" s="1"/>
  <c r="P326" i="15"/>
  <c r="R325" i="15"/>
  <c r="S325" i="15" s="1"/>
  <c r="T325" i="15" s="1"/>
  <c r="P325" i="15"/>
  <c r="Q325" i="15" s="1"/>
  <c r="T324" i="15"/>
  <c r="Q324" i="15"/>
  <c r="R324" i="15" s="1"/>
  <c r="S324" i="15" s="1"/>
  <c r="P324" i="15"/>
  <c r="Q323" i="15"/>
  <c r="R323" i="15" s="1"/>
  <c r="S323" i="15" s="1"/>
  <c r="T323" i="15" s="1"/>
  <c r="P323" i="15"/>
  <c r="S322" i="15"/>
  <c r="T322" i="15" s="1"/>
  <c r="Q322" i="15"/>
  <c r="R322" i="15" s="1"/>
  <c r="P322" i="15"/>
  <c r="R321" i="15"/>
  <c r="S321" i="15" s="1"/>
  <c r="T321" i="15" s="1"/>
  <c r="P321" i="15"/>
  <c r="Q321" i="15" s="1"/>
  <c r="T320" i="15"/>
  <c r="Q320" i="15"/>
  <c r="R320" i="15" s="1"/>
  <c r="S320" i="15" s="1"/>
  <c r="P320" i="15"/>
  <c r="Q319" i="15"/>
  <c r="R319" i="15" s="1"/>
  <c r="S319" i="15" s="1"/>
  <c r="T319" i="15" s="1"/>
  <c r="P319" i="15"/>
  <c r="S318" i="15"/>
  <c r="T318" i="15" s="1"/>
  <c r="Q318" i="15"/>
  <c r="R318" i="15" s="1"/>
  <c r="P318" i="15"/>
  <c r="R317" i="15"/>
  <c r="S317" i="15" s="1"/>
  <c r="T317" i="15" s="1"/>
  <c r="P317" i="15"/>
  <c r="Q317" i="15" s="1"/>
  <c r="T316" i="15"/>
  <c r="Q316" i="15"/>
  <c r="R316" i="15" s="1"/>
  <c r="S316" i="15" s="1"/>
  <c r="P316" i="15"/>
  <c r="Q315" i="15"/>
  <c r="R315" i="15" s="1"/>
  <c r="S315" i="15" s="1"/>
  <c r="T315" i="15" s="1"/>
  <c r="P315" i="15"/>
  <c r="S314" i="15"/>
  <c r="T314" i="15" s="1"/>
  <c r="Q314" i="15"/>
  <c r="R314" i="15" s="1"/>
  <c r="P314" i="15"/>
  <c r="R313" i="15"/>
  <c r="S313" i="15" s="1"/>
  <c r="T313" i="15" s="1"/>
  <c r="P313" i="15"/>
  <c r="Q313" i="15" s="1"/>
  <c r="T312" i="15"/>
  <c r="Q312" i="15"/>
  <c r="R312" i="15" s="1"/>
  <c r="S312" i="15" s="1"/>
  <c r="P312" i="15"/>
  <c r="Q311" i="15"/>
  <c r="R311" i="15" s="1"/>
  <c r="S311" i="15" s="1"/>
  <c r="T311" i="15" s="1"/>
  <c r="P311" i="15"/>
  <c r="S310" i="15"/>
  <c r="T310" i="15" s="1"/>
  <c r="Q310" i="15"/>
  <c r="R310" i="15" s="1"/>
  <c r="P310" i="15"/>
  <c r="R309" i="15"/>
  <c r="S309" i="15" s="1"/>
  <c r="T309" i="15" s="1"/>
  <c r="P309" i="15"/>
  <c r="Q309" i="15" s="1"/>
  <c r="T308" i="15"/>
  <c r="Q308" i="15"/>
  <c r="R308" i="15" s="1"/>
  <c r="S308" i="15" s="1"/>
  <c r="P308" i="15"/>
  <c r="Q307" i="15"/>
  <c r="R307" i="15" s="1"/>
  <c r="S307" i="15" s="1"/>
  <c r="T307" i="15" s="1"/>
  <c r="P307" i="15"/>
  <c r="S306" i="15"/>
  <c r="T306" i="15" s="1"/>
  <c r="Q306" i="15"/>
  <c r="R306" i="15" s="1"/>
  <c r="P306" i="15"/>
  <c r="R305" i="15"/>
  <c r="S305" i="15" s="1"/>
  <c r="T305" i="15" s="1"/>
  <c r="P305" i="15"/>
  <c r="Q305" i="15" s="1"/>
  <c r="T304" i="15"/>
  <c r="Q304" i="15"/>
  <c r="R304" i="15" s="1"/>
  <c r="S304" i="15" s="1"/>
  <c r="P304" i="15"/>
  <c r="Q303" i="15"/>
  <c r="R303" i="15" s="1"/>
  <c r="S303" i="15" s="1"/>
  <c r="T303" i="15" s="1"/>
  <c r="P303" i="15"/>
  <c r="S302" i="15"/>
  <c r="T302" i="15" s="1"/>
  <c r="Q302" i="15"/>
  <c r="R302" i="15" s="1"/>
  <c r="P302" i="15"/>
  <c r="R301" i="15"/>
  <c r="S301" i="15" s="1"/>
  <c r="T301" i="15" s="1"/>
  <c r="P301" i="15"/>
  <c r="Q301" i="15" s="1"/>
  <c r="T300" i="15"/>
  <c r="Q300" i="15"/>
  <c r="R300" i="15" s="1"/>
  <c r="S300" i="15" s="1"/>
  <c r="P300" i="15"/>
  <c r="Q299" i="15"/>
  <c r="R299" i="15" s="1"/>
  <c r="S299" i="15" s="1"/>
  <c r="T299" i="15" s="1"/>
  <c r="P299" i="15"/>
  <c r="S298" i="15"/>
  <c r="T298" i="15" s="1"/>
  <c r="Q298" i="15"/>
  <c r="R298" i="15" s="1"/>
  <c r="P298" i="15"/>
  <c r="R297" i="15"/>
  <c r="S297" i="15" s="1"/>
  <c r="T297" i="15" s="1"/>
  <c r="P297" i="15"/>
  <c r="Q297" i="15" s="1"/>
  <c r="T296" i="15"/>
  <c r="Q296" i="15"/>
  <c r="R296" i="15" s="1"/>
  <c r="S296" i="15" s="1"/>
  <c r="P296" i="15"/>
  <c r="Q295" i="15"/>
  <c r="R295" i="15" s="1"/>
  <c r="S295" i="15" s="1"/>
  <c r="T295" i="15" s="1"/>
  <c r="P295" i="15"/>
  <c r="S294" i="15"/>
  <c r="T294" i="15" s="1"/>
  <c r="Q294" i="15"/>
  <c r="R294" i="15" s="1"/>
  <c r="P294" i="15"/>
  <c r="R293" i="15"/>
  <c r="S293" i="15" s="1"/>
  <c r="T293" i="15" s="1"/>
  <c r="P293" i="15"/>
  <c r="Q293" i="15" s="1"/>
  <c r="T292" i="15"/>
  <c r="Q292" i="15"/>
  <c r="R292" i="15" s="1"/>
  <c r="S292" i="15" s="1"/>
  <c r="P292" i="15"/>
  <c r="Q291" i="15"/>
  <c r="R291" i="15" s="1"/>
  <c r="S291" i="15" s="1"/>
  <c r="T291" i="15" s="1"/>
  <c r="P291" i="15"/>
  <c r="S290" i="15"/>
  <c r="T290" i="15" s="1"/>
  <c r="Q290" i="15"/>
  <c r="R290" i="15" s="1"/>
  <c r="P290" i="15"/>
  <c r="R289" i="15"/>
  <c r="S289" i="15" s="1"/>
  <c r="T289" i="15" s="1"/>
  <c r="P289" i="15"/>
  <c r="Q289" i="15" s="1"/>
  <c r="T288" i="15"/>
  <c r="Q288" i="15"/>
  <c r="R288" i="15" s="1"/>
  <c r="S288" i="15" s="1"/>
  <c r="P288" i="15"/>
  <c r="Q287" i="15"/>
  <c r="R287" i="15" s="1"/>
  <c r="S287" i="15" s="1"/>
  <c r="T287" i="15" s="1"/>
  <c r="P287" i="15"/>
  <c r="S286" i="15"/>
  <c r="T286" i="15" s="1"/>
  <c r="Q286" i="15"/>
  <c r="R286" i="15" s="1"/>
  <c r="P286" i="15"/>
  <c r="R285" i="15"/>
  <c r="S285" i="15" s="1"/>
  <c r="T285" i="15" s="1"/>
  <c r="P285" i="15"/>
  <c r="Q285" i="15" s="1"/>
  <c r="T284" i="15"/>
  <c r="Q284" i="15"/>
  <c r="R284" i="15" s="1"/>
  <c r="S284" i="15" s="1"/>
  <c r="P284" i="15"/>
  <c r="Q283" i="15"/>
  <c r="R283" i="15" s="1"/>
  <c r="S283" i="15" s="1"/>
  <c r="T283" i="15" s="1"/>
  <c r="P283" i="15"/>
  <c r="S282" i="15"/>
  <c r="T282" i="15" s="1"/>
  <c r="Q282" i="15"/>
  <c r="R282" i="15" s="1"/>
  <c r="P282" i="15"/>
  <c r="R281" i="15"/>
  <c r="S281" i="15" s="1"/>
  <c r="T281" i="15" s="1"/>
  <c r="P281" i="15"/>
  <c r="Q281" i="15" s="1"/>
  <c r="T280" i="15"/>
  <c r="Q280" i="15"/>
  <c r="R280" i="15" s="1"/>
  <c r="S280" i="15" s="1"/>
  <c r="P280" i="15"/>
  <c r="Q279" i="15"/>
  <c r="R279" i="15" s="1"/>
  <c r="S279" i="15" s="1"/>
  <c r="T279" i="15" s="1"/>
  <c r="P279" i="15"/>
  <c r="S278" i="15"/>
  <c r="T278" i="15" s="1"/>
  <c r="Q278" i="15"/>
  <c r="R278" i="15" s="1"/>
  <c r="P278" i="15"/>
  <c r="R277" i="15"/>
  <c r="S277" i="15" s="1"/>
  <c r="T277" i="15" s="1"/>
  <c r="P277" i="15"/>
  <c r="Q277" i="15" s="1"/>
  <c r="T276" i="15"/>
  <c r="Q276" i="15"/>
  <c r="R276" i="15" s="1"/>
  <c r="S276" i="15" s="1"/>
  <c r="P276" i="15"/>
  <c r="Q275" i="15"/>
  <c r="R275" i="15" s="1"/>
  <c r="S275" i="15" s="1"/>
  <c r="T275" i="15" s="1"/>
  <c r="P275" i="15"/>
  <c r="S274" i="15"/>
  <c r="T274" i="15" s="1"/>
  <c r="Q274" i="15"/>
  <c r="R274" i="15" s="1"/>
  <c r="P274" i="15"/>
  <c r="R273" i="15"/>
  <c r="S273" i="15" s="1"/>
  <c r="T273" i="15" s="1"/>
  <c r="P273" i="15"/>
  <c r="Q273" i="15" s="1"/>
  <c r="T272" i="15"/>
  <c r="Q272" i="15"/>
  <c r="R272" i="15" s="1"/>
  <c r="S272" i="15" s="1"/>
  <c r="P272" i="15"/>
  <c r="Q271" i="15"/>
  <c r="R271" i="15" s="1"/>
  <c r="S271" i="15" s="1"/>
  <c r="T271" i="15" s="1"/>
  <c r="P271" i="15"/>
  <c r="S270" i="15"/>
  <c r="T270" i="15" s="1"/>
  <c r="Q270" i="15"/>
  <c r="R270" i="15" s="1"/>
  <c r="P270" i="15"/>
  <c r="P269" i="15"/>
  <c r="Q269" i="15" s="1"/>
  <c r="R269" i="15" s="1"/>
  <c r="S269" i="15" s="1"/>
  <c r="T269" i="15" s="1"/>
  <c r="Q268" i="15"/>
  <c r="R268" i="15" s="1"/>
  <c r="S268" i="15" s="1"/>
  <c r="T268" i="15" s="1"/>
  <c r="P268" i="15"/>
  <c r="P267" i="15"/>
  <c r="Q267" i="15" s="1"/>
  <c r="R267" i="15" s="1"/>
  <c r="S267" i="15" s="1"/>
  <c r="T267" i="15" s="1"/>
  <c r="Q266" i="15"/>
  <c r="R266" i="15" s="1"/>
  <c r="S266" i="15" s="1"/>
  <c r="T266" i="15" s="1"/>
  <c r="P266" i="15"/>
  <c r="T265" i="15"/>
  <c r="P265" i="15"/>
  <c r="Q265" i="15" s="1"/>
  <c r="R265" i="15" s="1"/>
  <c r="S265" i="15" s="1"/>
  <c r="Q264" i="15"/>
  <c r="R264" i="15" s="1"/>
  <c r="S264" i="15" s="1"/>
  <c r="T264" i="15" s="1"/>
  <c r="P264" i="15"/>
  <c r="R263" i="15"/>
  <c r="S263" i="15" s="1"/>
  <c r="T263" i="15" s="1"/>
  <c r="P263" i="15"/>
  <c r="Q263" i="15" s="1"/>
  <c r="S262" i="15"/>
  <c r="T262" i="15" s="1"/>
  <c r="Q262" i="15"/>
  <c r="R262" i="15" s="1"/>
  <c r="P262" i="15"/>
  <c r="P261" i="15"/>
  <c r="Q261" i="15" s="1"/>
  <c r="R261" i="15" s="1"/>
  <c r="S261" i="15" s="1"/>
  <c r="T261" i="15" s="1"/>
  <c r="Q260" i="15"/>
  <c r="R260" i="15" s="1"/>
  <c r="S260" i="15" s="1"/>
  <c r="T260" i="15" s="1"/>
  <c r="P260" i="15"/>
  <c r="P259" i="15"/>
  <c r="Q259" i="15" s="1"/>
  <c r="R259" i="15" s="1"/>
  <c r="S259" i="15" s="1"/>
  <c r="T259" i="15" s="1"/>
  <c r="Q258" i="15"/>
  <c r="R258" i="15" s="1"/>
  <c r="S258" i="15" s="1"/>
  <c r="T258" i="15" s="1"/>
  <c r="P258" i="15"/>
  <c r="T257" i="15"/>
  <c r="P257" i="15"/>
  <c r="Q257" i="15" s="1"/>
  <c r="R257" i="15" s="1"/>
  <c r="S257" i="15" s="1"/>
  <c r="Q256" i="15"/>
  <c r="R256" i="15" s="1"/>
  <c r="S256" i="15" s="1"/>
  <c r="T256" i="15" s="1"/>
  <c r="P256" i="15"/>
  <c r="R255" i="15"/>
  <c r="S255" i="15" s="1"/>
  <c r="T255" i="15" s="1"/>
  <c r="P255" i="15"/>
  <c r="Q255" i="15" s="1"/>
  <c r="S254" i="15"/>
  <c r="T254" i="15" s="1"/>
  <c r="Q254" i="15"/>
  <c r="R254" i="15" s="1"/>
  <c r="P254" i="15"/>
  <c r="P253" i="15"/>
  <c r="Q253" i="15" s="1"/>
  <c r="R253" i="15" s="1"/>
  <c r="S253" i="15" s="1"/>
  <c r="T253" i="15" s="1"/>
  <c r="Q252" i="15"/>
  <c r="R252" i="15" s="1"/>
  <c r="S252" i="15" s="1"/>
  <c r="T252" i="15" s="1"/>
  <c r="P252" i="15"/>
  <c r="P251" i="15"/>
  <c r="Q251" i="15" s="1"/>
  <c r="R251" i="15" s="1"/>
  <c r="S251" i="15" s="1"/>
  <c r="T251" i="15" s="1"/>
  <c r="Q250" i="15"/>
  <c r="R250" i="15" s="1"/>
  <c r="S250" i="15" s="1"/>
  <c r="T250" i="15" s="1"/>
  <c r="P250" i="15"/>
  <c r="T249" i="15"/>
  <c r="P249" i="15"/>
  <c r="Q249" i="15" s="1"/>
  <c r="R249" i="15" s="1"/>
  <c r="S249" i="15" s="1"/>
  <c r="Q248" i="15"/>
  <c r="R248" i="15" s="1"/>
  <c r="S248" i="15" s="1"/>
  <c r="T248" i="15" s="1"/>
  <c r="P248" i="15"/>
  <c r="R247" i="15"/>
  <c r="S247" i="15" s="1"/>
  <c r="T247" i="15" s="1"/>
  <c r="P247" i="15"/>
  <c r="Q247" i="15" s="1"/>
  <c r="S246" i="15"/>
  <c r="T246" i="15" s="1"/>
  <c r="Q246" i="15"/>
  <c r="R246" i="15" s="1"/>
  <c r="P246" i="15"/>
  <c r="P245" i="15"/>
  <c r="Q245" i="15" s="1"/>
  <c r="R245" i="15" s="1"/>
  <c r="S245" i="15" s="1"/>
  <c r="T245" i="15" s="1"/>
  <c r="Q244" i="15"/>
  <c r="R244" i="15" s="1"/>
  <c r="S244" i="15" s="1"/>
  <c r="T244" i="15" s="1"/>
  <c r="P244" i="15"/>
  <c r="P243" i="15"/>
  <c r="Q243" i="15" s="1"/>
  <c r="R243" i="15" s="1"/>
  <c r="S243" i="15" s="1"/>
  <c r="T243" i="15" s="1"/>
  <c r="Q242" i="15"/>
  <c r="R242" i="15" s="1"/>
  <c r="S242" i="15" s="1"/>
  <c r="T242" i="15" s="1"/>
  <c r="P242" i="15"/>
  <c r="T241" i="15"/>
  <c r="P241" i="15"/>
  <c r="Q241" i="15" s="1"/>
  <c r="R241" i="15" s="1"/>
  <c r="S241" i="15" s="1"/>
  <c r="Q240" i="15"/>
  <c r="R240" i="15" s="1"/>
  <c r="S240" i="15" s="1"/>
  <c r="T240" i="15" s="1"/>
  <c r="P240" i="15"/>
  <c r="R239" i="15"/>
  <c r="S239" i="15" s="1"/>
  <c r="T239" i="15" s="1"/>
  <c r="P239" i="15"/>
  <c r="Q239" i="15" s="1"/>
  <c r="S238" i="15"/>
  <c r="T238" i="15" s="1"/>
  <c r="Q238" i="15"/>
  <c r="R238" i="15" s="1"/>
  <c r="P238" i="15"/>
  <c r="P237" i="15"/>
  <c r="Q237" i="15" s="1"/>
  <c r="R237" i="15" s="1"/>
  <c r="S237" i="15" s="1"/>
  <c r="T237" i="15" s="1"/>
  <c r="Q236" i="15"/>
  <c r="R236" i="15" s="1"/>
  <c r="S236" i="15" s="1"/>
  <c r="T236" i="15" s="1"/>
  <c r="P236" i="15"/>
  <c r="P235" i="15"/>
  <c r="Q235" i="15" s="1"/>
  <c r="R235" i="15" s="1"/>
  <c r="S235" i="15" s="1"/>
  <c r="T235" i="15" s="1"/>
  <c r="Q234" i="15"/>
  <c r="R234" i="15" s="1"/>
  <c r="S234" i="15" s="1"/>
  <c r="T234" i="15" s="1"/>
  <c r="P234" i="15"/>
  <c r="T233" i="15"/>
  <c r="P233" i="15"/>
  <c r="Q233" i="15" s="1"/>
  <c r="R233" i="15" s="1"/>
  <c r="S233" i="15" s="1"/>
  <c r="Q232" i="15"/>
  <c r="R232" i="15" s="1"/>
  <c r="S232" i="15" s="1"/>
  <c r="T232" i="15" s="1"/>
  <c r="P232" i="15"/>
  <c r="R231" i="15"/>
  <c r="S231" i="15" s="1"/>
  <c r="T231" i="15" s="1"/>
  <c r="P231" i="15"/>
  <c r="Q231" i="15" s="1"/>
  <c r="S230" i="15"/>
  <c r="T230" i="15" s="1"/>
  <c r="Q230" i="15"/>
  <c r="R230" i="15" s="1"/>
  <c r="P230" i="15"/>
  <c r="P229" i="15"/>
  <c r="Q229" i="15" s="1"/>
  <c r="R229" i="15" s="1"/>
  <c r="S229" i="15" s="1"/>
  <c r="T229" i="15" s="1"/>
  <c r="Q228" i="15"/>
  <c r="R228" i="15" s="1"/>
  <c r="S228" i="15" s="1"/>
  <c r="T228" i="15" s="1"/>
  <c r="P228" i="15"/>
  <c r="P227" i="15"/>
  <c r="Q227" i="15" s="1"/>
  <c r="R227" i="15" s="1"/>
  <c r="S227" i="15" s="1"/>
  <c r="T227" i="15" s="1"/>
  <c r="Q226" i="15"/>
  <c r="R226" i="15" s="1"/>
  <c r="S226" i="15" s="1"/>
  <c r="T226" i="15" s="1"/>
  <c r="P226" i="15"/>
  <c r="T225" i="15"/>
  <c r="P225" i="15"/>
  <c r="Q225" i="15" s="1"/>
  <c r="R225" i="15" s="1"/>
  <c r="S225" i="15" s="1"/>
  <c r="Q224" i="15"/>
  <c r="R224" i="15" s="1"/>
  <c r="S224" i="15" s="1"/>
  <c r="T224" i="15" s="1"/>
  <c r="P224" i="15"/>
  <c r="R223" i="15"/>
  <c r="S223" i="15" s="1"/>
  <c r="T223" i="15" s="1"/>
  <c r="P223" i="15"/>
  <c r="Q223" i="15" s="1"/>
  <c r="S222" i="15"/>
  <c r="T222" i="15" s="1"/>
  <c r="Q222" i="15"/>
  <c r="R222" i="15" s="1"/>
  <c r="P222" i="15"/>
  <c r="P221" i="15"/>
  <c r="Q221" i="15" s="1"/>
  <c r="R221" i="15" s="1"/>
  <c r="S221" i="15" s="1"/>
  <c r="T221" i="15" s="1"/>
  <c r="Q220" i="15"/>
  <c r="R220" i="15" s="1"/>
  <c r="S220" i="15" s="1"/>
  <c r="T220" i="15" s="1"/>
  <c r="P220" i="15"/>
  <c r="P219" i="15"/>
  <c r="Q219" i="15" s="1"/>
  <c r="R219" i="15" s="1"/>
  <c r="S219" i="15" s="1"/>
  <c r="T219" i="15" s="1"/>
  <c r="Q218" i="15"/>
  <c r="R218" i="15" s="1"/>
  <c r="S218" i="15" s="1"/>
  <c r="T218" i="15" s="1"/>
  <c r="P218" i="15"/>
  <c r="T217" i="15"/>
  <c r="P217" i="15"/>
  <c r="Q217" i="15" s="1"/>
  <c r="R217" i="15" s="1"/>
  <c r="S217" i="15" s="1"/>
  <c r="Q216" i="15"/>
  <c r="R216" i="15" s="1"/>
  <c r="S216" i="15" s="1"/>
  <c r="T216" i="15" s="1"/>
  <c r="P216" i="15"/>
  <c r="R215" i="15"/>
  <c r="S215" i="15" s="1"/>
  <c r="T215" i="15" s="1"/>
  <c r="P215" i="15"/>
  <c r="Q215" i="15" s="1"/>
  <c r="S214" i="15"/>
  <c r="T214" i="15" s="1"/>
  <c r="Q214" i="15"/>
  <c r="R214" i="15" s="1"/>
  <c r="P214" i="15"/>
  <c r="P213" i="15"/>
  <c r="Q213" i="15" s="1"/>
  <c r="R213" i="15" s="1"/>
  <c r="S213" i="15" s="1"/>
  <c r="T213" i="15" s="1"/>
  <c r="Q212" i="15"/>
  <c r="R212" i="15" s="1"/>
  <c r="S212" i="15" s="1"/>
  <c r="T212" i="15" s="1"/>
  <c r="P212" i="15"/>
  <c r="P211" i="15"/>
  <c r="Q211" i="15" s="1"/>
  <c r="R211" i="15" s="1"/>
  <c r="S211" i="15" s="1"/>
  <c r="T211" i="15" s="1"/>
  <c r="Q210" i="15"/>
  <c r="R210" i="15" s="1"/>
  <c r="S210" i="15" s="1"/>
  <c r="T210" i="15" s="1"/>
  <c r="P210" i="15"/>
  <c r="T209" i="15"/>
  <c r="P209" i="15"/>
  <c r="Q209" i="15" s="1"/>
  <c r="R209" i="15" s="1"/>
  <c r="S209" i="15" s="1"/>
  <c r="Q208" i="15"/>
  <c r="R208" i="15" s="1"/>
  <c r="S208" i="15" s="1"/>
  <c r="T208" i="15" s="1"/>
  <c r="P208" i="15"/>
  <c r="R207" i="15"/>
  <c r="S207" i="15" s="1"/>
  <c r="T207" i="15" s="1"/>
  <c r="P207" i="15"/>
  <c r="Q207" i="15" s="1"/>
  <c r="S206" i="15"/>
  <c r="T206" i="15" s="1"/>
  <c r="Q206" i="15"/>
  <c r="R206" i="15" s="1"/>
  <c r="P206" i="15"/>
  <c r="P205" i="15"/>
  <c r="Q205" i="15" s="1"/>
  <c r="R205" i="15" s="1"/>
  <c r="S205" i="15" s="1"/>
  <c r="T205" i="15" s="1"/>
  <c r="Q204" i="15"/>
  <c r="R204" i="15" s="1"/>
  <c r="S204" i="15" s="1"/>
  <c r="T204" i="15" s="1"/>
  <c r="P204" i="15"/>
  <c r="P203" i="15"/>
  <c r="Q203" i="15" s="1"/>
  <c r="R203" i="15" s="1"/>
  <c r="S203" i="15" s="1"/>
  <c r="T203" i="15" s="1"/>
  <c r="Q202" i="15"/>
  <c r="R202" i="15" s="1"/>
  <c r="S202" i="15" s="1"/>
  <c r="T202" i="15" s="1"/>
  <c r="P202" i="15"/>
  <c r="T201" i="15"/>
  <c r="P201" i="15"/>
  <c r="Q201" i="15" s="1"/>
  <c r="R201" i="15" s="1"/>
  <c r="S201" i="15" s="1"/>
  <c r="Q200" i="15"/>
  <c r="R200" i="15" s="1"/>
  <c r="S200" i="15" s="1"/>
  <c r="T200" i="15" s="1"/>
  <c r="P200" i="15"/>
  <c r="R199" i="15"/>
  <c r="S199" i="15" s="1"/>
  <c r="T199" i="15" s="1"/>
  <c r="P199" i="15"/>
  <c r="Q199" i="15" s="1"/>
  <c r="S198" i="15"/>
  <c r="T198" i="15" s="1"/>
  <c r="Q198" i="15"/>
  <c r="R198" i="15" s="1"/>
  <c r="P198" i="15"/>
  <c r="P197" i="15"/>
  <c r="Q197" i="15" s="1"/>
  <c r="R197" i="15" s="1"/>
  <c r="S197" i="15" s="1"/>
  <c r="T197" i="15" s="1"/>
  <c r="Q196" i="15"/>
  <c r="R196" i="15" s="1"/>
  <c r="S196" i="15" s="1"/>
  <c r="T196" i="15" s="1"/>
  <c r="P196" i="15"/>
  <c r="P195" i="15"/>
  <c r="Q195" i="15" s="1"/>
  <c r="R195" i="15" s="1"/>
  <c r="S195" i="15" s="1"/>
  <c r="T195" i="15" s="1"/>
  <c r="Q194" i="15"/>
  <c r="R194" i="15" s="1"/>
  <c r="S194" i="15" s="1"/>
  <c r="T194" i="15" s="1"/>
  <c r="P194" i="15"/>
  <c r="T193" i="15"/>
  <c r="P193" i="15"/>
  <c r="Q193" i="15" s="1"/>
  <c r="R193" i="15" s="1"/>
  <c r="S193" i="15" s="1"/>
  <c r="Q192" i="15"/>
  <c r="R192" i="15" s="1"/>
  <c r="S192" i="15" s="1"/>
  <c r="T192" i="15" s="1"/>
  <c r="P192" i="15"/>
  <c r="R191" i="15"/>
  <c r="S191" i="15" s="1"/>
  <c r="T191" i="15" s="1"/>
  <c r="P191" i="15"/>
  <c r="Q191" i="15" s="1"/>
  <c r="S190" i="15"/>
  <c r="T190" i="15" s="1"/>
  <c r="Q190" i="15"/>
  <c r="R190" i="15" s="1"/>
  <c r="P190" i="15"/>
  <c r="P189" i="15"/>
  <c r="Q189" i="15" s="1"/>
  <c r="R189" i="15" s="1"/>
  <c r="S189" i="15" s="1"/>
  <c r="T189" i="15" s="1"/>
  <c r="Q188" i="15"/>
  <c r="R188" i="15" s="1"/>
  <c r="S188" i="15" s="1"/>
  <c r="T188" i="15" s="1"/>
  <c r="P188" i="15"/>
  <c r="P187" i="15"/>
  <c r="Q187" i="15" s="1"/>
  <c r="R187" i="15" s="1"/>
  <c r="S187" i="15" s="1"/>
  <c r="T187" i="15" s="1"/>
  <c r="Q186" i="15"/>
  <c r="R186" i="15" s="1"/>
  <c r="S186" i="15" s="1"/>
  <c r="T186" i="15" s="1"/>
  <c r="P186" i="15"/>
  <c r="T185" i="15"/>
  <c r="P185" i="15"/>
  <c r="Q185" i="15" s="1"/>
  <c r="R185" i="15" s="1"/>
  <c r="S185" i="15" s="1"/>
  <c r="Q184" i="15"/>
  <c r="R184" i="15" s="1"/>
  <c r="S184" i="15" s="1"/>
  <c r="T184" i="15" s="1"/>
  <c r="P184" i="15"/>
  <c r="R183" i="15"/>
  <c r="S183" i="15" s="1"/>
  <c r="T183" i="15" s="1"/>
  <c r="P183" i="15"/>
  <c r="Q183" i="15" s="1"/>
  <c r="S182" i="15"/>
  <c r="T182" i="15" s="1"/>
  <c r="Q182" i="15"/>
  <c r="R182" i="15" s="1"/>
  <c r="P182" i="15"/>
  <c r="P181" i="15"/>
  <c r="Q181" i="15" s="1"/>
  <c r="R181" i="15" s="1"/>
  <c r="S181" i="15" s="1"/>
  <c r="T181" i="15" s="1"/>
  <c r="Q180" i="15"/>
  <c r="R180" i="15" s="1"/>
  <c r="S180" i="15" s="1"/>
  <c r="T180" i="15" s="1"/>
  <c r="P180" i="15"/>
  <c r="P179" i="15"/>
  <c r="Q179" i="15" s="1"/>
  <c r="R179" i="15" s="1"/>
  <c r="S179" i="15" s="1"/>
  <c r="T179" i="15" s="1"/>
  <c r="Q178" i="15"/>
  <c r="R178" i="15" s="1"/>
  <c r="S178" i="15" s="1"/>
  <c r="T178" i="15" s="1"/>
  <c r="P178" i="15"/>
  <c r="T177" i="15"/>
  <c r="P177" i="15"/>
  <c r="Q177" i="15" s="1"/>
  <c r="R177" i="15" s="1"/>
  <c r="S177" i="15" s="1"/>
  <c r="Q176" i="15"/>
  <c r="R176" i="15" s="1"/>
  <c r="S176" i="15" s="1"/>
  <c r="T176" i="15" s="1"/>
  <c r="P176" i="15"/>
  <c r="R175" i="15"/>
  <c r="S175" i="15" s="1"/>
  <c r="T175" i="15" s="1"/>
  <c r="P175" i="15"/>
  <c r="Q175" i="15" s="1"/>
  <c r="S174" i="15"/>
  <c r="T174" i="15" s="1"/>
  <c r="Q174" i="15"/>
  <c r="R174" i="15" s="1"/>
  <c r="P174" i="15"/>
  <c r="P173" i="15"/>
  <c r="Q173" i="15" s="1"/>
  <c r="R173" i="15" s="1"/>
  <c r="S173" i="15" s="1"/>
  <c r="T173" i="15" s="1"/>
  <c r="Q172" i="15"/>
  <c r="R172" i="15" s="1"/>
  <c r="S172" i="15" s="1"/>
  <c r="T172" i="15" s="1"/>
  <c r="P172" i="15"/>
  <c r="P171" i="15"/>
  <c r="Q171" i="15" s="1"/>
  <c r="R171" i="15" s="1"/>
  <c r="S171" i="15" s="1"/>
  <c r="T171" i="15" s="1"/>
  <c r="Q170" i="15"/>
  <c r="R170" i="15" s="1"/>
  <c r="S170" i="15" s="1"/>
  <c r="T170" i="15" s="1"/>
  <c r="P170" i="15"/>
  <c r="T169" i="15"/>
  <c r="P169" i="15"/>
  <c r="Q169" i="15" s="1"/>
  <c r="R169" i="15" s="1"/>
  <c r="S169" i="15" s="1"/>
  <c r="Q168" i="15"/>
  <c r="R168" i="15" s="1"/>
  <c r="S168" i="15" s="1"/>
  <c r="T168" i="15" s="1"/>
  <c r="P168" i="15"/>
  <c r="R167" i="15"/>
  <c r="S167" i="15" s="1"/>
  <c r="T167" i="15" s="1"/>
  <c r="P167" i="15"/>
  <c r="Q167" i="15" s="1"/>
  <c r="S166" i="15"/>
  <c r="T166" i="15" s="1"/>
  <c r="Q166" i="15"/>
  <c r="R166" i="15" s="1"/>
  <c r="P166" i="15"/>
  <c r="P165" i="15"/>
  <c r="Q165" i="15" s="1"/>
  <c r="R165" i="15" s="1"/>
  <c r="S165" i="15" s="1"/>
  <c r="T165" i="15" s="1"/>
  <c r="Q164" i="15"/>
  <c r="R164" i="15" s="1"/>
  <c r="S164" i="15" s="1"/>
  <c r="T164" i="15" s="1"/>
  <c r="P164" i="15"/>
  <c r="P163" i="15"/>
  <c r="Q163" i="15" s="1"/>
  <c r="R163" i="15" s="1"/>
  <c r="S163" i="15" s="1"/>
  <c r="T163" i="15" s="1"/>
  <c r="Q162" i="15"/>
  <c r="R162" i="15" s="1"/>
  <c r="S162" i="15" s="1"/>
  <c r="T162" i="15" s="1"/>
  <c r="P162" i="15"/>
  <c r="T161" i="15"/>
  <c r="P161" i="15"/>
  <c r="Q161" i="15" s="1"/>
  <c r="R161" i="15" s="1"/>
  <c r="S161" i="15" s="1"/>
  <c r="Q160" i="15"/>
  <c r="R160" i="15" s="1"/>
  <c r="S160" i="15" s="1"/>
  <c r="T160" i="15" s="1"/>
  <c r="P160" i="15"/>
  <c r="R159" i="15"/>
  <c r="S159" i="15" s="1"/>
  <c r="T159" i="15" s="1"/>
  <c r="P159" i="15"/>
  <c r="Q159" i="15" s="1"/>
  <c r="S158" i="15"/>
  <c r="T158" i="15" s="1"/>
  <c r="Q158" i="15"/>
  <c r="R158" i="15" s="1"/>
  <c r="P158" i="15"/>
  <c r="P157" i="15"/>
  <c r="Q157" i="15" s="1"/>
  <c r="R157" i="15" s="1"/>
  <c r="S157" i="15" s="1"/>
  <c r="T157" i="15" s="1"/>
  <c r="Q156" i="15"/>
  <c r="R156" i="15" s="1"/>
  <c r="S156" i="15" s="1"/>
  <c r="T156" i="15" s="1"/>
  <c r="P156" i="15"/>
  <c r="P155" i="15"/>
  <c r="Q155" i="15" s="1"/>
  <c r="R155" i="15" s="1"/>
  <c r="S155" i="15" s="1"/>
  <c r="T155" i="15" s="1"/>
  <c r="Q154" i="15"/>
  <c r="R154" i="15" s="1"/>
  <c r="S154" i="15" s="1"/>
  <c r="T154" i="15" s="1"/>
  <c r="P154" i="15"/>
  <c r="T153" i="15"/>
  <c r="P153" i="15"/>
  <c r="Q153" i="15" s="1"/>
  <c r="R153" i="15" s="1"/>
  <c r="S153" i="15" s="1"/>
  <c r="Q152" i="15"/>
  <c r="R152" i="15" s="1"/>
  <c r="S152" i="15" s="1"/>
  <c r="T152" i="15" s="1"/>
  <c r="P152" i="15"/>
  <c r="R151" i="15"/>
  <c r="S151" i="15" s="1"/>
  <c r="T151" i="15" s="1"/>
  <c r="P151" i="15"/>
  <c r="Q151" i="15" s="1"/>
  <c r="S150" i="15"/>
  <c r="T150" i="15" s="1"/>
  <c r="Q150" i="15"/>
  <c r="R150" i="15" s="1"/>
  <c r="P150" i="15"/>
  <c r="P149" i="15"/>
  <c r="Q149" i="15" s="1"/>
  <c r="R149" i="15" s="1"/>
  <c r="S149" i="15" s="1"/>
  <c r="T149" i="15" s="1"/>
  <c r="Q148" i="15"/>
  <c r="R148" i="15" s="1"/>
  <c r="S148" i="15" s="1"/>
  <c r="T148" i="15" s="1"/>
  <c r="P148" i="15"/>
  <c r="P147" i="15"/>
  <c r="Q147" i="15" s="1"/>
  <c r="R147" i="15" s="1"/>
  <c r="S147" i="15" s="1"/>
  <c r="T147" i="15" s="1"/>
  <c r="Q146" i="15"/>
  <c r="R146" i="15" s="1"/>
  <c r="S146" i="15" s="1"/>
  <c r="T146" i="15" s="1"/>
  <c r="P146" i="15"/>
  <c r="T145" i="15"/>
  <c r="P145" i="15"/>
  <c r="Q145" i="15" s="1"/>
  <c r="R145" i="15" s="1"/>
  <c r="S145" i="15" s="1"/>
  <c r="Q144" i="15"/>
  <c r="R144" i="15" s="1"/>
  <c r="S144" i="15" s="1"/>
  <c r="T144" i="15" s="1"/>
  <c r="P144" i="15"/>
  <c r="R143" i="15"/>
  <c r="S143" i="15" s="1"/>
  <c r="T143" i="15" s="1"/>
  <c r="P143" i="15"/>
  <c r="Q143" i="15" s="1"/>
  <c r="S142" i="15"/>
  <c r="T142" i="15" s="1"/>
  <c r="Q142" i="15"/>
  <c r="R142" i="15" s="1"/>
  <c r="P142" i="15"/>
  <c r="P141" i="15"/>
  <c r="Q141" i="15" s="1"/>
  <c r="R141" i="15" s="1"/>
  <c r="S141" i="15" s="1"/>
  <c r="T141" i="15" s="1"/>
  <c r="Q140" i="15"/>
  <c r="R140" i="15" s="1"/>
  <c r="S140" i="15" s="1"/>
  <c r="T140" i="15" s="1"/>
  <c r="P140" i="15"/>
  <c r="P139" i="15"/>
  <c r="Q139" i="15" s="1"/>
  <c r="R139" i="15" s="1"/>
  <c r="S139" i="15" s="1"/>
  <c r="T139" i="15" s="1"/>
  <c r="Q138" i="15"/>
  <c r="R138" i="15" s="1"/>
  <c r="S138" i="15" s="1"/>
  <c r="T138" i="15" s="1"/>
  <c r="P138" i="15"/>
  <c r="T137" i="15"/>
  <c r="P137" i="15"/>
  <c r="Q137" i="15" s="1"/>
  <c r="R137" i="15" s="1"/>
  <c r="S137" i="15" s="1"/>
  <c r="Q136" i="15"/>
  <c r="R136" i="15" s="1"/>
  <c r="S136" i="15" s="1"/>
  <c r="T136" i="15" s="1"/>
  <c r="P136" i="15"/>
  <c r="R135" i="15"/>
  <c r="S135" i="15" s="1"/>
  <c r="T135" i="15" s="1"/>
  <c r="P135" i="15"/>
  <c r="Q135" i="15" s="1"/>
  <c r="S134" i="15"/>
  <c r="T134" i="15" s="1"/>
  <c r="Q134" i="15"/>
  <c r="R134" i="15" s="1"/>
  <c r="P134" i="15"/>
  <c r="P133" i="15"/>
  <c r="Q133" i="15" s="1"/>
  <c r="R133" i="15" s="1"/>
  <c r="S133" i="15" s="1"/>
  <c r="T133" i="15" s="1"/>
  <c r="Q132" i="15"/>
  <c r="R132" i="15" s="1"/>
  <c r="S132" i="15" s="1"/>
  <c r="T132" i="15" s="1"/>
  <c r="P132" i="15"/>
  <c r="P131" i="15"/>
  <c r="Q131" i="15" s="1"/>
  <c r="R131" i="15" s="1"/>
  <c r="S131" i="15" s="1"/>
  <c r="T131" i="15" s="1"/>
  <c r="Q130" i="15"/>
  <c r="R130" i="15" s="1"/>
  <c r="S130" i="15" s="1"/>
  <c r="T130" i="15" s="1"/>
  <c r="P130" i="15"/>
  <c r="T129" i="15"/>
  <c r="P129" i="15"/>
  <c r="Q129" i="15" s="1"/>
  <c r="R129" i="15" s="1"/>
  <c r="S129" i="15" s="1"/>
  <c r="Q128" i="15"/>
  <c r="R128" i="15" s="1"/>
  <c r="S128" i="15" s="1"/>
  <c r="T128" i="15" s="1"/>
  <c r="P128" i="15"/>
  <c r="R127" i="15"/>
  <c r="S127" i="15" s="1"/>
  <c r="T127" i="15" s="1"/>
  <c r="P127" i="15"/>
  <c r="Q127" i="15" s="1"/>
  <c r="S126" i="15"/>
  <c r="T126" i="15" s="1"/>
  <c r="Q126" i="15"/>
  <c r="R126" i="15" s="1"/>
  <c r="P126" i="15"/>
  <c r="P125" i="15"/>
  <c r="Q125" i="15" s="1"/>
  <c r="R125" i="15" s="1"/>
  <c r="S125" i="15" s="1"/>
  <c r="T125" i="15" s="1"/>
  <c r="Q124" i="15"/>
  <c r="R124" i="15" s="1"/>
  <c r="S124" i="15" s="1"/>
  <c r="T124" i="15" s="1"/>
  <c r="P124" i="15"/>
  <c r="P123" i="15"/>
  <c r="Q123" i="15" s="1"/>
  <c r="R123" i="15" s="1"/>
  <c r="S123" i="15" s="1"/>
  <c r="T123" i="15" s="1"/>
  <c r="Q122" i="15"/>
  <c r="R122" i="15" s="1"/>
  <c r="S122" i="15" s="1"/>
  <c r="T122" i="15" s="1"/>
  <c r="P122" i="15"/>
  <c r="T121" i="15"/>
  <c r="P121" i="15"/>
  <c r="Q121" i="15" s="1"/>
  <c r="R121" i="15" s="1"/>
  <c r="S121" i="15" s="1"/>
  <c r="Q120" i="15"/>
  <c r="R120" i="15" s="1"/>
  <c r="S120" i="15" s="1"/>
  <c r="T120" i="15" s="1"/>
  <c r="P120" i="15"/>
  <c r="R119" i="15"/>
  <c r="S119" i="15" s="1"/>
  <c r="T119" i="15" s="1"/>
  <c r="P119" i="15"/>
  <c r="Q119" i="15" s="1"/>
  <c r="S118" i="15"/>
  <c r="T118" i="15" s="1"/>
  <c r="Q118" i="15"/>
  <c r="R118" i="15" s="1"/>
  <c r="P118" i="15"/>
  <c r="P117" i="15"/>
  <c r="Q117" i="15" s="1"/>
  <c r="R117" i="15" s="1"/>
  <c r="S117" i="15" s="1"/>
  <c r="T117" i="15" s="1"/>
  <c r="Q116" i="15"/>
  <c r="R116" i="15" s="1"/>
  <c r="S116" i="15" s="1"/>
  <c r="T116" i="15" s="1"/>
  <c r="P116" i="15"/>
  <c r="P115" i="15"/>
  <c r="Q115" i="15" s="1"/>
  <c r="R115" i="15" s="1"/>
  <c r="S115" i="15" s="1"/>
  <c r="T115" i="15" s="1"/>
  <c r="Q114" i="15"/>
  <c r="R114" i="15" s="1"/>
  <c r="S114" i="15" s="1"/>
  <c r="T114" i="15" s="1"/>
  <c r="P114" i="15"/>
  <c r="T113" i="15"/>
  <c r="P113" i="15"/>
  <c r="Q113" i="15" s="1"/>
  <c r="R113" i="15" s="1"/>
  <c r="S113" i="15" s="1"/>
  <c r="Q112" i="15"/>
  <c r="R112" i="15" s="1"/>
  <c r="S112" i="15" s="1"/>
  <c r="T112" i="15" s="1"/>
  <c r="P112" i="15"/>
  <c r="R111" i="15"/>
  <c r="S111" i="15" s="1"/>
  <c r="T111" i="15" s="1"/>
  <c r="P111" i="15"/>
  <c r="Q111" i="15" s="1"/>
  <c r="S110" i="15"/>
  <c r="T110" i="15" s="1"/>
  <c r="Q110" i="15"/>
  <c r="R110" i="15" s="1"/>
  <c r="P110" i="15"/>
  <c r="P109" i="15"/>
  <c r="Q109" i="15" s="1"/>
  <c r="R109" i="15" s="1"/>
  <c r="S109" i="15" s="1"/>
  <c r="T109" i="15" s="1"/>
  <c r="Q108" i="15"/>
  <c r="R108" i="15" s="1"/>
  <c r="S108" i="15" s="1"/>
  <c r="T108" i="15" s="1"/>
  <c r="P108" i="15"/>
  <c r="P107" i="15"/>
  <c r="Q107" i="15" s="1"/>
  <c r="R107" i="15" s="1"/>
  <c r="S107" i="15" s="1"/>
  <c r="T107" i="15" s="1"/>
  <c r="Q106" i="15"/>
  <c r="R106" i="15" s="1"/>
  <c r="S106" i="15" s="1"/>
  <c r="T106" i="15" s="1"/>
  <c r="P106" i="15"/>
  <c r="T105" i="15"/>
  <c r="P105" i="15"/>
  <c r="Q105" i="15" s="1"/>
  <c r="R105" i="15" s="1"/>
  <c r="S105" i="15" s="1"/>
  <c r="Q104" i="15"/>
  <c r="R104" i="15" s="1"/>
  <c r="S104" i="15" s="1"/>
  <c r="T104" i="15" s="1"/>
  <c r="P104" i="15"/>
  <c r="R103" i="15"/>
  <c r="S103" i="15" s="1"/>
  <c r="T103" i="15" s="1"/>
  <c r="P103" i="15"/>
  <c r="Q103" i="15" s="1"/>
  <c r="S102" i="15"/>
  <c r="T102" i="15" s="1"/>
  <c r="Q102" i="15"/>
  <c r="R102" i="15" s="1"/>
  <c r="P102" i="15"/>
  <c r="P101" i="15"/>
  <c r="Q101" i="15" s="1"/>
  <c r="R101" i="15" s="1"/>
  <c r="S101" i="15" s="1"/>
  <c r="T101" i="15" s="1"/>
  <c r="Q100" i="15"/>
  <c r="R100" i="15" s="1"/>
  <c r="S100" i="15" s="1"/>
  <c r="T100" i="15" s="1"/>
  <c r="P100" i="15"/>
  <c r="P99" i="15"/>
  <c r="Q99" i="15" s="1"/>
  <c r="R99" i="15" s="1"/>
  <c r="S99" i="15" s="1"/>
  <c r="T99" i="15" s="1"/>
  <c r="Q98" i="15"/>
  <c r="R98" i="15" s="1"/>
  <c r="S98" i="15" s="1"/>
  <c r="T98" i="15" s="1"/>
  <c r="P98" i="15"/>
  <c r="T97" i="15"/>
  <c r="P97" i="15"/>
  <c r="Q97" i="15" s="1"/>
  <c r="R97" i="15" s="1"/>
  <c r="S97" i="15" s="1"/>
  <c r="Q96" i="15"/>
  <c r="R96" i="15" s="1"/>
  <c r="S96" i="15" s="1"/>
  <c r="T96" i="15" s="1"/>
  <c r="P96" i="15"/>
  <c r="R95" i="15"/>
  <c r="S95" i="15" s="1"/>
  <c r="T95" i="15" s="1"/>
  <c r="P95" i="15"/>
  <c r="Q95" i="15" s="1"/>
  <c r="S94" i="15"/>
  <c r="T94" i="15" s="1"/>
  <c r="Q94" i="15"/>
  <c r="R94" i="15" s="1"/>
  <c r="P94" i="15"/>
  <c r="P93" i="15"/>
  <c r="Q93" i="15" s="1"/>
  <c r="R93" i="15" s="1"/>
  <c r="S93" i="15" s="1"/>
  <c r="T93" i="15" s="1"/>
  <c r="Q92" i="15"/>
  <c r="R92" i="15" s="1"/>
  <c r="S92" i="15" s="1"/>
  <c r="T92" i="15" s="1"/>
  <c r="P92" i="15"/>
  <c r="P91" i="15"/>
  <c r="Q91" i="15" s="1"/>
  <c r="R91" i="15" s="1"/>
  <c r="S91" i="15" s="1"/>
  <c r="T91" i="15" s="1"/>
  <c r="Q90" i="15"/>
  <c r="R90" i="15" s="1"/>
  <c r="S90" i="15" s="1"/>
  <c r="T90" i="15" s="1"/>
  <c r="P90" i="15"/>
  <c r="T89" i="15"/>
  <c r="P89" i="15"/>
  <c r="Q89" i="15" s="1"/>
  <c r="R89" i="15" s="1"/>
  <c r="S89" i="15" s="1"/>
  <c r="Q88" i="15"/>
  <c r="R88" i="15" s="1"/>
  <c r="S88" i="15" s="1"/>
  <c r="T88" i="15" s="1"/>
  <c r="P88" i="15"/>
  <c r="R87" i="15"/>
  <c r="S87" i="15" s="1"/>
  <c r="T87" i="15" s="1"/>
  <c r="P87" i="15"/>
  <c r="Q87" i="15" s="1"/>
  <c r="S86" i="15"/>
  <c r="T86" i="15" s="1"/>
  <c r="Q86" i="15"/>
  <c r="R86" i="15" s="1"/>
  <c r="P86" i="15"/>
  <c r="P85" i="15"/>
  <c r="Q85" i="15" s="1"/>
  <c r="R85" i="15" s="1"/>
  <c r="S85" i="15" s="1"/>
  <c r="T85" i="15" s="1"/>
  <c r="Q84" i="15"/>
  <c r="R84" i="15" s="1"/>
  <c r="S84" i="15" s="1"/>
  <c r="T84" i="15" s="1"/>
  <c r="P84" i="15"/>
  <c r="P83" i="15"/>
  <c r="Q83" i="15" s="1"/>
  <c r="R83" i="15" s="1"/>
  <c r="S83" i="15" s="1"/>
  <c r="T83" i="15" s="1"/>
  <c r="Q82" i="15"/>
  <c r="R82" i="15" s="1"/>
  <c r="S82" i="15" s="1"/>
  <c r="T82" i="15" s="1"/>
  <c r="P82" i="15"/>
  <c r="T81" i="15"/>
  <c r="P81" i="15"/>
  <c r="Q81" i="15" s="1"/>
  <c r="R81" i="15" s="1"/>
  <c r="S81" i="15" s="1"/>
  <c r="Q80" i="15"/>
  <c r="R80" i="15" s="1"/>
  <c r="S80" i="15" s="1"/>
  <c r="T80" i="15" s="1"/>
  <c r="P80" i="15"/>
  <c r="R79" i="15"/>
  <c r="S79" i="15" s="1"/>
  <c r="T79" i="15" s="1"/>
  <c r="P79" i="15"/>
  <c r="Q79" i="15" s="1"/>
  <c r="S78" i="15"/>
  <c r="T78" i="15" s="1"/>
  <c r="Q78" i="15"/>
  <c r="R78" i="15" s="1"/>
  <c r="P78" i="15"/>
  <c r="P77" i="15"/>
  <c r="Q77" i="15" s="1"/>
  <c r="R77" i="15" s="1"/>
  <c r="S77" i="15" s="1"/>
  <c r="T77" i="15" s="1"/>
  <c r="Q76" i="15"/>
  <c r="R76" i="15" s="1"/>
  <c r="S76" i="15" s="1"/>
  <c r="T76" i="15" s="1"/>
  <c r="P76" i="15"/>
  <c r="P75" i="15"/>
  <c r="Q75" i="15" s="1"/>
  <c r="R75" i="15" s="1"/>
  <c r="S75" i="15" s="1"/>
  <c r="T75" i="15" s="1"/>
  <c r="Q74" i="15"/>
  <c r="R74" i="15" s="1"/>
  <c r="S74" i="15" s="1"/>
  <c r="T74" i="15" s="1"/>
  <c r="P74" i="15"/>
  <c r="T73" i="15"/>
  <c r="P73" i="15"/>
  <c r="Q73" i="15" s="1"/>
  <c r="R73" i="15" s="1"/>
  <c r="S73" i="15" s="1"/>
  <c r="Q72" i="15"/>
  <c r="R72" i="15" s="1"/>
  <c r="S72" i="15" s="1"/>
  <c r="T72" i="15" s="1"/>
  <c r="P72" i="15"/>
  <c r="R71" i="15"/>
  <c r="S71" i="15" s="1"/>
  <c r="T71" i="15" s="1"/>
  <c r="P71" i="15"/>
  <c r="Q71" i="15" s="1"/>
  <c r="S70" i="15"/>
  <c r="T70" i="15" s="1"/>
  <c r="Q70" i="15"/>
  <c r="R70" i="15" s="1"/>
  <c r="P70" i="15"/>
  <c r="P69" i="15"/>
  <c r="Q69" i="15" s="1"/>
  <c r="R69" i="15" s="1"/>
  <c r="S69" i="15" s="1"/>
  <c r="T69" i="15" s="1"/>
  <c r="Q68" i="15"/>
  <c r="R68" i="15" s="1"/>
  <c r="S68" i="15" s="1"/>
  <c r="T68" i="15" s="1"/>
  <c r="P68" i="15"/>
  <c r="P67" i="15"/>
  <c r="Q67" i="15" s="1"/>
  <c r="R67" i="15" s="1"/>
  <c r="S67" i="15" s="1"/>
  <c r="T67" i="15" s="1"/>
  <c r="Q66" i="15"/>
  <c r="R66" i="15" s="1"/>
  <c r="S66" i="15" s="1"/>
  <c r="T66" i="15" s="1"/>
  <c r="P66" i="15"/>
  <c r="T65" i="15"/>
  <c r="P65" i="15"/>
  <c r="Q65" i="15" s="1"/>
  <c r="R65" i="15" s="1"/>
  <c r="S65" i="15" s="1"/>
  <c r="Q64" i="15"/>
  <c r="R64" i="15" s="1"/>
  <c r="S64" i="15" s="1"/>
  <c r="T64" i="15" s="1"/>
  <c r="P64" i="15"/>
  <c r="R63" i="15"/>
  <c r="S63" i="15" s="1"/>
  <c r="T63" i="15" s="1"/>
  <c r="P63" i="15"/>
  <c r="Q63" i="15" s="1"/>
  <c r="S62" i="15"/>
  <c r="T62" i="15" s="1"/>
  <c r="Q62" i="15"/>
  <c r="R62" i="15" s="1"/>
  <c r="P62" i="15"/>
  <c r="P61" i="15"/>
  <c r="Q61" i="15" s="1"/>
  <c r="R61" i="15" s="1"/>
  <c r="S61" i="15" s="1"/>
  <c r="T61" i="15" s="1"/>
  <c r="Q60" i="15"/>
  <c r="R60" i="15" s="1"/>
  <c r="S60" i="15" s="1"/>
  <c r="T60" i="15" s="1"/>
  <c r="P60" i="15"/>
  <c r="P59" i="15"/>
  <c r="Q59" i="15" s="1"/>
  <c r="R59" i="15" s="1"/>
  <c r="S59" i="15" s="1"/>
  <c r="T59" i="15" s="1"/>
  <c r="Q58" i="15"/>
  <c r="R58" i="15" s="1"/>
  <c r="S58" i="15" s="1"/>
  <c r="T58" i="15" s="1"/>
  <c r="P58" i="15"/>
  <c r="T57" i="15"/>
  <c r="P57" i="15"/>
  <c r="Q57" i="15" s="1"/>
  <c r="R57" i="15" s="1"/>
  <c r="S57" i="15" s="1"/>
  <c r="Q56" i="15"/>
  <c r="R56" i="15" s="1"/>
  <c r="S56" i="15" s="1"/>
  <c r="T56" i="15" s="1"/>
  <c r="P56" i="15"/>
  <c r="R55" i="15"/>
  <c r="S55" i="15" s="1"/>
  <c r="T55" i="15" s="1"/>
  <c r="P55" i="15"/>
  <c r="Q55" i="15" s="1"/>
  <c r="S54" i="15"/>
  <c r="T54" i="15" s="1"/>
  <c r="Q54" i="15"/>
  <c r="R54" i="15" s="1"/>
  <c r="P54" i="15"/>
  <c r="P53" i="15"/>
  <c r="Q53" i="15" s="1"/>
  <c r="R53" i="15" s="1"/>
  <c r="S53" i="15" s="1"/>
  <c r="T53" i="15" s="1"/>
  <c r="Q52" i="15"/>
  <c r="R52" i="15" s="1"/>
  <c r="S52" i="15" s="1"/>
  <c r="T52" i="15" s="1"/>
  <c r="P52" i="15"/>
  <c r="P51" i="15"/>
  <c r="Q51" i="15" s="1"/>
  <c r="R51" i="15" s="1"/>
  <c r="S51" i="15" s="1"/>
  <c r="T51" i="15" s="1"/>
  <c r="Q50" i="15"/>
  <c r="R50" i="15" s="1"/>
  <c r="S50" i="15" s="1"/>
  <c r="T50" i="15" s="1"/>
  <c r="P50" i="15"/>
  <c r="T49" i="15"/>
  <c r="P49" i="15"/>
  <c r="Q49" i="15" s="1"/>
  <c r="R49" i="15" s="1"/>
  <c r="S49" i="15" s="1"/>
  <c r="Q48" i="15"/>
  <c r="R48" i="15" s="1"/>
  <c r="S48" i="15" s="1"/>
  <c r="T48" i="15" s="1"/>
  <c r="P48" i="15"/>
  <c r="R47" i="15"/>
  <c r="S47" i="15" s="1"/>
  <c r="T47" i="15" s="1"/>
  <c r="P47" i="15"/>
  <c r="Q47" i="15" s="1"/>
  <c r="S46" i="15"/>
  <c r="T46" i="15" s="1"/>
  <c r="Q46" i="15"/>
  <c r="R46" i="15" s="1"/>
  <c r="P46" i="15"/>
  <c r="P45" i="15"/>
  <c r="Q45" i="15" s="1"/>
  <c r="R45" i="15" s="1"/>
  <c r="S45" i="15" s="1"/>
  <c r="T45" i="15" s="1"/>
  <c r="Q44" i="15"/>
  <c r="R44" i="15" s="1"/>
  <c r="S44" i="15" s="1"/>
  <c r="T44" i="15" s="1"/>
  <c r="P44" i="15"/>
  <c r="P43" i="15"/>
  <c r="Q43" i="15" s="1"/>
  <c r="R43" i="15" s="1"/>
  <c r="S43" i="15" s="1"/>
  <c r="T43" i="15" s="1"/>
  <c r="Q42" i="15"/>
  <c r="R42" i="15" s="1"/>
  <c r="S42" i="15" s="1"/>
  <c r="T42" i="15" s="1"/>
  <c r="P42" i="15"/>
  <c r="T41" i="15"/>
  <c r="P41" i="15"/>
  <c r="Q41" i="15" s="1"/>
  <c r="R41" i="15" s="1"/>
  <c r="S41" i="15" s="1"/>
  <c r="Q40" i="15"/>
  <c r="R40" i="15" s="1"/>
  <c r="S40" i="15" s="1"/>
  <c r="T40" i="15" s="1"/>
  <c r="P40" i="15"/>
  <c r="R39" i="15"/>
  <c r="S39" i="15" s="1"/>
  <c r="T39" i="15" s="1"/>
  <c r="P39" i="15"/>
  <c r="Q39" i="15" s="1"/>
  <c r="S38" i="15"/>
  <c r="T38" i="15" s="1"/>
  <c r="Q38" i="15"/>
  <c r="R38" i="15" s="1"/>
  <c r="P38" i="15"/>
  <c r="P37" i="15"/>
  <c r="Q37" i="15" s="1"/>
  <c r="R37" i="15" s="1"/>
  <c r="S37" i="15" s="1"/>
  <c r="T37" i="15" s="1"/>
  <c r="Q36" i="15"/>
  <c r="R36" i="15" s="1"/>
  <c r="S36" i="15" s="1"/>
  <c r="T36" i="15" s="1"/>
  <c r="P36" i="15"/>
  <c r="P35" i="15"/>
  <c r="Q35" i="15" s="1"/>
  <c r="R35" i="15" s="1"/>
  <c r="S35" i="15" s="1"/>
  <c r="T35" i="15" s="1"/>
  <c r="Q34" i="15"/>
  <c r="R34" i="15" s="1"/>
  <c r="S34" i="15" s="1"/>
  <c r="T34" i="15" s="1"/>
  <c r="P34" i="15"/>
  <c r="T33" i="15"/>
  <c r="P33" i="15"/>
  <c r="Q33" i="15" s="1"/>
  <c r="R33" i="15" s="1"/>
  <c r="S33" i="15" s="1"/>
  <c r="Q32" i="15"/>
  <c r="R32" i="15" s="1"/>
  <c r="S32" i="15" s="1"/>
  <c r="T32" i="15" s="1"/>
  <c r="P32" i="15"/>
  <c r="R31" i="15"/>
  <c r="S31" i="15" s="1"/>
  <c r="T31" i="15" s="1"/>
  <c r="P31" i="15"/>
  <c r="Q31" i="15" s="1"/>
  <c r="S30" i="15"/>
  <c r="T30" i="15" s="1"/>
  <c r="Q30" i="15"/>
  <c r="R30" i="15" s="1"/>
  <c r="P30" i="15"/>
  <c r="P29" i="15"/>
  <c r="Q29" i="15" s="1"/>
  <c r="R29" i="15" s="1"/>
  <c r="S29" i="15" s="1"/>
  <c r="T29" i="15" s="1"/>
  <c r="Q28" i="15"/>
  <c r="R28" i="15" s="1"/>
  <c r="S28" i="15" s="1"/>
  <c r="T28" i="15" s="1"/>
  <c r="P28" i="15"/>
  <c r="P27" i="15"/>
  <c r="Q27" i="15" s="1"/>
  <c r="R27" i="15" s="1"/>
  <c r="S27" i="15" s="1"/>
  <c r="T27" i="15" s="1"/>
  <c r="Q26" i="15"/>
  <c r="R26" i="15" s="1"/>
  <c r="S26" i="15" s="1"/>
  <c r="T26" i="15" s="1"/>
  <c r="P26" i="15"/>
  <c r="T25" i="15"/>
  <c r="P25" i="15"/>
  <c r="Q25" i="15" s="1"/>
  <c r="R25" i="15" s="1"/>
  <c r="S25" i="15" s="1"/>
  <c r="Q24" i="15"/>
  <c r="R24" i="15" s="1"/>
  <c r="S24" i="15" s="1"/>
  <c r="T24" i="15" s="1"/>
  <c r="P24" i="15"/>
  <c r="R23" i="15"/>
  <c r="S23" i="15" s="1"/>
  <c r="T23" i="15" s="1"/>
  <c r="P23" i="15"/>
  <c r="Q23" i="15" s="1"/>
  <c r="S22" i="15"/>
  <c r="T22" i="15" s="1"/>
  <c r="Q22" i="15"/>
  <c r="R22" i="15" s="1"/>
  <c r="P22" i="15"/>
  <c r="P21" i="15"/>
  <c r="Q21" i="15" s="1"/>
  <c r="R21" i="15" s="1"/>
  <c r="S21" i="15" s="1"/>
  <c r="T21" i="15" s="1"/>
  <c r="Q20" i="15"/>
  <c r="R20" i="15" s="1"/>
  <c r="S20" i="15" s="1"/>
  <c r="T20" i="15" s="1"/>
  <c r="P20" i="15"/>
  <c r="P19" i="15"/>
  <c r="Q19" i="15" s="1"/>
  <c r="R19" i="15" s="1"/>
  <c r="S19" i="15" s="1"/>
  <c r="T19" i="15" s="1"/>
  <c r="Q18" i="15"/>
  <c r="R18" i="15" s="1"/>
  <c r="S18" i="15" s="1"/>
  <c r="T18" i="15" s="1"/>
  <c r="P18" i="15"/>
  <c r="T17" i="15"/>
  <c r="P17" i="15"/>
  <c r="Q17" i="15" s="1"/>
  <c r="R17" i="15" s="1"/>
  <c r="S17" i="15" s="1"/>
  <c r="Q16" i="15"/>
  <c r="R16" i="15" s="1"/>
  <c r="S16" i="15" s="1"/>
  <c r="T16" i="15" s="1"/>
  <c r="P16" i="15"/>
  <c r="R15" i="15"/>
  <c r="S15" i="15" s="1"/>
  <c r="T15" i="15" s="1"/>
  <c r="P15" i="15"/>
  <c r="Q15" i="15" s="1"/>
  <c r="S14" i="15"/>
  <c r="T14" i="15" s="1"/>
  <c r="Q14" i="15"/>
  <c r="R14" i="15" s="1"/>
  <c r="P14" i="15"/>
  <c r="P13" i="15"/>
  <c r="Q13" i="15" s="1"/>
  <c r="R13" i="15" s="1"/>
  <c r="S13" i="15" s="1"/>
  <c r="T13" i="15" s="1"/>
  <c r="Q12" i="15"/>
  <c r="R12" i="15" s="1"/>
  <c r="S12" i="15" s="1"/>
  <c r="T12" i="15" s="1"/>
  <c r="P12" i="15"/>
  <c r="P11" i="15"/>
  <c r="Q11" i="15" s="1"/>
  <c r="R11" i="15" s="1"/>
  <c r="S11" i="15" s="1"/>
  <c r="T11" i="15" s="1"/>
  <c r="Q10" i="15"/>
  <c r="R10" i="15" s="1"/>
  <c r="S10" i="15" s="1"/>
  <c r="T10" i="15" s="1"/>
  <c r="P10" i="15"/>
  <c r="T9" i="15"/>
  <c r="P9" i="15"/>
  <c r="Q9" i="15" s="1"/>
  <c r="R9" i="15" s="1"/>
  <c r="S9" i="15" s="1"/>
  <c r="Q8" i="15"/>
  <c r="R8" i="15" s="1"/>
  <c r="S8" i="15" s="1"/>
  <c r="T8" i="15" s="1"/>
  <c r="P8" i="15"/>
  <c r="R7" i="15"/>
  <c r="S7" i="15" s="1"/>
  <c r="T7" i="15" s="1"/>
  <c r="P7" i="15"/>
  <c r="Q7" i="15" s="1"/>
  <c r="S6" i="15"/>
  <c r="T6" i="15" s="1"/>
  <c r="Q6" i="15"/>
  <c r="R6" i="15" s="1"/>
  <c r="P6" i="15"/>
  <c r="Q5" i="15"/>
  <c r="R5" i="15" s="1"/>
  <c r="S5" i="15" s="1"/>
  <c r="T5" i="15" s="1"/>
  <c r="P5" i="15"/>
  <c r="R4" i="15"/>
  <c r="S4" i="15" s="1"/>
  <c r="T4" i="15" s="1"/>
  <c r="P4" i="15"/>
  <c r="Q4" i="15" s="1"/>
  <c r="S3" i="15"/>
  <c r="T3" i="15" s="1"/>
  <c r="Q3" i="15"/>
  <c r="R3" i="15" s="1"/>
  <c r="P3" i="15"/>
  <c r="H3" i="15"/>
  <c r="G3" i="15"/>
  <c r="P2" i="15"/>
  <c r="Q2" i="15" s="1"/>
  <c r="R2" i="15" s="1"/>
  <c r="S2" i="15" s="1"/>
  <c r="T2" i="15" s="1"/>
  <c r="H2" i="15"/>
  <c r="G2" i="15"/>
  <c r="H21" i="14"/>
  <c r="H19" i="14"/>
  <c r="H17" i="14"/>
  <c r="G17" i="14" a="1"/>
  <c r="G21" i="14" s="1"/>
  <c r="H13" i="13"/>
  <c r="E8" i="13"/>
  <c r="E6" i="13"/>
  <c r="H12" i="13" s="1"/>
  <c r="H14" i="13" s="1"/>
  <c r="H15" i="13" s="1"/>
  <c r="E4" i="13"/>
  <c r="D4" i="13" a="1"/>
  <c r="D8" i="13" s="1"/>
  <c r="E17" i="12"/>
  <c r="E18" i="12" s="1"/>
  <c r="E19" i="12" s="1"/>
  <c r="E16" i="12"/>
  <c r="F24" i="11"/>
  <c r="F23" i="11"/>
  <c r="F22" i="11"/>
  <c r="F21" i="11"/>
  <c r="F20" i="11"/>
  <c r="F19" i="11"/>
  <c r="F18" i="11"/>
  <c r="F17" i="11"/>
  <c r="F16" i="11"/>
  <c r="F15" i="11"/>
  <c r="D3" i="29" l="1"/>
  <c r="B2" i="29"/>
  <c r="B48" i="29"/>
  <c r="D47" i="29"/>
  <c r="E20" i="12"/>
  <c r="D5" i="13"/>
  <c r="D7" i="13"/>
  <c r="G18" i="14"/>
  <c r="G20" i="14"/>
  <c r="E5" i="13"/>
  <c r="E7" i="13"/>
  <c r="H18" i="14"/>
  <c r="H20" i="14"/>
  <c r="D4" i="13"/>
  <c r="H10" i="13" s="1"/>
  <c r="D6" i="13"/>
  <c r="G17" i="14"/>
  <c r="H23" i="14" s="1"/>
  <c r="G19" i="14"/>
  <c r="I23" i="27"/>
  <c r="I24" i="27" s="1"/>
  <c r="G23" i="26"/>
  <c r="G24" i="26" s="1"/>
  <c r="E4" i="20"/>
  <c r="F10" i="20" s="1"/>
  <c r="F11" i="20" s="1"/>
  <c r="F12" i="20" s="1"/>
  <c r="E6" i="20"/>
  <c r="I18" i="25"/>
  <c r="I20" i="25"/>
  <c r="I24" i="25" s="1"/>
  <c r="I17" i="27"/>
  <c r="I19" i="27"/>
  <c r="I21" i="27"/>
  <c r="G22" i="28"/>
  <c r="G23" i="28" s="1"/>
  <c r="G24" i="28" s="1"/>
  <c r="F4" i="20"/>
  <c r="F6" i="20"/>
  <c r="H18" i="27"/>
  <c r="H20" i="27"/>
  <c r="I17" i="25"/>
  <c r="I19" i="25"/>
  <c r="I18" i="27"/>
  <c r="F3" i="20"/>
  <c r="F5" i="20"/>
  <c r="D2" i="29" l="1"/>
  <c r="D48" i="29"/>
  <c r="C2" i="8" a="1"/>
  <c r="C2" i="8" s="1"/>
  <c r="D2" i="8" s="1"/>
  <c r="C19" i="8" l="1"/>
  <c r="D19" i="8" s="1"/>
  <c r="C18" i="8"/>
  <c r="D18" i="8" s="1"/>
  <c r="C16" i="8"/>
  <c r="D16" i="8" s="1"/>
  <c r="C15" i="8"/>
  <c r="D15" i="8" s="1"/>
  <c r="C13" i="8"/>
  <c r="D13" i="8" s="1"/>
  <c r="C12" i="8"/>
  <c r="D12" i="8" s="1"/>
  <c r="C10" i="8"/>
  <c r="D10" i="8" s="1"/>
  <c r="C9" i="8"/>
  <c r="D9" i="8" s="1"/>
  <c r="C7" i="8"/>
  <c r="D7" i="8" s="1"/>
  <c r="C6" i="8"/>
  <c r="D6" i="8" s="1"/>
  <c r="C4" i="8"/>
  <c r="D4" i="8" s="1"/>
  <c r="C3" i="8"/>
  <c r="D3" i="8" s="1"/>
  <c r="E3" i="8" s="1"/>
  <c r="C17" i="8"/>
  <c r="D17" i="8" s="1"/>
  <c r="C14" i="8"/>
  <c r="D14" i="8" s="1"/>
  <c r="C11" i="8"/>
  <c r="D11" i="8" s="1"/>
  <c r="C8" i="8"/>
  <c r="D8" i="8" s="1"/>
  <c r="C5" i="8"/>
  <c r="D5" i="8" s="1"/>
  <c r="E15" i="8" l="1"/>
  <c r="F15" i="8"/>
  <c r="E18" i="8"/>
  <c r="F18" i="8"/>
  <c r="E6" i="8"/>
  <c r="F6" i="8"/>
  <c r="E9" i="8"/>
  <c r="F9" i="8"/>
  <c r="F3" i="8"/>
  <c r="E12" i="8"/>
  <c r="F12" i="8"/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2" i="5"/>
  <c r="D51" i="5"/>
  <c r="B51" i="5"/>
  <c r="D50" i="5"/>
  <c r="B50" i="5"/>
  <c r="D49" i="5"/>
  <c r="B49" i="5"/>
  <c r="D48" i="5"/>
  <c r="B48" i="5"/>
  <c r="D47" i="5"/>
  <c r="B47" i="5"/>
  <c r="D46" i="5"/>
  <c r="B46" i="5"/>
  <c r="D45" i="5"/>
  <c r="B45" i="5"/>
  <c r="D44" i="5"/>
  <c r="B44" i="5"/>
  <c r="D43" i="5"/>
  <c r="B43" i="5"/>
  <c r="D42" i="5"/>
  <c r="B42" i="5"/>
  <c r="D41" i="5"/>
  <c r="B41" i="5"/>
  <c r="D40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E40" i="5" l="1"/>
  <c r="E42" i="5"/>
  <c r="E44" i="5"/>
  <c r="E46" i="5"/>
  <c r="E48" i="5"/>
  <c r="E50" i="5"/>
  <c r="E41" i="5"/>
  <c r="E43" i="5"/>
  <c r="E45" i="5"/>
  <c r="E47" i="5"/>
  <c r="E49" i="5"/>
  <c r="E51" i="5"/>
  <c r="E8" i="4" l="1"/>
  <c r="F8" i="4" s="1"/>
  <c r="G8" i="4" s="1"/>
  <c r="C8" i="4"/>
  <c r="B8" i="4"/>
  <c r="F3" i="4"/>
  <c r="G3" i="4" s="1"/>
  <c r="H3" i="4" s="1"/>
  <c r="E3" i="4"/>
  <c r="G8" i="2" l="1"/>
  <c r="G9" i="2" s="1"/>
  <c r="D2" i="2" a="1"/>
  <c r="E6" i="2" s="1"/>
  <c r="E3" i="2" l="1"/>
  <c r="E5" i="2"/>
  <c r="D3" i="2"/>
  <c r="D5" i="2"/>
  <c r="D2" i="2"/>
  <c r="D4" i="2"/>
  <c r="D6" i="2"/>
  <c r="E2" i="2"/>
  <c r="E4" i="2"/>
  <c r="D2" i="1" l="1" a="1"/>
  <c r="E3" i="1" l="1"/>
  <c r="E5" i="1"/>
  <c r="D2" i="1"/>
  <c r="D4" i="1"/>
  <c r="D6" i="1"/>
  <c r="E2" i="1"/>
  <c r="E4" i="1"/>
  <c r="E6" i="1"/>
  <c r="D3" i="1"/>
  <c r="D5" i="1"/>
  <c r="G8" i="1" l="1"/>
  <c r="G9" i="1" s="1"/>
</calcChain>
</file>

<file path=xl/sharedStrings.xml><?xml version="1.0" encoding="utf-8"?>
<sst xmlns="http://schemas.openxmlformats.org/spreadsheetml/2006/main" count="533" uniqueCount="193">
  <si>
    <t>Y</t>
  </si>
  <si>
    <t>X</t>
  </si>
  <si>
    <t>LINEST() analysis</t>
  </si>
  <si>
    <t>=LINEST(B2:B151,A2:A151,,TRUE)</t>
  </si>
  <si>
    <t>t test of regression coefficient</t>
  </si>
  <si>
    <t>t value</t>
  </si>
  <si>
    <t>=D2/D3</t>
  </si>
  <si>
    <t>=T.DIST.2T(G8,E5)</t>
  </si>
  <si>
    <t>Regression Coefficient</t>
  </si>
  <si>
    <t>Standard Error of Regression Coefficient</t>
  </si>
  <si>
    <t>df</t>
  </si>
  <si>
    <t>T.DIST()</t>
  </si>
  <si>
    <t>1 - T.DIST()</t>
  </si>
  <si>
    <t>2 * (1- T.DIST())</t>
  </si>
  <si>
    <t>SS Regression</t>
  </si>
  <si>
    <t>SS Residual</t>
  </si>
  <si>
    <t>F value</t>
  </si>
  <si>
    <t>F.DIST()</t>
  </si>
  <si>
    <t>1 - F.DIST()</t>
  </si>
  <si>
    <t>Var of Y</t>
  </si>
  <si>
    <t>Range of Y</t>
  </si>
  <si>
    <t>X values</t>
  </si>
  <si>
    <t>Mean of residuals</t>
  </si>
  <si>
    <t>Mean of observations</t>
  </si>
  <si>
    <t>Residuals</t>
  </si>
  <si>
    <t>Observations</t>
  </si>
  <si>
    <t>Percentile</t>
  </si>
  <si>
    <t>PROBABILITY OUTPUT</t>
  </si>
  <si>
    <t>X Variable 1</t>
  </si>
  <si>
    <t>Intercept</t>
  </si>
  <si>
    <t>Upper 95.0%</t>
  </si>
  <si>
    <t>Lower 95.0%</t>
  </si>
  <si>
    <t>Upper 95%</t>
  </si>
  <si>
    <t>Lower 95%</t>
  </si>
  <si>
    <t>P-value</t>
  </si>
  <si>
    <t>t Stat</t>
  </si>
  <si>
    <t>Standard Error</t>
  </si>
  <si>
    <t>Coefficients</t>
  </si>
  <si>
    <t>Total</t>
  </si>
  <si>
    <t>Residual</t>
  </si>
  <si>
    <t>Regression</t>
  </si>
  <si>
    <t>Significance F</t>
  </si>
  <si>
    <t>F</t>
  </si>
  <si>
    <t>MS</t>
  </si>
  <si>
    <t>SS</t>
  </si>
  <si>
    <t>ANOVA</t>
  </si>
  <si>
    <t>Adjusted R Square</t>
  </si>
  <si>
    <t>R Square</t>
  </si>
  <si>
    <t>Multiple R</t>
  </si>
  <si>
    <t>Regression Statistics</t>
  </si>
  <si>
    <t>SUMMARY OUTPUT</t>
  </si>
  <si>
    <t>Treatment</t>
  </si>
  <si>
    <t>Control</t>
  </si>
  <si>
    <t>t-Test: Two-Sample Assuming Equal Variances</t>
  </si>
  <si>
    <t>Mean</t>
  </si>
  <si>
    <t>Variance</t>
  </si>
  <si>
    <t>Pooled Variance</t>
  </si>
  <si>
    <t>Hypothesized Mean Difference</t>
  </si>
  <si>
    <t>P(T&lt;=t) one-tail</t>
  </si>
  <si>
    <t>t Critical one-tail</t>
  </si>
  <si>
    <t>P(T&lt;=t) two-tail</t>
  </si>
  <si>
    <t>t Critical two-tail</t>
  </si>
  <si>
    <t>Mean Difference</t>
  </si>
  <si>
    <t>=AVERAGE(A2:A19)-AVERAGE(B2:B19)</t>
  </si>
  <si>
    <t>=(DEVSQ(A2:A19)+DEVSQ(B2:B19))/(E6+F6-2)</t>
  </si>
  <si>
    <t>Variance Error of the Mean Diff.</t>
  </si>
  <si>
    <t>=E17*(1/E6+1/F6)</t>
  </si>
  <si>
    <t>Standard Error of the Mean Diff.</t>
  </si>
  <si>
    <t>=SQRT(E18)</t>
  </si>
  <si>
    <t>t-ratio</t>
  </si>
  <si>
    <t>=E16/E19</t>
  </si>
  <si>
    <t>=LINEST(B2:B37,A2:A37,,TRUE)</t>
  </si>
  <si>
    <t>t-ratio:</t>
  </si>
  <si>
    <t>=D4/D5</t>
  </si>
  <si>
    <t>=E6^2</t>
  </si>
  <si>
    <t>=DEVSQ(A2:A37)</t>
  </si>
  <si>
    <t>=D12/D13</t>
  </si>
  <si>
    <t>Standard error of regression coefficient:</t>
  </si>
  <si>
    <t>=SQRT(D14)</t>
  </si>
  <si>
    <t>Organic</t>
  </si>
  <si>
    <t>Inorganic</t>
  </si>
  <si>
    <t>Group</t>
  </si>
  <si>
    <t>Score</t>
  </si>
  <si>
    <t>t ratio:</t>
  </si>
  <si>
    <t>Sorter 1</t>
  </si>
  <si>
    <t>Group 1</t>
  </si>
  <si>
    <t>Sorter 2</t>
  </si>
  <si>
    <t>Group 2</t>
  </si>
  <si>
    <t>Group 1 Count</t>
  </si>
  <si>
    <t>Group 1 Mean</t>
  </si>
  <si>
    <t>Group 1 SS</t>
  </si>
  <si>
    <t>Group 2 Count</t>
  </si>
  <si>
    <t>Group 2 Mean</t>
  </si>
  <si>
    <t>Group 2 SS</t>
  </si>
  <si>
    <t>Variance Error of the Mean</t>
  </si>
  <si>
    <t>Standard Error of the Mean</t>
  </si>
  <si>
    <t xml:space="preserve">t value </t>
  </si>
  <si>
    <t>Prob of t</t>
  </si>
  <si>
    <t>Prob Range for t</t>
  </si>
  <si>
    <t>Count of Prob of t</t>
  </si>
  <si>
    <t>0-0.025</t>
  </si>
  <si>
    <t>0.025-0.05</t>
  </si>
  <si>
    <t>0.05-0.075</t>
  </si>
  <si>
    <t>0.075-0.1</t>
  </si>
  <si>
    <t>0.1-0.125</t>
  </si>
  <si>
    <t>0.125-0.15</t>
  </si>
  <si>
    <t>0.15-0.175</t>
  </si>
  <si>
    <t>0.175-0.2</t>
  </si>
  <si>
    <t>0.2-0.225</t>
  </si>
  <si>
    <t>0.225-0.25</t>
  </si>
  <si>
    <t>Rows 12 through 31 are</t>
  </si>
  <si>
    <t>0.25-0.275</t>
  </si>
  <si>
    <t>0.275-0.3</t>
  </si>
  <si>
    <t>0.3-0.325</t>
  </si>
  <si>
    <t>0.325-0.35</t>
  </si>
  <si>
    <t>0.35-0.375</t>
  </si>
  <si>
    <t>0.375-0.4</t>
  </si>
  <si>
    <t>0.4-0.425</t>
  </si>
  <si>
    <t>0.425-0.45</t>
  </si>
  <si>
    <t>0.45-0.475</t>
  </si>
  <si>
    <t>0.475-0.5</t>
  </si>
  <si>
    <t>0.5-0.525</t>
  </si>
  <si>
    <t>0.525-0.55</t>
  </si>
  <si>
    <t>0.55-0.575</t>
  </si>
  <si>
    <t>0.575-0.6</t>
  </si>
  <si>
    <t>0.6-0.625</t>
  </si>
  <si>
    <t>0.625-0.65</t>
  </si>
  <si>
    <t>0.65-0.675</t>
  </si>
  <si>
    <t>0.675-0.7</t>
  </si>
  <si>
    <t>0.7-0.725</t>
  </si>
  <si>
    <t>0.725-0.75</t>
  </si>
  <si>
    <t>0.75-0.775</t>
  </si>
  <si>
    <t>hidden to save space</t>
  </si>
  <si>
    <t>0.775-0.8</t>
  </si>
  <si>
    <t>0.8-0.825</t>
  </si>
  <si>
    <t>0.825-0.85</t>
  </si>
  <si>
    <t>0.85-0.875</t>
  </si>
  <si>
    <t>0.875-0.9</t>
  </si>
  <si>
    <t>0.9-0.925</t>
  </si>
  <si>
    <t>0.925-0.95</t>
  </si>
  <si>
    <t>0.95-0.975</t>
  </si>
  <si>
    <t>0.975-1</t>
  </si>
  <si>
    <t>Grand Total</t>
  </si>
  <si>
    <t>Row Labels</t>
  </si>
  <si>
    <t>=E4-F4</t>
  </si>
  <si>
    <t>=(DEVSQ(A2:A19)+DEVSQ(B2:B19))/((18-1)+(18-1))</t>
  </si>
  <si>
    <t>=E17*(1/18+1/18)</t>
  </si>
  <si>
    <t>Probability of t-ratio if null is true</t>
  </si>
  <si>
    <t>=T.DIST.RT(E20,E9)</t>
  </si>
  <si>
    <t>ShowDialog box</t>
  </si>
  <si>
    <t>=E3</t>
  </si>
  <si>
    <t>Standard Error of the Mean Difference</t>
  </si>
  <si>
    <t>=E4</t>
  </si>
  <si>
    <t>=F9/F10</t>
  </si>
  <si>
    <t>=T.DIST.RT(F11,F6)</t>
  </si>
  <si>
    <t>t</t>
  </si>
  <si>
    <t>Null</t>
  </si>
  <si>
    <t>Alpha</t>
  </si>
  <si>
    <t>=LINEST(E2:E31,D2:D31,,TRUE)</t>
  </si>
  <si>
    <t>Probability of t</t>
  </si>
  <si>
    <t>t-Test: Two-Sample Assuming Unequal Variances</t>
  </si>
  <si>
    <t>Shoot through 26th row</t>
  </si>
  <si>
    <t>Variance error of the mean, Organic</t>
  </si>
  <si>
    <t>=B24/20</t>
  </si>
  <si>
    <t>Variance error of the mean, Inorganic</t>
  </si>
  <si>
    <t>=C24/10</t>
  </si>
  <si>
    <t>Degrees of freedom, Organic</t>
  </si>
  <si>
    <t>Degrees of freedom, Inorganic</t>
  </si>
  <si>
    <t>Correction factor</t>
  </si>
  <si>
    <t>=G15/(G15+G16)</t>
  </si>
  <si>
    <t>Corrected degrees of freedom</t>
  </si>
  <si>
    <t>=G17*G18/(G18*G19^2+G17*(1-G19)^2)</t>
  </si>
  <si>
    <t>Estimate of standard error of mean difference</t>
  </si>
  <si>
    <t>=SQRT(G15+G16)</t>
  </si>
  <si>
    <t>t ratio</t>
  </si>
  <si>
    <t>=G21/G22</t>
  </si>
  <si>
    <t>=T.DIST.RT(G23,ROUND(G20,0))</t>
  </si>
  <si>
    <t>Probability of t from TTEST()</t>
  </si>
  <si>
    <t>=TTEST(B2:B21,C2:C11,1,3)</t>
  </si>
  <si>
    <t>=B23-C23</t>
  </si>
  <si>
    <t>Purchase</t>
  </si>
  <si>
    <t>Income ($000)</t>
  </si>
  <si>
    <t>Prediction from TREND()</t>
  </si>
  <si>
    <t>Prediction from Maximum Likelihood</t>
  </si>
  <si>
    <t>Log Likelihood</t>
  </si>
  <si>
    <t>From Solver</t>
  </si>
  <si>
    <t>Parameters</t>
  </si>
  <si>
    <t>B0</t>
  </si>
  <si>
    <t>B1</t>
  </si>
  <si>
    <t>B2</t>
  </si>
  <si>
    <t>B3</t>
  </si>
  <si>
    <t>Sum Log likelihood</t>
  </si>
  <si>
    <t>Trend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</si>
</sst>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0.00000"/>
    <numFmt numFmtId="167" formatCode="0.000000"/>
    <numFmt numFmtId="168" formatCode="0.0%"/>
    <numFmt numFmtId="169" formatCode="0.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4" xfId="0" applyBorder="1"/>
    <xf numFmtId="0" fontId="1" fillId="0" borderId="0" xfId="0" applyFont="1" applyAlignment="1">
      <alignment horizontal="centerContinuous"/>
    </xf>
    <xf numFmtId="165" fontId="0" fillId="0" borderId="1" xfId="0" applyNumberFormat="1" applyBorder="1"/>
    <xf numFmtId="165" fontId="0" fillId="0" borderId="3" xfId="0" applyNumberFormat="1" applyBorder="1"/>
    <xf numFmtId="165" fontId="0" fillId="0" borderId="2" xfId="0" applyNumberFormat="1" applyBorder="1"/>
    <xf numFmtId="165" fontId="0" fillId="0" borderId="4" xfId="0" applyNumberFormat="1" applyBorder="1"/>
    <xf numFmtId="0" fontId="0" fillId="0" borderId="0" xfId="0" applyAlignment="1">
      <alignment horizontal="right"/>
    </xf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2" fontId="0" fillId="0" borderId="5" xfId="0" applyNumberFormat="1" applyBorder="1"/>
    <xf numFmtId="2" fontId="0" fillId="0" borderId="6" xfId="0" applyNumberFormat="1" applyBorder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3" borderId="8" xfId="0" applyFont="1" applyFill="1" applyBorder="1"/>
    <xf numFmtId="0" fontId="0" fillId="0" borderId="3" xfId="0" applyBorder="1" applyAlignment="1">
      <alignment horizontal="left"/>
    </xf>
    <xf numFmtId="2" fontId="0" fillId="0" borderId="0" xfId="0" applyNumberFormat="1" applyBorder="1"/>
    <xf numFmtId="2" fontId="0" fillId="0" borderId="4" xfId="0" applyNumberFormat="1" applyBorder="1"/>
    <xf numFmtId="0" fontId="0" fillId="0" borderId="5" xfId="0" applyBorder="1" applyAlignment="1">
      <alignment horizontal="left"/>
    </xf>
    <xf numFmtId="2" fontId="0" fillId="0" borderId="9" xfId="0" applyNumberFormat="1" applyBorder="1"/>
    <xf numFmtId="0" fontId="0" fillId="0" borderId="9" xfId="0" applyFill="1" applyBorder="1" applyAlignment="1"/>
    <xf numFmtId="0" fontId="0" fillId="0" borderId="0" xfId="0" applyFill="1" applyBorder="1" applyAlignment="1"/>
    <xf numFmtId="0" fontId="2" fillId="0" borderId="10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Continuous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65" fontId="0" fillId="0" borderId="0" xfId="0" applyNumberFormat="1" applyFill="1" applyBorder="1" applyAlignment="1"/>
    <xf numFmtId="165" fontId="0" fillId="0" borderId="9" xfId="0" applyNumberFormat="1" applyFill="1" applyBorder="1" applyAlignment="1"/>
    <xf numFmtId="165" fontId="0" fillId="0" borderId="5" xfId="0" applyNumberFormat="1" applyBorder="1"/>
    <xf numFmtId="165" fontId="0" fillId="0" borderId="6" xfId="0" applyNumberFormat="1" applyBorder="1"/>
    <xf numFmtId="0" fontId="1" fillId="0" borderId="0" xfId="0" quotePrefix="1" applyFont="1"/>
    <xf numFmtId="0" fontId="1" fillId="0" borderId="11" xfId="0" applyFont="1" applyBorder="1" applyAlignment="1">
      <alignment horizontal="right"/>
    </xf>
    <xf numFmtId="165" fontId="0" fillId="0" borderId="13" xfId="0" applyNumberFormat="1" applyFill="1" applyBorder="1"/>
    <xf numFmtId="0" fontId="0" fillId="0" borderId="12" xfId="0" quotePrefix="1" applyBorder="1"/>
    <xf numFmtId="0" fontId="0" fillId="0" borderId="11" xfId="0" applyBorder="1"/>
    <xf numFmtId="0" fontId="0" fillId="0" borderId="13" xfId="0" applyBorder="1"/>
    <xf numFmtId="0" fontId="1" fillId="0" borderId="13" xfId="0" applyFont="1" applyBorder="1" applyAlignment="1">
      <alignment horizontal="right"/>
    </xf>
    <xf numFmtId="165" fontId="0" fillId="0" borderId="13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0" xfId="0" applyBorder="1"/>
    <xf numFmtId="165" fontId="0" fillId="0" borderId="12" xfId="0" applyNumberFormat="1" applyBorder="1"/>
    <xf numFmtId="0" fontId="1" fillId="0" borderId="0" xfId="0" applyFont="1"/>
    <xf numFmtId="165" fontId="1" fillId="0" borderId="0" xfId="0" applyNumberFormat="1" applyFont="1"/>
    <xf numFmtId="0" fontId="4" fillId="0" borderId="0" xfId="0" applyFont="1"/>
    <xf numFmtId="165" fontId="0" fillId="0" borderId="0" xfId="0" quotePrefix="1" applyNumberFormat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vertical="center"/>
    </xf>
    <xf numFmtId="0" fontId="1" fillId="0" borderId="10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quotePrefix="1" applyFill="1" applyBorder="1"/>
    <xf numFmtId="0" fontId="0" fillId="0" borderId="5" xfId="0" applyFill="1" applyBorder="1" applyAlignment="1">
      <alignment horizontal="right"/>
    </xf>
    <xf numFmtId="0" fontId="1" fillId="0" borderId="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3" xfId="0" applyNumberFormat="1" applyFill="1" applyBorder="1"/>
    <xf numFmtId="0" fontId="0" fillId="0" borderId="7" xfId="0" applyBorder="1" applyAlignment="1">
      <alignment horizontal="right"/>
    </xf>
    <xf numFmtId="165" fontId="0" fillId="0" borderId="7" xfId="0" applyNumberFormat="1" applyBorder="1"/>
    <xf numFmtId="0" fontId="0" fillId="0" borderId="2" xfId="0" quotePrefix="1" applyBorder="1"/>
    <xf numFmtId="0" fontId="0" fillId="0" borderId="0" xfId="0" applyBorder="1" applyAlignment="1">
      <alignment horizontal="right"/>
    </xf>
    <xf numFmtId="165" fontId="0" fillId="0" borderId="0" xfId="0" applyNumberFormat="1" applyBorder="1"/>
    <xf numFmtId="0" fontId="0" fillId="0" borderId="4" xfId="0" quotePrefix="1" applyBorder="1"/>
    <xf numFmtId="0" fontId="0" fillId="0" borderId="9" xfId="0" applyFill="1" applyBorder="1" applyAlignment="1">
      <alignment horizontal="right"/>
    </xf>
    <xf numFmtId="165" fontId="0" fillId="0" borderId="9" xfId="0" applyNumberFormat="1" applyBorder="1"/>
    <xf numFmtId="0" fontId="0" fillId="0" borderId="6" xfId="0" quotePrefix="1" applyBorder="1"/>
    <xf numFmtId="168" fontId="0" fillId="0" borderId="0" xfId="1" applyNumberFormat="1" applyFont="1"/>
    <xf numFmtId="168" fontId="0" fillId="0" borderId="0" xfId="0" applyNumberFormat="1"/>
    <xf numFmtId="0" fontId="5" fillId="0" borderId="0" xfId="0" applyFont="1" applyAlignment="1">
      <alignment horizontal="left" vertical="center" indent="2"/>
    </xf>
    <xf numFmtId="0" fontId="1" fillId="0" borderId="0" xfId="0" quotePrefix="1" applyFont="1" applyAlignment="1">
      <alignment horizontal="centerContinuous"/>
    </xf>
    <xf numFmtId="0" fontId="0" fillId="0" borderId="0" xfId="0" quotePrefix="1" applyBorder="1"/>
    <xf numFmtId="0" fontId="0" fillId="0" borderId="9" xfId="0" applyBorder="1" applyAlignment="1">
      <alignment horizontal="right"/>
    </xf>
    <xf numFmtId="165" fontId="0" fillId="0" borderId="6" xfId="0" applyNumberFormat="1" applyFill="1" applyBorder="1" applyAlignment="1"/>
    <xf numFmtId="0" fontId="0" fillId="0" borderId="0" xfId="0" applyFill="1" applyBorder="1" applyAlignment="1">
      <alignment horizontal="right"/>
    </xf>
    <xf numFmtId="169" fontId="0" fillId="0" borderId="0" xfId="0" applyNumberFormat="1"/>
    <xf numFmtId="0" fontId="1" fillId="0" borderId="14" xfId="0" applyFont="1" applyBorder="1" applyAlignment="1">
      <alignment horizontal="center" wrapText="1"/>
    </xf>
    <xf numFmtId="0" fontId="0" fillId="0" borderId="9" xfId="0" applyBorder="1"/>
    <xf numFmtId="0" fontId="0" fillId="0" borderId="13" xfId="0" applyBorder="1" applyAlignment="1">
      <alignment horizontal="right"/>
    </xf>
    <xf numFmtId="165" fontId="1" fillId="0" borderId="14" xfId="0" applyNumberFormat="1" applyFont="1" applyBorder="1" applyAlignment="1">
      <alignment horizontal="center" wrapText="1"/>
    </xf>
    <xf numFmtId="2" fontId="0" fillId="0" borderId="12" xfId="0" applyNumberFormat="1" applyBorder="1"/>
  </cellXfs>
  <cellStyles count="2">
    <cellStyle name="Normal" xfId="0" builtinId="0"/>
    <cellStyle name="Percent" xfId="1" builtinId="5"/>
  </cellStyles>
  <dxfs count="12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'Fig 6.1'!$A$1</c:f>
              <c:strCache>
                <c:ptCount val="1"/>
                <c:pt idx="0">
                  <c:v>Observations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'Fig 6.1'!$B$2:$B$19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</c:numCache>
            </c:numRef>
          </c:xVal>
          <c:yVal>
            <c:numRef>
              <c:f>'Fig 6.1'!$A$2:$A$19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10</c:v>
                </c:pt>
                <c:pt idx="6">
                  <c:v>11</c:v>
                </c:pt>
                <c:pt idx="7">
                  <c:v>11</c:v>
                </c:pt>
                <c:pt idx="8">
                  <c:v>13</c:v>
                </c:pt>
                <c:pt idx="9">
                  <c:v>14</c:v>
                </c:pt>
                <c:pt idx="10">
                  <c:v>16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EF-4B04-849B-1EB1FB9820D4}"/>
            </c:ext>
          </c:extLst>
        </c:ser>
        <c:ser>
          <c:idx val="1"/>
          <c:order val="1"/>
          <c:tx>
            <c:strRef>
              <c:f>'Fig 6.1'!$E$1</c:f>
              <c:strCache>
                <c:ptCount val="1"/>
                <c:pt idx="0">
                  <c:v>Mean of observations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'Fig 6.1'!$B$2:$B$19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</c:numCache>
            </c:numRef>
          </c:xVal>
          <c:yVal>
            <c:numRef>
              <c:f>'Fig 6.1'!$E$2:$E$19</c:f>
              <c:numCache>
                <c:formatCode>0.0</c:formatCode>
                <c:ptCount val="18"/>
                <c:pt idx="1">
                  <c:v>5</c:v>
                </c:pt>
                <c:pt idx="4">
                  <c:v>9</c:v>
                </c:pt>
                <c:pt idx="7">
                  <c:v>11.666666666666666</c:v>
                </c:pt>
                <c:pt idx="10">
                  <c:v>15.333333333333334</c:v>
                </c:pt>
                <c:pt idx="13">
                  <c:v>18</c:v>
                </c:pt>
                <c:pt idx="16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EF-4B04-849B-1EB1FB9820D4}"/>
            </c:ext>
          </c:extLst>
        </c:ser>
        <c:ser>
          <c:idx val="2"/>
          <c:order val="2"/>
          <c:tx>
            <c:strRef>
              <c:f>'Fig 6.1'!$F$1</c:f>
              <c:strCache>
                <c:ptCount val="1"/>
                <c:pt idx="0">
                  <c:v>Mean of residuals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'Fig 6.1'!$B$2:$B$19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</c:numCache>
            </c:numRef>
          </c:xVal>
          <c:yVal>
            <c:numRef>
              <c:f>'Fig 6.1'!$F$2:$F$19</c:f>
              <c:numCache>
                <c:formatCode>General</c:formatCode>
                <c:ptCount val="18"/>
                <c:pt idx="1">
                  <c:v>-0.61904761904761862</c:v>
                </c:pt>
                <c:pt idx="4">
                  <c:v>0.3619047619047624</c:v>
                </c:pt>
                <c:pt idx="7">
                  <c:v>9.5238095238100815E-3</c:v>
                </c:pt>
                <c:pt idx="10">
                  <c:v>0.65714285714285781</c:v>
                </c:pt>
                <c:pt idx="13">
                  <c:v>0.30476190476190368</c:v>
                </c:pt>
                <c:pt idx="16">
                  <c:v>-0.7142857142857153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EF-4B04-849B-1EB1FB982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23128"/>
        <c:axId val="238823784"/>
      </c:scatterChart>
      <c:valAx>
        <c:axId val="23882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23784"/>
        <c:crossesAt val="-5"/>
        <c:crossBetween val="midCat"/>
      </c:valAx>
      <c:valAx>
        <c:axId val="238823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23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'Fig 6.2'!$A$25:$A$44</c:f>
              <c:numCache>
                <c:formatCode>General</c:formatCode>
                <c:ptCount val="20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22.5</c:v>
                </c:pt>
                <c:pt idx="5">
                  <c:v>27.5</c:v>
                </c:pt>
                <c:pt idx="6">
                  <c:v>32.5</c:v>
                </c:pt>
                <c:pt idx="7">
                  <c:v>37.5</c:v>
                </c:pt>
                <c:pt idx="8">
                  <c:v>42.5</c:v>
                </c:pt>
                <c:pt idx="9">
                  <c:v>47.5</c:v>
                </c:pt>
                <c:pt idx="10">
                  <c:v>52.5</c:v>
                </c:pt>
                <c:pt idx="11">
                  <c:v>57.5</c:v>
                </c:pt>
                <c:pt idx="12">
                  <c:v>62.5</c:v>
                </c:pt>
                <c:pt idx="13">
                  <c:v>67.5</c:v>
                </c:pt>
                <c:pt idx="14">
                  <c:v>72.5</c:v>
                </c:pt>
                <c:pt idx="15">
                  <c:v>77.5</c:v>
                </c:pt>
                <c:pt idx="16">
                  <c:v>82.5</c:v>
                </c:pt>
                <c:pt idx="17">
                  <c:v>87.5</c:v>
                </c:pt>
                <c:pt idx="18">
                  <c:v>92.5</c:v>
                </c:pt>
                <c:pt idx="19">
                  <c:v>97.5</c:v>
                </c:pt>
              </c:numCache>
            </c:numRef>
          </c:xVal>
          <c:yVal>
            <c:numRef>
              <c:f>'Fig 6.2'!$B$25:$B$44</c:f>
              <c:numCache>
                <c:formatCode>General</c:formatCode>
                <c:ptCount val="20"/>
                <c:pt idx="0">
                  <c:v>5</c:v>
                </c:pt>
                <c:pt idx="1">
                  <c:v>13</c:v>
                </c:pt>
                <c:pt idx="2">
                  <c:v>18</c:v>
                </c:pt>
                <c:pt idx="3">
                  <c:v>19</c:v>
                </c:pt>
                <c:pt idx="4">
                  <c:v>19</c:v>
                </c:pt>
                <c:pt idx="5">
                  <c:v>23</c:v>
                </c:pt>
                <c:pt idx="6">
                  <c:v>32</c:v>
                </c:pt>
                <c:pt idx="7">
                  <c:v>34</c:v>
                </c:pt>
                <c:pt idx="8">
                  <c:v>35</c:v>
                </c:pt>
                <c:pt idx="9">
                  <c:v>38</c:v>
                </c:pt>
                <c:pt idx="10">
                  <c:v>43</c:v>
                </c:pt>
                <c:pt idx="11">
                  <c:v>44</c:v>
                </c:pt>
                <c:pt idx="12">
                  <c:v>48</c:v>
                </c:pt>
                <c:pt idx="13">
                  <c:v>54</c:v>
                </c:pt>
                <c:pt idx="14">
                  <c:v>63</c:v>
                </c:pt>
                <c:pt idx="15">
                  <c:v>64</c:v>
                </c:pt>
                <c:pt idx="16">
                  <c:v>65</c:v>
                </c:pt>
                <c:pt idx="17">
                  <c:v>79</c:v>
                </c:pt>
                <c:pt idx="18">
                  <c:v>81</c:v>
                </c:pt>
                <c:pt idx="19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4A2A-BF1C-DA0342422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83752"/>
        <c:axId val="457986048"/>
      </c:scatterChart>
      <c:valAx>
        <c:axId val="45798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986048"/>
        <c:crosses val="autoZero"/>
        <c:crossBetween val="midCat"/>
      </c:valAx>
      <c:valAx>
        <c:axId val="457986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57983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'Fig 6.3'!$A$25:$A$54</c:f>
              <c:numCache>
                <c:formatCode>General</c:formatCode>
                <c:ptCount val="30"/>
                <c:pt idx="0">
                  <c:v>1.6666666666666667</c:v>
                </c:pt>
                <c:pt idx="1">
                  <c:v>5</c:v>
                </c:pt>
                <c:pt idx="2">
                  <c:v>8.3333333333333339</c:v>
                </c:pt>
                <c:pt idx="3">
                  <c:v>11.666666666666666</c:v>
                </c:pt>
                <c:pt idx="4">
                  <c:v>15</c:v>
                </c:pt>
                <c:pt idx="5">
                  <c:v>18.333333333333336</c:v>
                </c:pt>
                <c:pt idx="6">
                  <c:v>21.666666666666668</c:v>
                </c:pt>
                <c:pt idx="7">
                  <c:v>25.000000000000004</c:v>
                </c:pt>
                <c:pt idx="8">
                  <c:v>28.333333333333336</c:v>
                </c:pt>
                <c:pt idx="9">
                  <c:v>31.666666666666668</c:v>
                </c:pt>
                <c:pt idx="10">
                  <c:v>35</c:v>
                </c:pt>
                <c:pt idx="11">
                  <c:v>38.333333333333336</c:v>
                </c:pt>
                <c:pt idx="12">
                  <c:v>41.666666666666664</c:v>
                </c:pt>
                <c:pt idx="13">
                  <c:v>45</c:v>
                </c:pt>
                <c:pt idx="14">
                  <c:v>48.333333333333336</c:v>
                </c:pt>
                <c:pt idx="15">
                  <c:v>51.666666666666664</c:v>
                </c:pt>
                <c:pt idx="16">
                  <c:v>55</c:v>
                </c:pt>
                <c:pt idx="17">
                  <c:v>58.333333333333336</c:v>
                </c:pt>
                <c:pt idx="18">
                  <c:v>61.666666666666664</c:v>
                </c:pt>
                <c:pt idx="19">
                  <c:v>65</c:v>
                </c:pt>
                <c:pt idx="20">
                  <c:v>68.333333333333343</c:v>
                </c:pt>
                <c:pt idx="21">
                  <c:v>71.666666666666671</c:v>
                </c:pt>
                <c:pt idx="22">
                  <c:v>75.000000000000014</c:v>
                </c:pt>
                <c:pt idx="23">
                  <c:v>78.333333333333343</c:v>
                </c:pt>
                <c:pt idx="24">
                  <c:v>81.666666666666671</c:v>
                </c:pt>
                <c:pt idx="25">
                  <c:v>85.000000000000014</c:v>
                </c:pt>
                <c:pt idx="26">
                  <c:v>88.333333333333343</c:v>
                </c:pt>
                <c:pt idx="27">
                  <c:v>91.666666666666671</c:v>
                </c:pt>
                <c:pt idx="28">
                  <c:v>95.000000000000014</c:v>
                </c:pt>
                <c:pt idx="29">
                  <c:v>98.333333333333343</c:v>
                </c:pt>
              </c:numCache>
            </c:numRef>
          </c:xVal>
          <c:yVal>
            <c:numRef>
              <c:f>'Fig 6.3'!$B$25:$B$54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57-4638-B295-A5FE6F409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099408"/>
        <c:axId val="673098424"/>
      </c:scatterChart>
      <c:valAx>
        <c:axId val="67309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3098424"/>
        <c:crosses val="autoZero"/>
        <c:crossBetween val="midCat"/>
      </c:valAx>
      <c:valAx>
        <c:axId val="673098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309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'Fig 6.4'!$B$1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'Fig 6.4'!$A$2:$A$151</c:f>
              <c:numCache>
                <c:formatCode>0.0</c:formatCode>
                <c:ptCount val="150"/>
                <c:pt idx="0">
                  <c:v>31.743384346846163</c:v>
                </c:pt>
                <c:pt idx="1">
                  <c:v>34.958109731816343</c:v>
                </c:pt>
                <c:pt idx="2">
                  <c:v>4.8788158513547364</c:v>
                </c:pt>
                <c:pt idx="3">
                  <c:v>10.184696735037013</c:v>
                </c:pt>
                <c:pt idx="4">
                  <c:v>38.342945902172758</c:v>
                </c:pt>
                <c:pt idx="5">
                  <c:v>6.5814040018442155</c:v>
                </c:pt>
                <c:pt idx="6">
                  <c:v>28.284771240437824</c:v>
                </c:pt>
                <c:pt idx="7">
                  <c:v>31.164693079298132</c:v>
                </c:pt>
                <c:pt idx="8">
                  <c:v>17.271495271870787</c:v>
                </c:pt>
                <c:pt idx="9">
                  <c:v>33.878182165045516</c:v>
                </c:pt>
                <c:pt idx="10">
                  <c:v>6.0630189708386162</c:v>
                </c:pt>
                <c:pt idx="11">
                  <c:v>38.320979210423772</c:v>
                </c:pt>
                <c:pt idx="12">
                  <c:v>14.960279099451533</c:v>
                </c:pt>
                <c:pt idx="13">
                  <c:v>36.19954262997679</c:v>
                </c:pt>
                <c:pt idx="14">
                  <c:v>29.306919152932224</c:v>
                </c:pt>
                <c:pt idx="15">
                  <c:v>16.574828988803326</c:v>
                </c:pt>
                <c:pt idx="16">
                  <c:v>21.17437927257232</c:v>
                </c:pt>
                <c:pt idx="17">
                  <c:v>31.752312918192192</c:v>
                </c:pt>
                <c:pt idx="18">
                  <c:v>0.90330737072500611</c:v>
                </c:pt>
                <c:pt idx="19">
                  <c:v>16.49472514336242</c:v>
                </c:pt>
                <c:pt idx="20">
                  <c:v>6.5303096972835428</c:v>
                </c:pt>
                <c:pt idx="21">
                  <c:v>39.875001289106812</c:v>
                </c:pt>
                <c:pt idx="22">
                  <c:v>10.875141439812918</c:v>
                </c:pt>
                <c:pt idx="23">
                  <c:v>9.7521642503504644</c:v>
                </c:pt>
                <c:pt idx="24">
                  <c:v>29.35564701217438</c:v>
                </c:pt>
                <c:pt idx="25">
                  <c:v>2.3208642885674813</c:v>
                </c:pt>
                <c:pt idx="26">
                  <c:v>23.915315620949627</c:v>
                </c:pt>
                <c:pt idx="27">
                  <c:v>14.992939997172702</c:v>
                </c:pt>
                <c:pt idx="28">
                  <c:v>29.340678029340651</c:v>
                </c:pt>
                <c:pt idx="29">
                  <c:v>24.444621769466185</c:v>
                </c:pt>
                <c:pt idx="30">
                  <c:v>25.052549139835605</c:v>
                </c:pt>
                <c:pt idx="31">
                  <c:v>22.633926479493205</c:v>
                </c:pt>
                <c:pt idx="32">
                  <c:v>6.8943417058207901</c:v>
                </c:pt>
                <c:pt idx="33">
                  <c:v>21.100363291421043</c:v>
                </c:pt>
                <c:pt idx="34">
                  <c:v>4.5860989634410165</c:v>
                </c:pt>
                <c:pt idx="35">
                  <c:v>34.520496769446098</c:v>
                </c:pt>
                <c:pt idx="36">
                  <c:v>9.4202964726715432</c:v>
                </c:pt>
                <c:pt idx="37">
                  <c:v>5.8846668410032965</c:v>
                </c:pt>
                <c:pt idx="38">
                  <c:v>32.532842816420299</c:v>
                </c:pt>
                <c:pt idx="39">
                  <c:v>35.743148621639506</c:v>
                </c:pt>
                <c:pt idx="40">
                  <c:v>19.596832989729709</c:v>
                </c:pt>
                <c:pt idx="41">
                  <c:v>23.509803179249449</c:v>
                </c:pt>
                <c:pt idx="42">
                  <c:v>15.786794897142977</c:v>
                </c:pt>
                <c:pt idx="43">
                  <c:v>37.26143233596077</c:v>
                </c:pt>
                <c:pt idx="44">
                  <c:v>38.865160100219647</c:v>
                </c:pt>
                <c:pt idx="45">
                  <c:v>13.759602866722332</c:v>
                </c:pt>
                <c:pt idx="46">
                  <c:v>7.69857871827893</c:v>
                </c:pt>
                <c:pt idx="47">
                  <c:v>39.682422699709534</c:v>
                </c:pt>
                <c:pt idx="48">
                  <c:v>20.070856467761864</c:v>
                </c:pt>
                <c:pt idx="49">
                  <c:v>11.187068619692365</c:v>
                </c:pt>
                <c:pt idx="50">
                  <c:v>35.45910483116716</c:v>
                </c:pt>
                <c:pt idx="51">
                  <c:v>1.2250175378008166</c:v>
                </c:pt>
                <c:pt idx="52">
                  <c:v>36.260486828857765</c:v>
                </c:pt>
                <c:pt idx="53">
                  <c:v>29.723636159491914</c:v>
                </c:pt>
                <c:pt idx="54">
                  <c:v>33.597764423718715</c:v>
                </c:pt>
                <c:pt idx="55">
                  <c:v>8.9268169567904678</c:v>
                </c:pt>
                <c:pt idx="56">
                  <c:v>21.963672681381897</c:v>
                </c:pt>
                <c:pt idx="57">
                  <c:v>6.6252071068834617</c:v>
                </c:pt>
                <c:pt idx="58">
                  <c:v>0.55391348400353646</c:v>
                </c:pt>
                <c:pt idx="59">
                  <c:v>18.748792460750039</c:v>
                </c:pt>
                <c:pt idx="60">
                  <c:v>23.736555960907417</c:v>
                </c:pt>
                <c:pt idx="61">
                  <c:v>17.713013322979023</c:v>
                </c:pt>
                <c:pt idx="62">
                  <c:v>27.03259920003682</c:v>
                </c:pt>
                <c:pt idx="63">
                  <c:v>33.34424378889608</c:v>
                </c:pt>
                <c:pt idx="64">
                  <c:v>7.2226711407728406</c:v>
                </c:pt>
                <c:pt idx="65">
                  <c:v>35.058218965177716</c:v>
                </c:pt>
                <c:pt idx="66">
                  <c:v>36.813688321406318</c:v>
                </c:pt>
                <c:pt idx="67">
                  <c:v>7.9744392333354108</c:v>
                </c:pt>
                <c:pt idx="68">
                  <c:v>7.9012319498919581</c:v>
                </c:pt>
                <c:pt idx="69">
                  <c:v>32.119622989351569</c:v>
                </c:pt>
                <c:pt idx="70">
                  <c:v>19.542953740012166</c:v>
                </c:pt>
                <c:pt idx="71">
                  <c:v>16.686036766732055</c:v>
                </c:pt>
                <c:pt idx="72">
                  <c:v>37.430007271620383</c:v>
                </c:pt>
                <c:pt idx="73">
                  <c:v>39.207497961769768</c:v>
                </c:pt>
                <c:pt idx="74">
                  <c:v>18.963605261484172</c:v>
                </c:pt>
                <c:pt idx="75">
                  <c:v>23.783526984112548</c:v>
                </c:pt>
                <c:pt idx="76">
                  <c:v>30.316569994588797</c:v>
                </c:pt>
                <c:pt idx="77">
                  <c:v>3.5609875829443371</c:v>
                </c:pt>
                <c:pt idx="78">
                  <c:v>26.928129932764364</c:v>
                </c:pt>
                <c:pt idx="79">
                  <c:v>17.583079473986025</c:v>
                </c:pt>
                <c:pt idx="80">
                  <c:v>25.219379264679461</c:v>
                </c:pt>
                <c:pt idx="81">
                  <c:v>14.658599350083662</c:v>
                </c:pt>
                <c:pt idx="82">
                  <c:v>25.316671759200638</c:v>
                </c:pt>
                <c:pt idx="83">
                  <c:v>16.747616338634334</c:v>
                </c:pt>
                <c:pt idx="84">
                  <c:v>22.264147347078097</c:v>
                </c:pt>
                <c:pt idx="85">
                  <c:v>32.191982995563357</c:v>
                </c:pt>
                <c:pt idx="86">
                  <c:v>9.9671074419762427</c:v>
                </c:pt>
                <c:pt idx="87">
                  <c:v>38.001032049993086</c:v>
                </c:pt>
                <c:pt idx="88">
                  <c:v>13.019798918229188</c:v>
                </c:pt>
                <c:pt idx="89">
                  <c:v>24.41903705463784</c:v>
                </c:pt>
                <c:pt idx="90">
                  <c:v>24.941213100121548</c:v>
                </c:pt>
                <c:pt idx="91">
                  <c:v>17.511825153706351</c:v>
                </c:pt>
                <c:pt idx="92">
                  <c:v>6.0893620843799656</c:v>
                </c:pt>
                <c:pt idx="93">
                  <c:v>8.39899643856727</c:v>
                </c:pt>
                <c:pt idx="94">
                  <c:v>39.472784818667883</c:v>
                </c:pt>
                <c:pt idx="95">
                  <c:v>32.17269989198607</c:v>
                </c:pt>
                <c:pt idx="96">
                  <c:v>38.789491122313514</c:v>
                </c:pt>
                <c:pt idx="97">
                  <c:v>16.168625584028547</c:v>
                </c:pt>
                <c:pt idx="98">
                  <c:v>5.649338973416258</c:v>
                </c:pt>
                <c:pt idx="99">
                  <c:v>19.719154996140485</c:v>
                </c:pt>
                <c:pt idx="100">
                  <c:v>29.294530220802336</c:v>
                </c:pt>
                <c:pt idx="101">
                  <c:v>35.906344680769124</c:v>
                </c:pt>
                <c:pt idx="102">
                  <c:v>31.430046686838242</c:v>
                </c:pt>
                <c:pt idx="103">
                  <c:v>19.31769322840864</c:v>
                </c:pt>
                <c:pt idx="104">
                  <c:v>24.652885103051926</c:v>
                </c:pt>
                <c:pt idx="105">
                  <c:v>3.8080266623487535</c:v>
                </c:pt>
                <c:pt idx="106">
                  <c:v>38.641569179331825</c:v>
                </c:pt>
                <c:pt idx="107">
                  <c:v>12.978652516050438</c:v>
                </c:pt>
                <c:pt idx="108">
                  <c:v>23.138558097068884</c:v>
                </c:pt>
                <c:pt idx="109">
                  <c:v>16.207618406060558</c:v>
                </c:pt>
                <c:pt idx="110">
                  <c:v>15.07497436080936</c:v>
                </c:pt>
                <c:pt idx="111">
                  <c:v>4.4174846282480651</c:v>
                </c:pt>
                <c:pt idx="112">
                  <c:v>7.8903614077268402</c:v>
                </c:pt>
                <c:pt idx="113">
                  <c:v>4.5499146455769024</c:v>
                </c:pt>
                <c:pt idx="114">
                  <c:v>37.399184716998107</c:v>
                </c:pt>
                <c:pt idx="115">
                  <c:v>7.5349025076543308</c:v>
                </c:pt>
                <c:pt idx="116">
                  <c:v>37.485647489870331</c:v>
                </c:pt>
                <c:pt idx="117">
                  <c:v>31.873407228068871</c:v>
                </c:pt>
                <c:pt idx="118">
                  <c:v>22.794143334910331</c:v>
                </c:pt>
                <c:pt idx="119">
                  <c:v>39.104216659933989</c:v>
                </c:pt>
                <c:pt idx="120">
                  <c:v>23.18853406301055</c:v>
                </c:pt>
                <c:pt idx="121">
                  <c:v>33.164552520110433</c:v>
                </c:pt>
                <c:pt idx="122">
                  <c:v>39.445790200174415</c:v>
                </c:pt>
                <c:pt idx="123">
                  <c:v>26.773738187125385</c:v>
                </c:pt>
                <c:pt idx="124">
                  <c:v>6.0743197005829286</c:v>
                </c:pt>
                <c:pt idx="125">
                  <c:v>17.940142655427916</c:v>
                </c:pt>
                <c:pt idx="126">
                  <c:v>30.369539880141364</c:v>
                </c:pt>
                <c:pt idx="127">
                  <c:v>27.500714396353715</c:v>
                </c:pt>
                <c:pt idx="128">
                  <c:v>10.855502881977316</c:v>
                </c:pt>
                <c:pt idx="129">
                  <c:v>7.4499837795201218</c:v>
                </c:pt>
                <c:pt idx="130">
                  <c:v>12.425665838843557</c:v>
                </c:pt>
                <c:pt idx="131">
                  <c:v>1.07556802908372</c:v>
                </c:pt>
                <c:pt idx="132">
                  <c:v>14.661255969006874</c:v>
                </c:pt>
                <c:pt idx="133">
                  <c:v>17.408303452779105</c:v>
                </c:pt>
                <c:pt idx="134">
                  <c:v>26.358498283278358</c:v>
                </c:pt>
                <c:pt idx="135">
                  <c:v>5.029461988014936</c:v>
                </c:pt>
                <c:pt idx="136">
                  <c:v>35.805912329670008</c:v>
                </c:pt>
                <c:pt idx="137">
                  <c:v>18.208266709366491</c:v>
                </c:pt>
                <c:pt idx="138">
                  <c:v>15.426895817049267</c:v>
                </c:pt>
                <c:pt idx="139">
                  <c:v>37.483246969307913</c:v>
                </c:pt>
                <c:pt idx="140">
                  <c:v>13.568887629069719</c:v>
                </c:pt>
                <c:pt idx="141">
                  <c:v>30.733133275527138</c:v>
                </c:pt>
                <c:pt idx="142">
                  <c:v>26.548496260857878</c:v>
                </c:pt>
                <c:pt idx="143">
                  <c:v>25.557170514567421</c:v>
                </c:pt>
                <c:pt idx="144">
                  <c:v>13.739960709923658</c:v>
                </c:pt>
                <c:pt idx="145">
                  <c:v>18.165378714174377</c:v>
                </c:pt>
                <c:pt idx="146">
                  <c:v>29.269881075322669</c:v>
                </c:pt>
                <c:pt idx="147">
                  <c:v>9.6023563891624697</c:v>
                </c:pt>
                <c:pt idx="148">
                  <c:v>19.330152347215829</c:v>
                </c:pt>
                <c:pt idx="149">
                  <c:v>26.3455906142107</c:v>
                </c:pt>
              </c:numCache>
            </c:numRef>
          </c:xVal>
          <c:yVal>
            <c:numRef>
              <c:f>'Fig 6.4'!$B$2:$B$151</c:f>
              <c:numCache>
                <c:formatCode>0.0</c:formatCode>
                <c:ptCount val="150"/>
                <c:pt idx="0">
                  <c:v>27.1</c:v>
                </c:pt>
                <c:pt idx="1">
                  <c:v>30</c:v>
                </c:pt>
                <c:pt idx="2">
                  <c:v>24.2</c:v>
                </c:pt>
                <c:pt idx="3">
                  <c:v>25.1</c:v>
                </c:pt>
                <c:pt idx="4">
                  <c:v>32.6</c:v>
                </c:pt>
                <c:pt idx="5">
                  <c:v>24.8</c:v>
                </c:pt>
                <c:pt idx="6">
                  <c:v>30.1</c:v>
                </c:pt>
                <c:pt idx="7">
                  <c:v>29</c:v>
                </c:pt>
                <c:pt idx="8">
                  <c:v>22.6</c:v>
                </c:pt>
                <c:pt idx="9">
                  <c:v>31.6</c:v>
                </c:pt>
                <c:pt idx="10">
                  <c:v>21</c:v>
                </c:pt>
                <c:pt idx="11">
                  <c:v>31.1</c:v>
                </c:pt>
                <c:pt idx="12">
                  <c:v>26.1</c:v>
                </c:pt>
                <c:pt idx="13">
                  <c:v>32.5</c:v>
                </c:pt>
                <c:pt idx="14">
                  <c:v>30.9</c:v>
                </c:pt>
                <c:pt idx="15">
                  <c:v>28.2</c:v>
                </c:pt>
                <c:pt idx="16">
                  <c:v>29.8</c:v>
                </c:pt>
                <c:pt idx="17">
                  <c:v>27.4</c:v>
                </c:pt>
                <c:pt idx="18">
                  <c:v>22.5</c:v>
                </c:pt>
                <c:pt idx="19">
                  <c:v>23.8</c:v>
                </c:pt>
                <c:pt idx="20">
                  <c:v>26.9</c:v>
                </c:pt>
                <c:pt idx="21">
                  <c:v>30.7</c:v>
                </c:pt>
                <c:pt idx="22">
                  <c:v>23.1</c:v>
                </c:pt>
                <c:pt idx="23">
                  <c:v>22.7</c:v>
                </c:pt>
                <c:pt idx="24">
                  <c:v>31</c:v>
                </c:pt>
                <c:pt idx="25">
                  <c:v>25.1</c:v>
                </c:pt>
                <c:pt idx="26">
                  <c:v>29.6</c:v>
                </c:pt>
                <c:pt idx="27">
                  <c:v>27.8</c:v>
                </c:pt>
                <c:pt idx="28">
                  <c:v>28.4</c:v>
                </c:pt>
                <c:pt idx="29">
                  <c:v>28.4</c:v>
                </c:pt>
                <c:pt idx="30">
                  <c:v>25.7</c:v>
                </c:pt>
                <c:pt idx="31">
                  <c:v>24.2</c:v>
                </c:pt>
                <c:pt idx="32">
                  <c:v>22.9</c:v>
                </c:pt>
                <c:pt idx="33">
                  <c:v>25.4</c:v>
                </c:pt>
                <c:pt idx="34">
                  <c:v>23.5</c:v>
                </c:pt>
                <c:pt idx="35">
                  <c:v>29.5</c:v>
                </c:pt>
                <c:pt idx="36">
                  <c:v>24.2</c:v>
                </c:pt>
                <c:pt idx="37">
                  <c:v>23.4</c:v>
                </c:pt>
                <c:pt idx="38">
                  <c:v>32.1</c:v>
                </c:pt>
                <c:pt idx="39">
                  <c:v>29.1</c:v>
                </c:pt>
                <c:pt idx="40">
                  <c:v>24</c:v>
                </c:pt>
                <c:pt idx="41">
                  <c:v>29.7</c:v>
                </c:pt>
                <c:pt idx="42">
                  <c:v>25.4</c:v>
                </c:pt>
                <c:pt idx="43">
                  <c:v>32.799999999999997</c:v>
                </c:pt>
                <c:pt idx="44">
                  <c:v>29.9</c:v>
                </c:pt>
                <c:pt idx="45">
                  <c:v>26.1</c:v>
                </c:pt>
                <c:pt idx="46">
                  <c:v>22.7</c:v>
                </c:pt>
                <c:pt idx="47">
                  <c:v>31.8</c:v>
                </c:pt>
                <c:pt idx="48">
                  <c:v>29.7</c:v>
                </c:pt>
                <c:pt idx="49">
                  <c:v>23.3</c:v>
                </c:pt>
                <c:pt idx="50">
                  <c:v>30.7</c:v>
                </c:pt>
                <c:pt idx="51">
                  <c:v>22.1</c:v>
                </c:pt>
                <c:pt idx="52">
                  <c:v>30.3</c:v>
                </c:pt>
                <c:pt idx="53">
                  <c:v>28.8</c:v>
                </c:pt>
                <c:pt idx="54">
                  <c:v>28</c:v>
                </c:pt>
                <c:pt idx="55">
                  <c:v>25.3</c:v>
                </c:pt>
                <c:pt idx="56">
                  <c:v>25.9</c:v>
                </c:pt>
                <c:pt idx="57">
                  <c:v>23</c:v>
                </c:pt>
                <c:pt idx="58">
                  <c:v>22.1</c:v>
                </c:pt>
                <c:pt idx="59">
                  <c:v>23.4</c:v>
                </c:pt>
                <c:pt idx="60">
                  <c:v>27.7</c:v>
                </c:pt>
                <c:pt idx="61">
                  <c:v>26.4</c:v>
                </c:pt>
                <c:pt idx="62">
                  <c:v>26.7</c:v>
                </c:pt>
                <c:pt idx="63">
                  <c:v>31.9</c:v>
                </c:pt>
                <c:pt idx="64">
                  <c:v>20.6</c:v>
                </c:pt>
                <c:pt idx="65">
                  <c:v>28.5</c:v>
                </c:pt>
                <c:pt idx="66">
                  <c:v>32.1</c:v>
                </c:pt>
                <c:pt idx="67">
                  <c:v>23.1</c:v>
                </c:pt>
                <c:pt idx="68">
                  <c:v>22.2</c:v>
                </c:pt>
                <c:pt idx="69">
                  <c:v>28.1</c:v>
                </c:pt>
                <c:pt idx="70">
                  <c:v>25.7</c:v>
                </c:pt>
                <c:pt idx="71">
                  <c:v>25.2</c:v>
                </c:pt>
                <c:pt idx="72">
                  <c:v>29.9</c:v>
                </c:pt>
                <c:pt idx="73">
                  <c:v>31.3</c:v>
                </c:pt>
                <c:pt idx="74">
                  <c:v>26.3</c:v>
                </c:pt>
                <c:pt idx="75">
                  <c:v>28</c:v>
                </c:pt>
                <c:pt idx="76">
                  <c:v>29.4</c:v>
                </c:pt>
                <c:pt idx="77">
                  <c:v>21</c:v>
                </c:pt>
                <c:pt idx="78">
                  <c:v>28.8</c:v>
                </c:pt>
                <c:pt idx="79">
                  <c:v>25.1</c:v>
                </c:pt>
                <c:pt idx="80">
                  <c:v>25.7</c:v>
                </c:pt>
                <c:pt idx="81">
                  <c:v>24.4</c:v>
                </c:pt>
                <c:pt idx="82">
                  <c:v>27.3</c:v>
                </c:pt>
                <c:pt idx="83">
                  <c:v>21.6</c:v>
                </c:pt>
                <c:pt idx="84">
                  <c:v>28.6</c:v>
                </c:pt>
                <c:pt idx="85">
                  <c:v>31.4</c:v>
                </c:pt>
                <c:pt idx="86">
                  <c:v>23</c:v>
                </c:pt>
                <c:pt idx="87">
                  <c:v>30.8</c:v>
                </c:pt>
                <c:pt idx="88">
                  <c:v>23</c:v>
                </c:pt>
                <c:pt idx="89">
                  <c:v>30.3</c:v>
                </c:pt>
                <c:pt idx="90">
                  <c:v>25.3</c:v>
                </c:pt>
                <c:pt idx="91">
                  <c:v>27</c:v>
                </c:pt>
                <c:pt idx="92">
                  <c:v>24.8</c:v>
                </c:pt>
                <c:pt idx="93">
                  <c:v>23.3</c:v>
                </c:pt>
                <c:pt idx="94">
                  <c:v>30.9</c:v>
                </c:pt>
                <c:pt idx="95">
                  <c:v>29.1</c:v>
                </c:pt>
                <c:pt idx="96">
                  <c:v>32.1</c:v>
                </c:pt>
                <c:pt idx="97">
                  <c:v>23.2</c:v>
                </c:pt>
                <c:pt idx="98">
                  <c:v>20.9</c:v>
                </c:pt>
                <c:pt idx="99">
                  <c:v>28.8</c:v>
                </c:pt>
                <c:pt idx="100">
                  <c:v>26.5</c:v>
                </c:pt>
                <c:pt idx="101">
                  <c:v>30.3</c:v>
                </c:pt>
                <c:pt idx="102">
                  <c:v>28.3</c:v>
                </c:pt>
                <c:pt idx="103">
                  <c:v>27.8</c:v>
                </c:pt>
                <c:pt idx="104">
                  <c:v>31.1</c:v>
                </c:pt>
                <c:pt idx="105">
                  <c:v>22.1</c:v>
                </c:pt>
                <c:pt idx="106">
                  <c:v>31.1</c:v>
                </c:pt>
                <c:pt idx="107">
                  <c:v>21.2</c:v>
                </c:pt>
                <c:pt idx="108">
                  <c:v>26.1</c:v>
                </c:pt>
                <c:pt idx="109">
                  <c:v>27.3</c:v>
                </c:pt>
                <c:pt idx="110">
                  <c:v>22.9</c:v>
                </c:pt>
                <c:pt idx="111">
                  <c:v>21</c:v>
                </c:pt>
                <c:pt idx="112">
                  <c:v>25.5</c:v>
                </c:pt>
                <c:pt idx="113">
                  <c:v>22</c:v>
                </c:pt>
                <c:pt idx="114">
                  <c:v>30.8</c:v>
                </c:pt>
                <c:pt idx="115">
                  <c:v>22.9</c:v>
                </c:pt>
                <c:pt idx="116">
                  <c:v>29</c:v>
                </c:pt>
                <c:pt idx="117">
                  <c:v>29.2</c:v>
                </c:pt>
                <c:pt idx="118">
                  <c:v>26</c:v>
                </c:pt>
                <c:pt idx="119">
                  <c:v>30.4</c:v>
                </c:pt>
                <c:pt idx="120">
                  <c:v>27.9</c:v>
                </c:pt>
                <c:pt idx="121">
                  <c:v>31.5</c:v>
                </c:pt>
                <c:pt idx="122">
                  <c:v>27.6</c:v>
                </c:pt>
                <c:pt idx="123">
                  <c:v>25.1</c:v>
                </c:pt>
                <c:pt idx="124">
                  <c:v>22.2</c:v>
                </c:pt>
                <c:pt idx="125">
                  <c:v>28.1</c:v>
                </c:pt>
                <c:pt idx="126">
                  <c:v>29.1</c:v>
                </c:pt>
                <c:pt idx="127">
                  <c:v>25.8</c:v>
                </c:pt>
                <c:pt idx="128">
                  <c:v>25.6</c:v>
                </c:pt>
                <c:pt idx="129">
                  <c:v>24.9</c:v>
                </c:pt>
                <c:pt idx="130">
                  <c:v>21.1</c:v>
                </c:pt>
                <c:pt idx="131">
                  <c:v>21</c:v>
                </c:pt>
                <c:pt idx="132">
                  <c:v>24.3</c:v>
                </c:pt>
                <c:pt idx="133">
                  <c:v>22.9</c:v>
                </c:pt>
                <c:pt idx="134">
                  <c:v>25.2</c:v>
                </c:pt>
                <c:pt idx="135">
                  <c:v>21.7</c:v>
                </c:pt>
                <c:pt idx="136">
                  <c:v>28.4</c:v>
                </c:pt>
                <c:pt idx="137">
                  <c:v>28.6</c:v>
                </c:pt>
                <c:pt idx="138">
                  <c:v>26.5</c:v>
                </c:pt>
                <c:pt idx="139">
                  <c:v>30.2</c:v>
                </c:pt>
                <c:pt idx="140">
                  <c:v>26.7</c:v>
                </c:pt>
                <c:pt idx="141">
                  <c:v>29.5</c:v>
                </c:pt>
                <c:pt idx="142">
                  <c:v>26.8</c:v>
                </c:pt>
                <c:pt idx="143">
                  <c:v>25.9</c:v>
                </c:pt>
                <c:pt idx="144">
                  <c:v>24.7</c:v>
                </c:pt>
                <c:pt idx="145">
                  <c:v>29.5</c:v>
                </c:pt>
                <c:pt idx="146">
                  <c:v>29</c:v>
                </c:pt>
                <c:pt idx="147">
                  <c:v>21.6</c:v>
                </c:pt>
                <c:pt idx="148">
                  <c:v>28.2</c:v>
                </c:pt>
                <c:pt idx="149">
                  <c:v>29.7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C-47EE-AE07-FDF167AFC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625400"/>
        <c:axId val="612621136"/>
      </c:scatterChart>
      <c:valAx>
        <c:axId val="612625400"/>
        <c:scaling>
          <c:orientation val="minMax"/>
          <c:max val="40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21136"/>
        <c:crossesAt val="-80"/>
        <c:crossBetween val="midCat"/>
      </c:valAx>
      <c:valAx>
        <c:axId val="612621136"/>
        <c:scaling>
          <c:orientation val="minMax"/>
          <c:max val="60"/>
          <c:min val="0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'Fig 6.5'!$B$1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'Fig 6.5'!$A$2:$A$151</c:f>
              <c:numCache>
                <c:formatCode>0.0</c:formatCode>
                <c:ptCount val="150"/>
                <c:pt idx="0">
                  <c:v>0.55391348400353646</c:v>
                </c:pt>
                <c:pt idx="1">
                  <c:v>0.90330737072500611</c:v>
                </c:pt>
                <c:pt idx="2">
                  <c:v>1.07556802908372</c:v>
                </c:pt>
                <c:pt idx="3">
                  <c:v>1.2250175378008166</c:v>
                </c:pt>
                <c:pt idx="4">
                  <c:v>2.3208642885674813</c:v>
                </c:pt>
                <c:pt idx="5">
                  <c:v>3.5609875829443371</c:v>
                </c:pt>
                <c:pt idx="6">
                  <c:v>3.8080266623487535</c:v>
                </c:pt>
                <c:pt idx="7">
                  <c:v>4.4174846282480651</c:v>
                </c:pt>
                <c:pt idx="8">
                  <c:v>4.5499146455769024</c:v>
                </c:pt>
                <c:pt idx="9">
                  <c:v>4.5860989634410165</c:v>
                </c:pt>
                <c:pt idx="10">
                  <c:v>4.8788158513547364</c:v>
                </c:pt>
                <c:pt idx="11">
                  <c:v>5.029461988014936</c:v>
                </c:pt>
                <c:pt idx="12">
                  <c:v>5.649338973416258</c:v>
                </c:pt>
                <c:pt idx="13">
                  <c:v>5.8846668410032965</c:v>
                </c:pt>
                <c:pt idx="14">
                  <c:v>6.0630189708386162</c:v>
                </c:pt>
                <c:pt idx="15">
                  <c:v>6.0743197005829286</c:v>
                </c:pt>
                <c:pt idx="16">
                  <c:v>6.0893620843799656</c:v>
                </c:pt>
                <c:pt idx="17">
                  <c:v>6.5303096972835428</c:v>
                </c:pt>
                <c:pt idx="18">
                  <c:v>6.5814040018442155</c:v>
                </c:pt>
                <c:pt idx="19">
                  <c:v>6.6252071068834617</c:v>
                </c:pt>
                <c:pt idx="20">
                  <c:v>6.8943417058207901</c:v>
                </c:pt>
                <c:pt idx="21">
                  <c:v>7.2226711407728406</c:v>
                </c:pt>
                <c:pt idx="22">
                  <c:v>7.4499837795201218</c:v>
                </c:pt>
                <c:pt idx="23">
                  <c:v>7.5349025076543308</c:v>
                </c:pt>
                <c:pt idx="24">
                  <c:v>7.69857871827893</c:v>
                </c:pt>
                <c:pt idx="25">
                  <c:v>7.8903614077268402</c:v>
                </c:pt>
                <c:pt idx="26">
                  <c:v>7.9012319498919581</c:v>
                </c:pt>
                <c:pt idx="27">
                  <c:v>7.9744392333354108</c:v>
                </c:pt>
                <c:pt idx="28">
                  <c:v>8.39899643856727</c:v>
                </c:pt>
                <c:pt idx="29">
                  <c:v>8.9268169567904678</c:v>
                </c:pt>
                <c:pt idx="30">
                  <c:v>9.4202964726715432</c:v>
                </c:pt>
                <c:pt idx="31">
                  <c:v>9.6023563891624697</c:v>
                </c:pt>
                <c:pt idx="32">
                  <c:v>9.7521642503504644</c:v>
                </c:pt>
                <c:pt idx="33">
                  <c:v>9.9671074419762427</c:v>
                </c:pt>
                <c:pt idx="34">
                  <c:v>10.184696735037013</c:v>
                </c:pt>
                <c:pt idx="35">
                  <c:v>10.855502881977316</c:v>
                </c:pt>
                <c:pt idx="36">
                  <c:v>10.875141439812918</c:v>
                </c:pt>
                <c:pt idx="37">
                  <c:v>11.187068619692365</c:v>
                </c:pt>
                <c:pt idx="38">
                  <c:v>12.425665838843557</c:v>
                </c:pt>
                <c:pt idx="39">
                  <c:v>12.978652516050438</c:v>
                </c:pt>
                <c:pt idx="40">
                  <c:v>13.019798918229188</c:v>
                </c:pt>
                <c:pt idx="41">
                  <c:v>13.568887629069719</c:v>
                </c:pt>
                <c:pt idx="42">
                  <c:v>13.739960709923658</c:v>
                </c:pt>
                <c:pt idx="43">
                  <c:v>13.759602866722332</c:v>
                </c:pt>
                <c:pt idx="44">
                  <c:v>14.658599350083662</c:v>
                </c:pt>
                <c:pt idx="45">
                  <c:v>14.661255969006874</c:v>
                </c:pt>
                <c:pt idx="46">
                  <c:v>14.960279099451533</c:v>
                </c:pt>
                <c:pt idx="47">
                  <c:v>14.992939997172702</c:v>
                </c:pt>
                <c:pt idx="48">
                  <c:v>15.07497436080936</c:v>
                </c:pt>
                <c:pt idx="49">
                  <c:v>15.426895817049267</c:v>
                </c:pt>
                <c:pt idx="50">
                  <c:v>15.786794897142977</c:v>
                </c:pt>
                <c:pt idx="51">
                  <c:v>16.168625584028547</c:v>
                </c:pt>
                <c:pt idx="52">
                  <c:v>16.207618406060558</c:v>
                </c:pt>
                <c:pt idx="53">
                  <c:v>16.49472514336242</c:v>
                </c:pt>
                <c:pt idx="54">
                  <c:v>16.574828988803326</c:v>
                </c:pt>
                <c:pt idx="55">
                  <c:v>16.686036766732055</c:v>
                </c:pt>
                <c:pt idx="56">
                  <c:v>16.747616338634334</c:v>
                </c:pt>
                <c:pt idx="57">
                  <c:v>17.271495271870787</c:v>
                </c:pt>
                <c:pt idx="58">
                  <c:v>17.408303452779105</c:v>
                </c:pt>
                <c:pt idx="59">
                  <c:v>17.511825153706351</c:v>
                </c:pt>
                <c:pt idx="60">
                  <c:v>17.583079473986025</c:v>
                </c:pt>
                <c:pt idx="61">
                  <c:v>17.713013322979023</c:v>
                </c:pt>
                <c:pt idx="62">
                  <c:v>17.940142655427916</c:v>
                </c:pt>
                <c:pt idx="63">
                  <c:v>18.165378714174377</c:v>
                </c:pt>
                <c:pt idx="64">
                  <c:v>18.208266709366491</c:v>
                </c:pt>
                <c:pt idx="65">
                  <c:v>18.748792460750039</c:v>
                </c:pt>
                <c:pt idx="66">
                  <c:v>18.963605261484172</c:v>
                </c:pt>
                <c:pt idx="67">
                  <c:v>19.31769322840864</c:v>
                </c:pt>
                <c:pt idx="68">
                  <c:v>19.330152347215829</c:v>
                </c:pt>
                <c:pt idx="69">
                  <c:v>19.542953740012166</c:v>
                </c:pt>
                <c:pt idx="70">
                  <c:v>19.596832989729709</c:v>
                </c:pt>
                <c:pt idx="71">
                  <c:v>19.719154996140485</c:v>
                </c:pt>
                <c:pt idx="72">
                  <c:v>20.070856467761864</c:v>
                </c:pt>
                <c:pt idx="73">
                  <c:v>21.100363291421043</c:v>
                </c:pt>
                <c:pt idx="74">
                  <c:v>21.17437927257232</c:v>
                </c:pt>
                <c:pt idx="75">
                  <c:v>21.963672681381897</c:v>
                </c:pt>
                <c:pt idx="76">
                  <c:v>22.264147347078097</c:v>
                </c:pt>
                <c:pt idx="77">
                  <c:v>22.633926479493205</c:v>
                </c:pt>
                <c:pt idx="78">
                  <c:v>22.794143334910331</c:v>
                </c:pt>
                <c:pt idx="79">
                  <c:v>23.138558097068884</c:v>
                </c:pt>
                <c:pt idx="80">
                  <c:v>23.18853406301055</c:v>
                </c:pt>
                <c:pt idx="81">
                  <c:v>23.509803179249449</c:v>
                </c:pt>
                <c:pt idx="82">
                  <c:v>23.736555960907417</c:v>
                </c:pt>
                <c:pt idx="83">
                  <c:v>23.783526984112548</c:v>
                </c:pt>
                <c:pt idx="84">
                  <c:v>23.915315620949627</c:v>
                </c:pt>
                <c:pt idx="85">
                  <c:v>24.41903705463784</c:v>
                </c:pt>
                <c:pt idx="86">
                  <c:v>24.444621769466185</c:v>
                </c:pt>
                <c:pt idx="87">
                  <c:v>24.652885103051926</c:v>
                </c:pt>
                <c:pt idx="88">
                  <c:v>24.941213100121548</c:v>
                </c:pt>
                <c:pt idx="89">
                  <c:v>25.052549139835605</c:v>
                </c:pt>
                <c:pt idx="90">
                  <c:v>25.219379264679461</c:v>
                </c:pt>
                <c:pt idx="91">
                  <c:v>25.316671759200638</c:v>
                </c:pt>
                <c:pt idx="92">
                  <c:v>25.557170514567421</c:v>
                </c:pt>
                <c:pt idx="93">
                  <c:v>26.3455906142107</c:v>
                </c:pt>
                <c:pt idx="94">
                  <c:v>26.358498283278358</c:v>
                </c:pt>
                <c:pt idx="95">
                  <c:v>26.548496260857878</c:v>
                </c:pt>
                <c:pt idx="96">
                  <c:v>26.773738187125385</c:v>
                </c:pt>
                <c:pt idx="97">
                  <c:v>26.928129932764364</c:v>
                </c:pt>
                <c:pt idx="98">
                  <c:v>27.03259920003682</c:v>
                </c:pt>
                <c:pt idx="99">
                  <c:v>27.500714396353715</c:v>
                </c:pt>
                <c:pt idx="100">
                  <c:v>28.284771240437824</c:v>
                </c:pt>
                <c:pt idx="101">
                  <c:v>29.269881075322669</c:v>
                </c:pt>
                <c:pt idx="102">
                  <c:v>29.294530220802336</c:v>
                </c:pt>
                <c:pt idx="103">
                  <c:v>29.306919152932224</c:v>
                </c:pt>
                <c:pt idx="104">
                  <c:v>29.340678029340651</c:v>
                </c:pt>
                <c:pt idx="105">
                  <c:v>29.35564701217438</c:v>
                </c:pt>
                <c:pt idx="106">
                  <c:v>29.723636159491914</c:v>
                </c:pt>
                <c:pt idx="107">
                  <c:v>30.316569994588797</c:v>
                </c:pt>
                <c:pt idx="108">
                  <c:v>30.369539880141364</c:v>
                </c:pt>
                <c:pt idx="109">
                  <c:v>30.733133275527138</c:v>
                </c:pt>
                <c:pt idx="110">
                  <c:v>31.164693079298132</c:v>
                </c:pt>
                <c:pt idx="111">
                  <c:v>31.430046686838242</c:v>
                </c:pt>
                <c:pt idx="112">
                  <c:v>31.743384346846163</c:v>
                </c:pt>
                <c:pt idx="113">
                  <c:v>31.752312918192192</c:v>
                </c:pt>
                <c:pt idx="114">
                  <c:v>31.873407228068871</c:v>
                </c:pt>
                <c:pt idx="115">
                  <c:v>32.119622989351569</c:v>
                </c:pt>
                <c:pt idx="116">
                  <c:v>32.17269989198607</c:v>
                </c:pt>
                <c:pt idx="117">
                  <c:v>32.191982995563357</c:v>
                </c:pt>
                <c:pt idx="118">
                  <c:v>32.532842816420299</c:v>
                </c:pt>
                <c:pt idx="119">
                  <c:v>33.164552520110433</c:v>
                </c:pt>
                <c:pt idx="120">
                  <c:v>33.34424378889608</c:v>
                </c:pt>
                <c:pt idx="121">
                  <c:v>33.597764423718715</c:v>
                </c:pt>
                <c:pt idx="122">
                  <c:v>33.878182165045516</c:v>
                </c:pt>
                <c:pt idx="123">
                  <c:v>34.520496769446098</c:v>
                </c:pt>
                <c:pt idx="124">
                  <c:v>34.958109731816343</c:v>
                </c:pt>
                <c:pt idx="125">
                  <c:v>35.058218965177716</c:v>
                </c:pt>
                <c:pt idx="126">
                  <c:v>35.45910483116716</c:v>
                </c:pt>
                <c:pt idx="127">
                  <c:v>35.743148621639506</c:v>
                </c:pt>
                <c:pt idx="128">
                  <c:v>35.805912329670008</c:v>
                </c:pt>
                <c:pt idx="129">
                  <c:v>35.906344680769124</c:v>
                </c:pt>
                <c:pt idx="130">
                  <c:v>36.19954262997679</c:v>
                </c:pt>
                <c:pt idx="131">
                  <c:v>36.260486828857765</c:v>
                </c:pt>
                <c:pt idx="132">
                  <c:v>36.813688321406318</c:v>
                </c:pt>
                <c:pt idx="133">
                  <c:v>37.26143233596077</c:v>
                </c:pt>
                <c:pt idx="134">
                  <c:v>37.399184716998107</c:v>
                </c:pt>
                <c:pt idx="135">
                  <c:v>37.430007271620383</c:v>
                </c:pt>
                <c:pt idx="136">
                  <c:v>37.483246969307913</c:v>
                </c:pt>
                <c:pt idx="137">
                  <c:v>37.485647489870331</c:v>
                </c:pt>
                <c:pt idx="138">
                  <c:v>38.001032049993086</c:v>
                </c:pt>
                <c:pt idx="139">
                  <c:v>38.320979210423772</c:v>
                </c:pt>
                <c:pt idx="140">
                  <c:v>38.342945902172758</c:v>
                </c:pt>
                <c:pt idx="141">
                  <c:v>38.641569179331825</c:v>
                </c:pt>
                <c:pt idx="142">
                  <c:v>38.789491122313514</c:v>
                </c:pt>
                <c:pt idx="143">
                  <c:v>38.865160100219647</c:v>
                </c:pt>
                <c:pt idx="144">
                  <c:v>39.104216659933989</c:v>
                </c:pt>
                <c:pt idx="145">
                  <c:v>39.207497961769768</c:v>
                </c:pt>
                <c:pt idx="146">
                  <c:v>39.445790200174415</c:v>
                </c:pt>
                <c:pt idx="147">
                  <c:v>39.472784818667883</c:v>
                </c:pt>
                <c:pt idx="148">
                  <c:v>39.682422699709534</c:v>
                </c:pt>
                <c:pt idx="149">
                  <c:v>39.875001289106812</c:v>
                </c:pt>
              </c:numCache>
            </c:numRef>
          </c:xVal>
          <c:yVal>
            <c:numRef>
              <c:f>'Fig 6.5'!$B$2:$B$151</c:f>
              <c:numCache>
                <c:formatCode>0.0</c:formatCode>
                <c:ptCount val="150"/>
                <c:pt idx="0">
                  <c:v>24.565352111237299</c:v>
                </c:pt>
                <c:pt idx="1">
                  <c:v>26.324156029088691</c:v>
                </c:pt>
                <c:pt idx="2">
                  <c:v>17.069926214382601</c:v>
                </c:pt>
                <c:pt idx="3">
                  <c:v>23.843287843408291</c:v>
                </c:pt>
                <c:pt idx="4">
                  <c:v>40.4039699504319</c:v>
                </c:pt>
                <c:pt idx="5">
                  <c:v>14.0961816143316</c:v>
                </c:pt>
                <c:pt idx="6">
                  <c:v>20.415443653466099</c:v>
                </c:pt>
                <c:pt idx="7">
                  <c:v>13.2823079718241</c:v>
                </c:pt>
                <c:pt idx="8">
                  <c:v>18.758767252157199</c:v>
                </c:pt>
                <c:pt idx="9">
                  <c:v>28.075722304113469</c:v>
                </c:pt>
                <c:pt idx="10">
                  <c:v>31.530093299999127</c:v>
                </c:pt>
                <c:pt idx="11">
                  <c:v>16.399158530923899</c:v>
                </c:pt>
                <c:pt idx="12">
                  <c:v>10.8901135057953</c:v>
                </c:pt>
                <c:pt idx="13">
                  <c:v>25.840975824701001</c:v>
                </c:pt>
                <c:pt idx="14">
                  <c:v>11.366298915855495</c:v>
                </c:pt>
                <c:pt idx="15">
                  <c:v>18.585777098117202</c:v>
                </c:pt>
                <c:pt idx="16">
                  <c:v>33.936853179705409</c:v>
                </c:pt>
                <c:pt idx="17">
                  <c:v>46.0221332681093</c:v>
                </c:pt>
                <c:pt idx="18">
                  <c:v>33.608188053072404</c:v>
                </c:pt>
                <c:pt idx="19">
                  <c:v>22.6180909651242</c:v>
                </c:pt>
                <c:pt idx="20">
                  <c:v>21.523233084657001</c:v>
                </c:pt>
                <c:pt idx="21">
                  <c:v>7.4098296819132869</c:v>
                </c:pt>
                <c:pt idx="22">
                  <c:v>32.579415050807</c:v>
                </c:pt>
                <c:pt idx="23">
                  <c:v>20.694519605926185</c:v>
                </c:pt>
                <c:pt idx="24">
                  <c:v>19.376714901838159</c:v>
                </c:pt>
                <c:pt idx="25">
                  <c:v>36.003226578320763</c:v>
                </c:pt>
                <c:pt idx="26">
                  <c:v>16.341966100408953</c:v>
                </c:pt>
                <c:pt idx="27">
                  <c:v>21.496583224636776</c:v>
                </c:pt>
                <c:pt idx="28">
                  <c:v>21.969145091691182</c:v>
                </c:pt>
                <c:pt idx="29">
                  <c:v>33.330511288971707</c:v>
                </c:pt>
                <c:pt idx="30">
                  <c:v>26.061674222504099</c:v>
                </c:pt>
                <c:pt idx="31">
                  <c:v>10.408320643989372</c:v>
                </c:pt>
                <c:pt idx="32">
                  <c:v>16.964989220400689</c:v>
                </c:pt>
                <c:pt idx="33">
                  <c:v>18.197022859801024</c:v>
                </c:pt>
                <c:pt idx="34">
                  <c:v>30.811202979150998</c:v>
                </c:pt>
                <c:pt idx="35">
                  <c:v>32.859278580609612</c:v>
                </c:pt>
                <c:pt idx="36">
                  <c:v>18.045534578007285</c:v>
                </c:pt>
                <c:pt idx="37">
                  <c:v>18.471223198721503</c:v>
                </c:pt>
                <c:pt idx="38">
                  <c:v>3.8447447461057358</c:v>
                </c:pt>
                <c:pt idx="39">
                  <c:v>4.1758808832529617</c:v>
                </c:pt>
                <c:pt idx="40">
                  <c:v>14.788507805177364</c:v>
                </c:pt>
                <c:pt idx="41">
                  <c:v>35.986361296172518</c:v>
                </c:pt>
                <c:pt idx="42">
                  <c:v>24.270399038872853</c:v>
                </c:pt>
                <c:pt idx="43">
                  <c:v>32.108486335409999</c:v>
                </c:pt>
                <c:pt idx="44">
                  <c:v>20.959902788785467</c:v>
                </c:pt>
                <c:pt idx="45">
                  <c:v>20.2845676787225</c:v>
                </c:pt>
                <c:pt idx="46">
                  <c:v>31.114402486754955</c:v>
                </c:pt>
                <c:pt idx="47">
                  <c:v>40.93723768498549</c:v>
                </c:pt>
                <c:pt idx="48">
                  <c:v>11.491143484997625</c:v>
                </c:pt>
                <c:pt idx="49">
                  <c:v>32.860281347783548</c:v>
                </c:pt>
                <c:pt idx="50">
                  <c:v>25.657728263591373</c:v>
                </c:pt>
                <c:pt idx="51">
                  <c:v>12.143923135575974</c:v>
                </c:pt>
                <c:pt idx="52">
                  <c:v>36.803434901228727</c:v>
                </c:pt>
                <c:pt idx="53">
                  <c:v>15.284080363549641</c:v>
                </c:pt>
                <c:pt idx="54">
                  <c:v>41.382184264239115</c:v>
                </c:pt>
                <c:pt idx="55">
                  <c:v>23.266806818708744</c:v>
                </c:pt>
                <c:pt idx="56">
                  <c:v>1.543744793089914</c:v>
                </c:pt>
                <c:pt idx="57">
                  <c:v>7.0973638741336629</c:v>
                </c:pt>
                <c:pt idx="58">
                  <c:v>8.650902589430796</c:v>
                </c:pt>
                <c:pt idx="59">
                  <c:v>33.448512572406251</c:v>
                </c:pt>
                <c:pt idx="60">
                  <c:v>21.722819091840201</c:v>
                </c:pt>
                <c:pt idx="61">
                  <c:v>29.262798062016859</c:v>
                </c:pt>
                <c:pt idx="62">
                  <c:v>39.487544427914003</c:v>
                </c:pt>
                <c:pt idx="63">
                  <c:v>47.578705356597659</c:v>
                </c:pt>
                <c:pt idx="64">
                  <c:v>41.922889652671529</c:v>
                </c:pt>
                <c:pt idx="65">
                  <c:v>9.9695360124282253</c:v>
                </c:pt>
                <c:pt idx="66">
                  <c:v>27.301610480432718</c:v>
                </c:pt>
                <c:pt idx="67">
                  <c:v>35.810363220202909</c:v>
                </c:pt>
                <c:pt idx="68">
                  <c:v>38.414303415933226</c:v>
                </c:pt>
                <c:pt idx="69">
                  <c:v>22.781939857853626</c:v>
                </c:pt>
                <c:pt idx="70">
                  <c:v>12.851671548832694</c:v>
                </c:pt>
                <c:pt idx="71">
                  <c:v>41.292303533885431</c:v>
                </c:pt>
                <c:pt idx="72">
                  <c:v>46.507745827278768</c:v>
                </c:pt>
                <c:pt idx="73">
                  <c:v>19.077866403352839</c:v>
                </c:pt>
                <c:pt idx="74">
                  <c:v>45.321032456262998</c:v>
                </c:pt>
                <c:pt idx="75">
                  <c:v>21.024280979448342</c:v>
                </c:pt>
                <c:pt idx="76">
                  <c:v>36.918750301430904</c:v>
                </c:pt>
                <c:pt idx="77">
                  <c:v>10.030785422600001</c:v>
                </c:pt>
                <c:pt idx="78">
                  <c:v>20.411917746197901</c:v>
                </c:pt>
                <c:pt idx="79">
                  <c:v>21.134877135126604</c:v>
                </c:pt>
                <c:pt idx="80">
                  <c:v>31.826908647116834</c:v>
                </c:pt>
                <c:pt idx="81">
                  <c:v>42.032869205926282</c:v>
                </c:pt>
                <c:pt idx="82">
                  <c:v>29.510420224593499</c:v>
                </c:pt>
                <c:pt idx="83">
                  <c:v>31.281605945957335</c:v>
                </c:pt>
                <c:pt idx="84">
                  <c:v>40.698673167738541</c:v>
                </c:pt>
                <c:pt idx="85">
                  <c:v>44.519779964686052</c:v>
                </c:pt>
                <c:pt idx="86">
                  <c:v>33.21223076435804</c:v>
                </c:pt>
                <c:pt idx="87">
                  <c:v>49.026957241503972</c:v>
                </c:pt>
                <c:pt idx="88">
                  <c:v>14.065056548756949</c:v>
                </c:pt>
                <c:pt idx="89">
                  <c:v>16.183257052582032</c:v>
                </c:pt>
                <c:pt idx="90">
                  <c:v>15.886135074920936</c:v>
                </c:pt>
                <c:pt idx="91">
                  <c:v>25.300728213710059</c:v>
                </c:pt>
                <c:pt idx="92">
                  <c:v>16.82568496845473</c:v>
                </c:pt>
                <c:pt idx="93">
                  <c:v>38.720245585915002</c:v>
                </c:pt>
                <c:pt idx="94">
                  <c:v>11.456160953575804</c:v>
                </c:pt>
                <c:pt idx="95">
                  <c:v>21.195407467334505</c:v>
                </c:pt>
                <c:pt idx="96">
                  <c:v>10.582573355306991</c:v>
                </c:pt>
                <c:pt idx="97">
                  <c:v>32.737447992128516</c:v>
                </c:pt>
                <c:pt idx="98">
                  <c:v>19.77263306337295</c:v>
                </c:pt>
                <c:pt idx="99">
                  <c:v>13.833189392294706</c:v>
                </c:pt>
                <c:pt idx="100">
                  <c:v>38.359358944021501</c:v>
                </c:pt>
                <c:pt idx="101">
                  <c:v>30.914992346952566</c:v>
                </c:pt>
                <c:pt idx="102">
                  <c:v>15.553581243213401</c:v>
                </c:pt>
                <c:pt idx="103">
                  <c:v>42.280677621808962</c:v>
                </c:pt>
                <c:pt idx="104">
                  <c:v>27.28232263292071</c:v>
                </c:pt>
                <c:pt idx="105">
                  <c:v>42.658722836166788</c:v>
                </c:pt>
                <c:pt idx="106">
                  <c:v>29.091715658543301</c:v>
                </c:pt>
                <c:pt idx="107">
                  <c:v>31.647731510021586</c:v>
                </c:pt>
                <c:pt idx="108">
                  <c:v>30.307962538248894</c:v>
                </c:pt>
                <c:pt idx="109">
                  <c:v>31.770718094264467</c:v>
                </c:pt>
                <c:pt idx="110">
                  <c:v>28.2924442097314</c:v>
                </c:pt>
                <c:pt idx="111">
                  <c:v>23.951211692627499</c:v>
                </c:pt>
                <c:pt idx="112">
                  <c:v>16.072662827357092</c:v>
                </c:pt>
                <c:pt idx="113">
                  <c:v>18.280895401812742</c:v>
                </c:pt>
                <c:pt idx="114">
                  <c:v>28.4916846035531</c:v>
                </c:pt>
                <c:pt idx="115">
                  <c:v>21.930885176230113</c:v>
                </c:pt>
                <c:pt idx="116">
                  <c:v>27.5294241911235</c:v>
                </c:pt>
                <c:pt idx="117">
                  <c:v>41.715063086589119</c:v>
                </c:pt>
                <c:pt idx="118">
                  <c:v>45.133822762714964</c:v>
                </c:pt>
                <c:pt idx="119">
                  <c:v>40.808152140331423</c:v>
                </c:pt>
                <c:pt idx="120">
                  <c:v>43.054964628387403</c:v>
                </c:pt>
                <c:pt idx="121">
                  <c:v>19.436977656453642</c:v>
                </c:pt>
                <c:pt idx="122">
                  <c:v>40.917125707950653</c:v>
                </c:pt>
                <c:pt idx="123">
                  <c:v>27.207310613904198</c:v>
                </c:pt>
                <c:pt idx="124">
                  <c:v>29.914064286028399</c:v>
                </c:pt>
                <c:pt idx="125">
                  <c:v>20.893358328317071</c:v>
                </c:pt>
                <c:pt idx="126">
                  <c:v>33.214392893230347</c:v>
                </c:pt>
                <c:pt idx="127">
                  <c:v>23.20576622123049</c:v>
                </c:pt>
                <c:pt idx="128">
                  <c:v>19.010549065762788</c:v>
                </c:pt>
                <c:pt idx="129">
                  <c:v>30.3611036397125</c:v>
                </c:pt>
                <c:pt idx="130">
                  <c:v>43.115658393718142</c:v>
                </c:pt>
                <c:pt idx="131">
                  <c:v>29.990454546231501</c:v>
                </c:pt>
                <c:pt idx="132">
                  <c:v>40.143327131152098</c:v>
                </c:pt>
                <c:pt idx="133">
                  <c:v>43.877788538104767</c:v>
                </c:pt>
                <c:pt idx="134">
                  <c:v>31.81077381692198</c:v>
                </c:pt>
                <c:pt idx="135">
                  <c:v>26.198746096075102</c:v>
                </c:pt>
                <c:pt idx="136">
                  <c:v>27.774173563917614</c:v>
                </c:pt>
                <c:pt idx="137">
                  <c:v>20.912884006171101</c:v>
                </c:pt>
                <c:pt idx="138">
                  <c:v>30.587755677834579</c:v>
                </c:pt>
                <c:pt idx="139">
                  <c:v>31.998290250331443</c:v>
                </c:pt>
                <c:pt idx="140">
                  <c:v>41.100744570409717</c:v>
                </c:pt>
                <c:pt idx="141">
                  <c:v>32.121467278818002</c:v>
                </c:pt>
                <c:pt idx="142">
                  <c:v>37.960560507367155</c:v>
                </c:pt>
                <c:pt idx="143">
                  <c:v>24.643301508386173</c:v>
                </c:pt>
                <c:pt idx="144">
                  <c:v>27.282573374745802</c:v>
                </c:pt>
                <c:pt idx="145">
                  <c:v>32.587967979649768</c:v>
                </c:pt>
                <c:pt idx="146">
                  <c:v>9.6668721784448</c:v>
                </c:pt>
                <c:pt idx="147">
                  <c:v>29.645773202152228</c:v>
                </c:pt>
                <c:pt idx="148">
                  <c:v>35.013253927403703</c:v>
                </c:pt>
                <c:pt idx="149">
                  <c:v>27.884807785998618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1B-4FFD-91A0-8D21F4389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524016"/>
        <c:axId val="474524344"/>
      </c:scatterChart>
      <c:valAx>
        <c:axId val="474524016"/>
        <c:scaling>
          <c:orientation val="minMax"/>
          <c:max val="40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24344"/>
        <c:crossesAt val="-80"/>
        <c:crossBetween val="midCat"/>
      </c:valAx>
      <c:valAx>
        <c:axId val="474524344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2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533860888021277E-2"/>
          <c:y val="2.1640140727089963E-2"/>
          <c:w val="0.91348679584769044"/>
          <c:h val="0.87179371195621824"/>
        </c:manualLayout>
      </c:layout>
      <c:areaChart>
        <c:grouping val="standard"/>
        <c:varyColors val="0"/>
        <c:ser>
          <c:idx val="0"/>
          <c:order val="1"/>
          <c:tx>
            <c:v>Alpha</c:v>
          </c:tx>
          <c:spPr>
            <a:solidFill>
              <a:schemeClr val="tx1"/>
            </a:solidFill>
          </c:spPr>
          <c:cat>
            <c:numRef>
              <c:f>'Fig 6.6'!$A$1:$A$51</c:f>
              <c:numCache>
                <c:formatCode>General</c:formatCode>
                <c:ptCount val="51"/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</c:numCache>
            </c:numRef>
          </c:cat>
          <c:val>
            <c:numRef>
              <c:f>'Fig 6.6'!$E$1:$E$51</c:f>
              <c:numCache>
                <c:formatCode>General</c:formatCode>
                <c:ptCount val="51"/>
                <c:pt idx="39">
                  <c:v>3.6707276876475586E-3</c:v>
                </c:pt>
                <c:pt idx="40">
                  <c:v>3.4511300588991314E-3</c:v>
                </c:pt>
                <c:pt idx="41">
                  <c:v>3.2457887348388177E-3</c:v>
                </c:pt>
                <c:pt idx="42">
                  <c:v>3.0536718974686653E-3</c:v>
                </c:pt>
                <c:pt idx="43">
                  <c:v>2.8738334642312122E-3</c:v>
                </c:pt>
                <c:pt idx="44">
                  <c:v>2.7054047232843237E-3</c:v>
                </c:pt>
                <c:pt idx="45">
                  <c:v>2.5475869330914168E-3</c:v>
                </c:pt>
                <c:pt idx="46">
                  <c:v>2.3996447563771348E-3</c:v>
                </c:pt>
                <c:pt idx="47">
                  <c:v>2.260900418563114E-3</c:v>
                </c:pt>
                <c:pt idx="48">
                  <c:v>2.1307284973860669E-3</c:v>
                </c:pt>
                <c:pt idx="49">
                  <c:v>2.0085512641757502E-3</c:v>
                </c:pt>
                <c:pt idx="50">
                  <c:v>1.8938345087597629E-3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26-43CD-A8BC-A3B6F347C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814080"/>
        <c:axId val="734810944"/>
      </c:areaChart>
      <c:lineChart>
        <c:grouping val="standard"/>
        <c:varyColors val="0"/>
        <c:ser>
          <c:idx val="1"/>
          <c:order val="0"/>
          <c:spPr>
            <a:ln w="15875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'Fig 6.6'!$A$2:$A$51</c:f>
              <c:numCache>
                <c:formatCode>General</c:formatCode>
                <c:ptCount val="5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</c:numCache>
            </c:numRef>
          </c:cat>
          <c:val>
            <c:numRef>
              <c:f>'Fig 6.6'!$C$2:$C$51</c:f>
              <c:numCache>
                <c:formatCode>General</c:formatCode>
                <c:ptCount val="50"/>
                <c:pt idx="0">
                  <c:v>0.15135151206302599</c:v>
                </c:pt>
                <c:pt idx="1">
                  <c:v>0.10177297143389852</c:v>
                </c:pt>
                <c:pt idx="2">
                  <c:v>7.9024588846858063E-2</c:v>
                </c:pt>
                <c:pt idx="3">
                  <c:v>6.5085314537711006E-2</c:v>
                </c:pt>
                <c:pt idx="4">
                  <c:v>5.536468388700129E-2</c:v>
                </c:pt>
                <c:pt idx="5">
                  <c:v>4.8068624696863557E-2</c:v>
                </c:pt>
                <c:pt idx="6">
                  <c:v>4.2327483494182763E-2</c:v>
                </c:pt>
                <c:pt idx="7">
                  <c:v>3.7659561189150169E-2</c:v>
                </c:pt>
                <c:pt idx="8">
                  <c:v>3.3772435946663633E-2</c:v>
                </c:pt>
                <c:pt idx="9">
                  <c:v>3.0476256998290593E-2</c:v>
                </c:pt>
                <c:pt idx="10">
                  <c:v>2.7641260512322807E-2</c:v>
                </c:pt>
                <c:pt idx="11">
                  <c:v>2.5175069444822725E-2</c:v>
                </c:pt>
                <c:pt idx="12">
                  <c:v>2.3009716735452591E-2</c:v>
                </c:pt>
                <c:pt idx="13">
                  <c:v>2.1093813110130814E-2</c:v>
                </c:pt>
                <c:pt idx="14">
                  <c:v>1.9387604031162756E-2</c:v>
                </c:pt>
                <c:pt idx="15">
                  <c:v>1.7859731057067264E-2</c:v>
                </c:pt>
                <c:pt idx="16">
                  <c:v>1.648504123003126E-2</c:v>
                </c:pt>
                <c:pt idx="17">
                  <c:v>1.5243064095393315E-2</c:v>
                </c:pt>
                <c:pt idx="18">
                  <c:v>1.4116927237578762E-2</c:v>
                </c:pt>
                <c:pt idx="19">
                  <c:v>1.3092567645174819E-2</c:v>
                </c:pt>
                <c:pt idx="20">
                  <c:v>1.2158147404404067E-2</c:v>
                </c:pt>
                <c:pt idx="21">
                  <c:v>1.1303613507802958E-2</c:v>
                </c:pt>
                <c:pt idx="22">
                  <c:v>1.0520361231480866E-2</c:v>
                </c:pt>
                <c:pt idx="23">
                  <c:v>9.8009732083606266E-3</c:v>
                </c:pt>
                <c:pt idx="24">
                  <c:v>9.1390146774155013E-3</c:v>
                </c:pt>
                <c:pt idx="25">
                  <c:v>8.5288710059806417E-3</c:v>
                </c:pt>
                <c:pt idx="26">
                  <c:v>7.9656174296013297E-3</c:v>
                </c:pt>
                <c:pt idx="27">
                  <c:v>7.4449136336038413E-3</c:v>
                </c:pt>
                <c:pt idx="28">
                  <c:v>6.9629176958493919E-3</c:v>
                </c:pt>
                <c:pt idx="29">
                  <c:v>6.516215269619958E-3</c:v>
                </c:pt>
                <c:pt idx="30">
                  <c:v>6.1017608735192928E-3</c:v>
                </c:pt>
                <c:pt idx="31">
                  <c:v>5.7168288818979377E-3</c:v>
                </c:pt>
                <c:pt idx="32">
                  <c:v>5.3589723497534198E-3</c:v>
                </c:pt>
                <c:pt idx="33">
                  <c:v>5.0259882122300134E-3</c:v>
                </c:pt>
                <c:pt idx="34">
                  <c:v>4.715887707086466E-3</c:v>
                </c:pt>
                <c:pt idx="35">
                  <c:v>4.4268711045643621E-3</c:v>
                </c:pt>
                <c:pt idx="36">
                  <c:v>4.1573060114256377E-3</c:v>
                </c:pt>
                <c:pt idx="37">
                  <c:v>3.9057086578981382E-3</c:v>
                </c:pt>
                <c:pt idx="38">
                  <c:v>3.6707276876475586E-3</c:v>
                </c:pt>
                <c:pt idx="39">
                  <c:v>3.4511300588991314E-3</c:v>
                </c:pt>
                <c:pt idx="40">
                  <c:v>3.2457887348388177E-3</c:v>
                </c:pt>
                <c:pt idx="41">
                  <c:v>3.0536718974686653E-3</c:v>
                </c:pt>
                <c:pt idx="42">
                  <c:v>2.8738334642312122E-3</c:v>
                </c:pt>
                <c:pt idx="43">
                  <c:v>2.7054047232843237E-3</c:v>
                </c:pt>
                <c:pt idx="44">
                  <c:v>2.5475869330914168E-3</c:v>
                </c:pt>
                <c:pt idx="45">
                  <c:v>2.3996447563771348E-3</c:v>
                </c:pt>
                <c:pt idx="46">
                  <c:v>2.260900418563114E-3</c:v>
                </c:pt>
                <c:pt idx="47">
                  <c:v>2.1307284973860669E-3</c:v>
                </c:pt>
                <c:pt idx="48">
                  <c:v>2.0085512641757502E-3</c:v>
                </c:pt>
                <c:pt idx="49">
                  <c:v>1.8938345087597629E-3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326-43CD-A8BC-A3B6F347C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814080"/>
        <c:axId val="734810944"/>
      </c:lineChart>
      <c:catAx>
        <c:axId val="73481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F ratio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34810944"/>
        <c:crosses val="autoZero"/>
        <c:auto val="1"/>
        <c:lblAlgn val="ctr"/>
        <c:lblOffset val="100"/>
        <c:noMultiLvlLbl val="0"/>
      </c:catAx>
      <c:valAx>
        <c:axId val="734810944"/>
        <c:scaling>
          <c:orientation val="minMax"/>
          <c:max val="0.1600000000000000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 frequency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734814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 6.8'!$C$1</c:f>
              <c:strCache>
                <c:ptCount val="1"/>
                <c:pt idx="0">
                  <c:v>Prediction from TREND()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'Fig 6.8'!$B$2:$B$48</c:f>
              <c:numCache>
                <c:formatCode>0.000</c:formatCode>
                <c:ptCount val="47"/>
                <c:pt idx="0">
                  <c:v>37.223999999999997</c:v>
                </c:pt>
                <c:pt idx="1">
                  <c:v>42.223999999999997</c:v>
                </c:pt>
                <c:pt idx="2">
                  <c:v>47.223999999999997</c:v>
                </c:pt>
                <c:pt idx="3">
                  <c:v>52.223999999999997</c:v>
                </c:pt>
                <c:pt idx="4">
                  <c:v>57.223999999999997</c:v>
                </c:pt>
                <c:pt idx="5">
                  <c:v>62.223999999999997</c:v>
                </c:pt>
                <c:pt idx="6">
                  <c:v>71.891000000000005</c:v>
                </c:pt>
                <c:pt idx="7">
                  <c:v>79.015000000000001</c:v>
                </c:pt>
                <c:pt idx="8">
                  <c:v>79.897000000000006</c:v>
                </c:pt>
                <c:pt idx="9">
                  <c:v>80.150999999999996</c:v>
                </c:pt>
                <c:pt idx="10">
                  <c:v>82.21</c:v>
                </c:pt>
                <c:pt idx="11">
                  <c:v>82.817999999999998</c:v>
                </c:pt>
                <c:pt idx="12">
                  <c:v>82.914000000000001</c:v>
                </c:pt>
                <c:pt idx="13">
                  <c:v>85.031999999999996</c:v>
                </c:pt>
                <c:pt idx="14">
                  <c:v>85.361000000000004</c:v>
                </c:pt>
                <c:pt idx="15">
                  <c:v>86.013000000000005</c:v>
                </c:pt>
                <c:pt idx="16">
                  <c:v>86.11</c:v>
                </c:pt>
                <c:pt idx="17">
                  <c:v>86.864000000000004</c:v>
                </c:pt>
                <c:pt idx="18">
                  <c:v>86.921999999999997</c:v>
                </c:pt>
                <c:pt idx="19">
                  <c:v>87.656000000000006</c:v>
                </c:pt>
                <c:pt idx="20">
                  <c:v>91.352999999999994</c:v>
                </c:pt>
                <c:pt idx="21">
                  <c:v>93.09</c:v>
                </c:pt>
                <c:pt idx="22">
                  <c:v>93.83</c:v>
                </c:pt>
                <c:pt idx="23">
                  <c:v>95.087000000000003</c:v>
                </c:pt>
                <c:pt idx="24">
                  <c:v>98.216999999999999</c:v>
                </c:pt>
                <c:pt idx="25">
                  <c:v>98.811999999999998</c:v>
                </c:pt>
                <c:pt idx="26">
                  <c:v>99.677999999999997</c:v>
                </c:pt>
                <c:pt idx="27">
                  <c:v>101.788</c:v>
                </c:pt>
                <c:pt idx="28">
                  <c:v>105.401</c:v>
                </c:pt>
                <c:pt idx="29">
                  <c:v>106.25</c:v>
                </c:pt>
                <c:pt idx="30">
                  <c:v>106.304</c:v>
                </c:pt>
                <c:pt idx="31">
                  <c:v>107.13500000000001</c:v>
                </c:pt>
                <c:pt idx="32">
                  <c:v>108.887</c:v>
                </c:pt>
                <c:pt idx="33">
                  <c:v>109.55200000000001</c:v>
                </c:pt>
                <c:pt idx="34">
                  <c:v>117.836</c:v>
                </c:pt>
                <c:pt idx="35">
                  <c:v>120.087</c:v>
                </c:pt>
                <c:pt idx="36">
                  <c:v>120.134</c:v>
                </c:pt>
                <c:pt idx="37">
                  <c:v>129.46199999999999</c:v>
                </c:pt>
                <c:pt idx="38">
                  <c:v>133.96299999999999</c:v>
                </c:pt>
                <c:pt idx="39">
                  <c:v>136.386</c:v>
                </c:pt>
                <c:pt idx="40">
                  <c:v>138.012</c:v>
                </c:pt>
                <c:pt idx="41">
                  <c:v>145.22800000000001</c:v>
                </c:pt>
                <c:pt idx="42">
                  <c:v>150.22800000000001</c:v>
                </c:pt>
                <c:pt idx="43">
                  <c:v>155.22800000000001</c:v>
                </c:pt>
                <c:pt idx="44">
                  <c:v>160.22800000000001</c:v>
                </c:pt>
                <c:pt idx="45">
                  <c:v>165.22800000000001</c:v>
                </c:pt>
                <c:pt idx="46">
                  <c:v>170.22800000000001</c:v>
                </c:pt>
              </c:numCache>
            </c:numRef>
          </c:xVal>
          <c:yVal>
            <c:numRef>
              <c:f>'Fig 6.8'!$C$2:$C$48</c:f>
              <c:numCache>
                <c:formatCode>0.00</c:formatCode>
                <c:ptCount val="47"/>
                <c:pt idx="0">
                  <c:v>-0.15625983742974991</c:v>
                </c:pt>
                <c:pt idx="1">
                  <c:v>-9.9348636804744872E-2</c:v>
                </c:pt>
                <c:pt idx="2">
                  <c:v>-6.0422069600537087E-2</c:v>
                </c:pt>
                <c:pt idx="3">
                  <c:v>-1.2503185685930673E-2</c:v>
                </c:pt>
                <c:pt idx="4">
                  <c:v>3.541569822867574E-2</c:v>
                </c:pt>
                <c:pt idx="5">
                  <c:v>8.3334582143282265E-2</c:v>
                </c:pt>
                <c:pt idx="6">
                  <c:v>0.17598095230378241</c:v>
                </c:pt>
                <c:pt idx="7">
                  <c:v>0.24425577810531351</c:v>
                </c:pt>
                <c:pt idx="8">
                  <c:v>0.25270866922785018</c:v>
                </c:pt>
                <c:pt idx="9">
                  <c:v>0.25514294853071207</c:v>
                </c:pt>
                <c:pt idx="10">
                  <c:v>0.27487594492674705</c:v>
                </c:pt>
                <c:pt idx="11">
                  <c:v>0.28070288121076314</c:v>
                </c:pt>
                <c:pt idx="12">
                  <c:v>0.28162292378192366</c:v>
                </c:pt>
                <c:pt idx="13">
                  <c:v>0.30192136300815087</c:v>
                </c:pt>
                <c:pt idx="14">
                  <c:v>0.30507442556973208</c:v>
                </c:pt>
                <c:pt idx="15">
                  <c:v>0.31132304803219679</c:v>
                </c:pt>
                <c:pt idx="16">
                  <c:v>0.31225267438014004</c:v>
                </c:pt>
                <c:pt idx="17">
                  <c:v>0.31947884207446275</c:v>
                </c:pt>
                <c:pt idx="18">
                  <c:v>0.32003470112787213</c:v>
                </c:pt>
                <c:pt idx="19">
                  <c:v>0.32706919328653639</c:v>
                </c:pt>
                <c:pt idx="20">
                  <c:v>0.36250041605299632</c:v>
                </c:pt>
                <c:pt idx="21">
                  <c:v>0.37914743632493064</c:v>
                </c:pt>
                <c:pt idx="22">
                  <c:v>0.38623943114429238</c:v>
                </c:pt>
                <c:pt idx="23">
                  <c:v>0.39828623856042444</c:v>
                </c:pt>
                <c:pt idx="24">
                  <c:v>0.42828345989096805</c:v>
                </c:pt>
                <c:pt idx="25">
                  <c:v>0.43398580707680623</c:v>
                </c:pt>
                <c:pt idx="26">
                  <c:v>0.44228535777081601</c:v>
                </c:pt>
                <c:pt idx="27">
                  <c:v>0.46250712678277994</c:v>
                </c:pt>
                <c:pt idx="28">
                  <c:v>0.49713331229947466</c:v>
                </c:pt>
                <c:pt idx="29">
                  <c:v>0.50526993878817483</c:v>
                </c:pt>
                <c:pt idx="30">
                  <c:v>0.50578746273445263</c:v>
                </c:pt>
                <c:pt idx="31">
                  <c:v>0.51375158124106013</c:v>
                </c:pt>
                <c:pt idx="32">
                  <c:v>0.53054235816473827</c:v>
                </c:pt>
                <c:pt idx="33">
                  <c:v>0.53691556972538101</c:v>
                </c:pt>
                <c:pt idx="34">
                  <c:v>0.61630757659510083</c:v>
                </c:pt>
                <c:pt idx="35">
                  <c:v>0.63788065813345673</c:v>
                </c:pt>
                <c:pt idx="36">
                  <c:v>0.63833109564225399</c:v>
                </c:pt>
                <c:pt idx="37">
                  <c:v>0.72772856547334352</c:v>
                </c:pt>
                <c:pt idx="38">
                  <c:v>0.77086514477327228</c:v>
                </c:pt>
                <c:pt idx="39">
                  <c:v>0.79408663591829065</c:v>
                </c:pt>
                <c:pt idx="40">
                  <c:v>0.80966985696732074</c:v>
                </c:pt>
                <c:pt idx="41">
                  <c:v>0.87882639023288067</c:v>
                </c:pt>
                <c:pt idx="42">
                  <c:v>0.9267452741474872</c:v>
                </c:pt>
                <c:pt idx="43">
                  <c:v>0.9746641580620935</c:v>
                </c:pt>
                <c:pt idx="44">
                  <c:v>1.0225830419766999</c:v>
                </c:pt>
                <c:pt idx="45">
                  <c:v>1.0705019258913064</c:v>
                </c:pt>
                <c:pt idx="46">
                  <c:v>1.118420809805913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EF-4618-AC9C-0D1F0029380F}"/>
            </c:ext>
          </c:extLst>
        </c:ser>
        <c:ser>
          <c:idx val="1"/>
          <c:order val="1"/>
          <c:tx>
            <c:strRef>
              <c:f>'Fig 6.8'!$D$1</c:f>
              <c:strCache>
                <c:ptCount val="1"/>
                <c:pt idx="0">
                  <c:v>Prediction from Maximum Likelihood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'Fig 6.8'!$B$2:$B$48</c:f>
              <c:numCache>
                <c:formatCode>0.000</c:formatCode>
                <c:ptCount val="47"/>
                <c:pt idx="0">
                  <c:v>37.223999999999997</c:v>
                </c:pt>
                <c:pt idx="1">
                  <c:v>42.223999999999997</c:v>
                </c:pt>
                <c:pt idx="2">
                  <c:v>47.223999999999997</c:v>
                </c:pt>
                <c:pt idx="3">
                  <c:v>52.223999999999997</c:v>
                </c:pt>
                <c:pt idx="4">
                  <c:v>57.223999999999997</c:v>
                </c:pt>
                <c:pt idx="5">
                  <c:v>62.223999999999997</c:v>
                </c:pt>
                <c:pt idx="6">
                  <c:v>71.891000000000005</c:v>
                </c:pt>
                <c:pt idx="7">
                  <c:v>79.015000000000001</c:v>
                </c:pt>
                <c:pt idx="8">
                  <c:v>79.897000000000006</c:v>
                </c:pt>
                <c:pt idx="9">
                  <c:v>80.150999999999996</c:v>
                </c:pt>
                <c:pt idx="10">
                  <c:v>82.21</c:v>
                </c:pt>
                <c:pt idx="11">
                  <c:v>82.817999999999998</c:v>
                </c:pt>
                <c:pt idx="12">
                  <c:v>82.914000000000001</c:v>
                </c:pt>
                <c:pt idx="13">
                  <c:v>85.031999999999996</c:v>
                </c:pt>
                <c:pt idx="14">
                  <c:v>85.361000000000004</c:v>
                </c:pt>
                <c:pt idx="15">
                  <c:v>86.013000000000005</c:v>
                </c:pt>
                <c:pt idx="16">
                  <c:v>86.11</c:v>
                </c:pt>
                <c:pt idx="17">
                  <c:v>86.864000000000004</c:v>
                </c:pt>
                <c:pt idx="18">
                  <c:v>86.921999999999997</c:v>
                </c:pt>
                <c:pt idx="19">
                  <c:v>87.656000000000006</c:v>
                </c:pt>
                <c:pt idx="20">
                  <c:v>91.352999999999994</c:v>
                </c:pt>
                <c:pt idx="21">
                  <c:v>93.09</c:v>
                </c:pt>
                <c:pt idx="22">
                  <c:v>93.83</c:v>
                </c:pt>
                <c:pt idx="23">
                  <c:v>95.087000000000003</c:v>
                </c:pt>
                <c:pt idx="24">
                  <c:v>98.216999999999999</c:v>
                </c:pt>
                <c:pt idx="25">
                  <c:v>98.811999999999998</c:v>
                </c:pt>
                <c:pt idx="26">
                  <c:v>99.677999999999997</c:v>
                </c:pt>
                <c:pt idx="27">
                  <c:v>101.788</c:v>
                </c:pt>
                <c:pt idx="28">
                  <c:v>105.401</c:v>
                </c:pt>
                <c:pt idx="29">
                  <c:v>106.25</c:v>
                </c:pt>
                <c:pt idx="30">
                  <c:v>106.304</c:v>
                </c:pt>
                <c:pt idx="31">
                  <c:v>107.13500000000001</c:v>
                </c:pt>
                <c:pt idx="32">
                  <c:v>108.887</c:v>
                </c:pt>
                <c:pt idx="33">
                  <c:v>109.55200000000001</c:v>
                </c:pt>
                <c:pt idx="34">
                  <c:v>117.836</c:v>
                </c:pt>
                <c:pt idx="35">
                  <c:v>120.087</c:v>
                </c:pt>
                <c:pt idx="36">
                  <c:v>120.134</c:v>
                </c:pt>
                <c:pt idx="37">
                  <c:v>129.46199999999999</c:v>
                </c:pt>
                <c:pt idx="38">
                  <c:v>133.96299999999999</c:v>
                </c:pt>
                <c:pt idx="39">
                  <c:v>136.386</c:v>
                </c:pt>
                <c:pt idx="40">
                  <c:v>138.012</c:v>
                </c:pt>
                <c:pt idx="41">
                  <c:v>145.22800000000001</c:v>
                </c:pt>
                <c:pt idx="42">
                  <c:v>150.22800000000001</c:v>
                </c:pt>
                <c:pt idx="43">
                  <c:v>155.22800000000001</c:v>
                </c:pt>
                <c:pt idx="44">
                  <c:v>160.22800000000001</c:v>
                </c:pt>
                <c:pt idx="45">
                  <c:v>165.22800000000001</c:v>
                </c:pt>
                <c:pt idx="46">
                  <c:v>170.22800000000001</c:v>
                </c:pt>
              </c:numCache>
            </c:numRef>
          </c:xVal>
          <c:yVal>
            <c:numRef>
              <c:f>'Fig 6.8'!$D$2:$D$48</c:f>
              <c:numCache>
                <c:formatCode>0.00</c:formatCode>
                <c:ptCount val="47"/>
                <c:pt idx="0">
                  <c:v>6.2763209867699567E-3</c:v>
                </c:pt>
                <c:pt idx="1">
                  <c:v>9.065822263675468E-3</c:v>
                </c:pt>
                <c:pt idx="2">
                  <c:v>1.3078795755005392E-2</c:v>
                </c:pt>
                <c:pt idx="3">
                  <c:v>1.8834344099592865E-2</c:v>
                </c:pt>
                <c:pt idx="4">
                  <c:v>2.7053290810030405E-2</c:v>
                </c:pt>
                <c:pt idx="5">
                  <c:v>3.8717299597115992E-2</c:v>
                </c:pt>
                <c:pt idx="6">
                  <c:v>7.6168435426929165E-2</c:v>
                </c:pt>
                <c:pt idx="7">
                  <c:v>0.12264268897903541</c:v>
                </c:pt>
                <c:pt idx="8">
                  <c:v>0.12985107502286419</c:v>
                </c:pt>
                <c:pt idx="9">
                  <c:v>0.13199278149893029</c:v>
                </c:pt>
                <c:pt idx="10">
                  <c:v>0.15047697210565281</c:v>
                </c:pt>
                <c:pt idx="11">
                  <c:v>0.15632799240689807</c:v>
                </c:pt>
                <c:pt idx="12">
                  <c:v>0.15726859556283898</c:v>
                </c:pt>
                <c:pt idx="13">
                  <c:v>0.1792064711831958</c:v>
                </c:pt>
                <c:pt idx="14">
                  <c:v>0.18282086498873976</c:v>
                </c:pt>
                <c:pt idx="15">
                  <c:v>0.19015038688329217</c:v>
                </c:pt>
                <c:pt idx="16">
                  <c:v>0.19125982567269531</c:v>
                </c:pt>
                <c:pt idx="17">
                  <c:v>0.20005228325894664</c:v>
                </c:pt>
                <c:pt idx="18">
                  <c:v>0.20074102469069002</c:v>
                </c:pt>
                <c:pt idx="19">
                  <c:v>0.20961058490368659</c:v>
                </c:pt>
                <c:pt idx="20">
                  <c:v>0.25859229056910982</c:v>
                </c:pt>
                <c:pt idx="21">
                  <c:v>0.28402704867989859</c:v>
                </c:pt>
                <c:pt idx="22">
                  <c:v>0.2953098215666512</c:v>
                </c:pt>
                <c:pt idx="23">
                  <c:v>0.31505748903189723</c:v>
                </c:pt>
                <c:pt idx="24">
                  <c:v>0.36711290534908059</c:v>
                </c:pt>
                <c:pt idx="25">
                  <c:v>0.37741647776849435</c:v>
                </c:pt>
                <c:pt idx="26">
                  <c:v>0.39261074629285569</c:v>
                </c:pt>
                <c:pt idx="27">
                  <c:v>0.43045772265031135</c:v>
                </c:pt>
                <c:pt idx="28">
                  <c:v>0.49694186716219835</c:v>
                </c:pt>
                <c:pt idx="29">
                  <c:v>0.51266848218509375</c:v>
                </c:pt>
                <c:pt idx="30">
                  <c:v>0.51366824222970842</c:v>
                </c:pt>
                <c:pt idx="31">
                  <c:v>0.52903482660955159</c:v>
                </c:pt>
                <c:pt idx="32">
                  <c:v>0.56121803394394343</c:v>
                </c:pt>
                <c:pt idx="33">
                  <c:v>0.57331481013637708</c:v>
                </c:pt>
                <c:pt idx="34">
                  <c:v>0.71285626595762419</c:v>
                </c:pt>
                <c:pt idx="35">
                  <c:v>0.74575777553768019</c:v>
                </c:pt>
                <c:pt idx="36">
                  <c:v>0.74641760969017878</c:v>
                </c:pt>
                <c:pt idx="37">
                  <c:v>0.85456624579649143</c:v>
                </c:pt>
                <c:pt idx="38">
                  <c:v>0.8913332213427918</c:v>
                </c:pt>
                <c:pt idx="39">
                  <c:v>0.90754282938620712</c:v>
                </c:pt>
                <c:pt idx="40">
                  <c:v>0.91716938311694407</c:v>
                </c:pt>
                <c:pt idx="41">
                  <c:v>0.94975322237162951</c:v>
                </c:pt>
                <c:pt idx="42">
                  <c:v>0.96476329216756596</c:v>
                </c:pt>
                <c:pt idx="43">
                  <c:v>0.97540556231190367</c:v>
                </c:pt>
                <c:pt idx="44">
                  <c:v>0.98289063149342504</c:v>
                </c:pt>
                <c:pt idx="45">
                  <c:v>0.98812542772620759</c:v>
                </c:pt>
                <c:pt idx="46">
                  <c:v>0.99177198919723542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EF-4618-AC9C-0D1F0029380F}"/>
            </c:ext>
          </c:extLst>
        </c:ser>
        <c:ser>
          <c:idx val="2"/>
          <c:order val="2"/>
          <c:tx>
            <c:strRef>
              <c:f>'Fig 6.8'!$A$1</c:f>
              <c:strCache>
                <c:ptCount val="1"/>
                <c:pt idx="0">
                  <c:v>Purchase</c:v>
                </c:pt>
              </c:strCache>
            </c:strRef>
          </c:tx>
          <c:spPr>
            <a:ln>
              <a:noFill/>
            </a:ln>
          </c:spPr>
          <c:marker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'Fig 6.8'!$B$2:$B$48</c:f>
              <c:numCache>
                <c:formatCode>0.000</c:formatCode>
                <c:ptCount val="47"/>
                <c:pt idx="0">
                  <c:v>37.223999999999997</c:v>
                </c:pt>
                <c:pt idx="1">
                  <c:v>42.223999999999997</c:v>
                </c:pt>
                <c:pt idx="2">
                  <c:v>47.223999999999997</c:v>
                </c:pt>
                <c:pt idx="3">
                  <c:v>52.223999999999997</c:v>
                </c:pt>
                <c:pt idx="4">
                  <c:v>57.223999999999997</c:v>
                </c:pt>
                <c:pt idx="5">
                  <c:v>62.223999999999997</c:v>
                </c:pt>
                <c:pt idx="6">
                  <c:v>71.891000000000005</c:v>
                </c:pt>
                <c:pt idx="7">
                  <c:v>79.015000000000001</c:v>
                </c:pt>
                <c:pt idx="8">
                  <c:v>79.897000000000006</c:v>
                </c:pt>
                <c:pt idx="9">
                  <c:v>80.150999999999996</c:v>
                </c:pt>
                <c:pt idx="10">
                  <c:v>82.21</c:v>
                </c:pt>
                <c:pt idx="11">
                  <c:v>82.817999999999998</c:v>
                </c:pt>
                <c:pt idx="12">
                  <c:v>82.914000000000001</c:v>
                </c:pt>
                <c:pt idx="13">
                  <c:v>85.031999999999996</c:v>
                </c:pt>
                <c:pt idx="14">
                  <c:v>85.361000000000004</c:v>
                </c:pt>
                <c:pt idx="15">
                  <c:v>86.013000000000005</c:v>
                </c:pt>
                <c:pt idx="16">
                  <c:v>86.11</c:v>
                </c:pt>
                <c:pt idx="17">
                  <c:v>86.864000000000004</c:v>
                </c:pt>
                <c:pt idx="18">
                  <c:v>86.921999999999997</c:v>
                </c:pt>
                <c:pt idx="19">
                  <c:v>87.656000000000006</c:v>
                </c:pt>
                <c:pt idx="20">
                  <c:v>91.352999999999994</c:v>
                </c:pt>
                <c:pt idx="21">
                  <c:v>93.09</c:v>
                </c:pt>
                <c:pt idx="22">
                  <c:v>93.83</c:v>
                </c:pt>
                <c:pt idx="23">
                  <c:v>95.087000000000003</c:v>
                </c:pt>
                <c:pt idx="24">
                  <c:v>98.216999999999999</c:v>
                </c:pt>
                <c:pt idx="25">
                  <c:v>98.811999999999998</c:v>
                </c:pt>
                <c:pt idx="26">
                  <c:v>99.677999999999997</c:v>
                </c:pt>
                <c:pt idx="27">
                  <c:v>101.788</c:v>
                </c:pt>
                <c:pt idx="28">
                  <c:v>105.401</c:v>
                </c:pt>
                <c:pt idx="29">
                  <c:v>106.25</c:v>
                </c:pt>
                <c:pt idx="30">
                  <c:v>106.304</c:v>
                </c:pt>
                <c:pt idx="31">
                  <c:v>107.13500000000001</c:v>
                </c:pt>
                <c:pt idx="32">
                  <c:v>108.887</c:v>
                </c:pt>
                <c:pt idx="33">
                  <c:v>109.55200000000001</c:v>
                </c:pt>
                <c:pt idx="34">
                  <c:v>117.836</c:v>
                </c:pt>
                <c:pt idx="35">
                  <c:v>120.087</c:v>
                </c:pt>
                <c:pt idx="36">
                  <c:v>120.134</c:v>
                </c:pt>
                <c:pt idx="37">
                  <c:v>129.46199999999999</c:v>
                </c:pt>
                <c:pt idx="38">
                  <c:v>133.96299999999999</c:v>
                </c:pt>
                <c:pt idx="39">
                  <c:v>136.386</c:v>
                </c:pt>
                <c:pt idx="40">
                  <c:v>138.012</c:v>
                </c:pt>
                <c:pt idx="41">
                  <c:v>145.22800000000001</c:v>
                </c:pt>
                <c:pt idx="42">
                  <c:v>150.22800000000001</c:v>
                </c:pt>
                <c:pt idx="43">
                  <c:v>155.22800000000001</c:v>
                </c:pt>
                <c:pt idx="44">
                  <c:v>160.22800000000001</c:v>
                </c:pt>
                <c:pt idx="45">
                  <c:v>165.22800000000001</c:v>
                </c:pt>
                <c:pt idx="46">
                  <c:v>170.22800000000001</c:v>
                </c:pt>
              </c:numCache>
            </c:numRef>
          </c:xVal>
          <c:yVal>
            <c:numRef>
              <c:f>'Fig 6.8'!$A$2:$A$48</c:f>
              <c:numCache>
                <c:formatCode>General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1-4046-9819-E0CD02D9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745408"/>
        <c:axId val="339797504"/>
      </c:scatterChart>
      <c:valAx>
        <c:axId val="339745408"/>
        <c:scaling>
          <c:orientation val="minMax"/>
          <c:max val="171"/>
          <c:min val="3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Income ($000)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9797504"/>
        <c:crossesAt val="-0.60000000000000009"/>
        <c:crossBetween val="midCat"/>
        <c:majorUnit val="20"/>
      </c:valAx>
      <c:valAx>
        <c:axId val="339797504"/>
        <c:scaling>
          <c:orientation val="minMax"/>
          <c:max val="1.2"/>
          <c:min val="-0.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 Probability of Purchase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out"/>
        <c:tickLblPos val="nextTo"/>
        <c:crossAx val="339745408"/>
        <c:crosses val="autoZero"/>
        <c:crossBetween val="midCat"/>
        <c:majorUnit val="0.2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'Fig 6.9'!$C$1</c:f>
              <c:strCache>
                <c:ptCount val="1"/>
                <c:pt idx="0">
                  <c:v>Prediction from TREND()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'Fig 6.9'!$B$2:$B$48</c:f>
              <c:numCache>
                <c:formatCode>0.000</c:formatCode>
                <c:ptCount val="47"/>
                <c:pt idx="0">
                  <c:v>37.223999999999997</c:v>
                </c:pt>
                <c:pt idx="1">
                  <c:v>42.223999999999997</c:v>
                </c:pt>
                <c:pt idx="2">
                  <c:v>47.223999999999997</c:v>
                </c:pt>
                <c:pt idx="3">
                  <c:v>52.223999999999997</c:v>
                </c:pt>
                <c:pt idx="4">
                  <c:v>57.223999999999997</c:v>
                </c:pt>
                <c:pt idx="5">
                  <c:v>62.223999999999997</c:v>
                </c:pt>
                <c:pt idx="6">
                  <c:v>71.891000000000005</c:v>
                </c:pt>
                <c:pt idx="7">
                  <c:v>79.015000000000001</c:v>
                </c:pt>
                <c:pt idx="8">
                  <c:v>79.897000000000006</c:v>
                </c:pt>
                <c:pt idx="9">
                  <c:v>80.150999999999996</c:v>
                </c:pt>
                <c:pt idx="10">
                  <c:v>82.21</c:v>
                </c:pt>
                <c:pt idx="11">
                  <c:v>82.817999999999998</c:v>
                </c:pt>
                <c:pt idx="12">
                  <c:v>82.914000000000001</c:v>
                </c:pt>
                <c:pt idx="13">
                  <c:v>85.031999999999996</c:v>
                </c:pt>
                <c:pt idx="14">
                  <c:v>85.361000000000004</c:v>
                </c:pt>
                <c:pt idx="15">
                  <c:v>86.013000000000005</c:v>
                </c:pt>
                <c:pt idx="16">
                  <c:v>86.11</c:v>
                </c:pt>
                <c:pt idx="17">
                  <c:v>86.864000000000004</c:v>
                </c:pt>
                <c:pt idx="18">
                  <c:v>86.921999999999997</c:v>
                </c:pt>
                <c:pt idx="19">
                  <c:v>87.656000000000006</c:v>
                </c:pt>
                <c:pt idx="20">
                  <c:v>91.352999999999994</c:v>
                </c:pt>
                <c:pt idx="21">
                  <c:v>93.09</c:v>
                </c:pt>
                <c:pt idx="22">
                  <c:v>93.83</c:v>
                </c:pt>
                <c:pt idx="23">
                  <c:v>95.087000000000003</c:v>
                </c:pt>
                <c:pt idx="24">
                  <c:v>98.216999999999999</c:v>
                </c:pt>
                <c:pt idx="25">
                  <c:v>98.811999999999998</c:v>
                </c:pt>
                <c:pt idx="26">
                  <c:v>99.677999999999997</c:v>
                </c:pt>
                <c:pt idx="27">
                  <c:v>101.788</c:v>
                </c:pt>
                <c:pt idx="28">
                  <c:v>105.401</c:v>
                </c:pt>
                <c:pt idx="29">
                  <c:v>106.25</c:v>
                </c:pt>
                <c:pt idx="30">
                  <c:v>106.304</c:v>
                </c:pt>
                <c:pt idx="31">
                  <c:v>107.13500000000001</c:v>
                </c:pt>
                <c:pt idx="32">
                  <c:v>108.887</c:v>
                </c:pt>
                <c:pt idx="33">
                  <c:v>109.55200000000001</c:v>
                </c:pt>
                <c:pt idx="34">
                  <c:v>117.836</c:v>
                </c:pt>
                <c:pt idx="35">
                  <c:v>120.087</c:v>
                </c:pt>
                <c:pt idx="36">
                  <c:v>120.134</c:v>
                </c:pt>
                <c:pt idx="37">
                  <c:v>129.46199999999999</c:v>
                </c:pt>
                <c:pt idx="38">
                  <c:v>133.96299999999999</c:v>
                </c:pt>
                <c:pt idx="39">
                  <c:v>136.386</c:v>
                </c:pt>
                <c:pt idx="40">
                  <c:v>138.012</c:v>
                </c:pt>
                <c:pt idx="41">
                  <c:v>145.22800000000001</c:v>
                </c:pt>
                <c:pt idx="42">
                  <c:v>150.22800000000001</c:v>
                </c:pt>
                <c:pt idx="43">
                  <c:v>155.22800000000001</c:v>
                </c:pt>
                <c:pt idx="44">
                  <c:v>160.22800000000001</c:v>
                </c:pt>
                <c:pt idx="45">
                  <c:v>165.22800000000001</c:v>
                </c:pt>
                <c:pt idx="46">
                  <c:v>170.22800000000001</c:v>
                </c:pt>
              </c:numCache>
            </c:numRef>
          </c:xVal>
          <c:yVal>
            <c:numRef>
              <c:f>'Fig 6.9'!$C$2:$C$48</c:f>
              <c:numCache>
                <c:formatCode>0.00</c:formatCode>
                <c:ptCount val="47"/>
                <c:pt idx="0">
                  <c:v>-0.15625983742974991</c:v>
                </c:pt>
                <c:pt idx="1">
                  <c:v>-9.9348636804744872E-2</c:v>
                </c:pt>
                <c:pt idx="2">
                  <c:v>-6.0422069600537087E-2</c:v>
                </c:pt>
                <c:pt idx="3">
                  <c:v>-1.2503185685930673E-2</c:v>
                </c:pt>
                <c:pt idx="4">
                  <c:v>3.541569822867574E-2</c:v>
                </c:pt>
                <c:pt idx="5">
                  <c:v>8.3334582143282265E-2</c:v>
                </c:pt>
                <c:pt idx="6">
                  <c:v>0.17598095230378241</c:v>
                </c:pt>
                <c:pt idx="7">
                  <c:v>0.24425577810531351</c:v>
                </c:pt>
                <c:pt idx="8">
                  <c:v>0.25270866922785018</c:v>
                </c:pt>
                <c:pt idx="9">
                  <c:v>0.25514294853071207</c:v>
                </c:pt>
                <c:pt idx="10">
                  <c:v>0.27487594492674705</c:v>
                </c:pt>
                <c:pt idx="11">
                  <c:v>0.28070288121076314</c:v>
                </c:pt>
                <c:pt idx="12">
                  <c:v>0.28162292378192366</c:v>
                </c:pt>
                <c:pt idx="13">
                  <c:v>0.30192136300815087</c:v>
                </c:pt>
                <c:pt idx="14">
                  <c:v>0.30507442556973208</c:v>
                </c:pt>
                <c:pt idx="15">
                  <c:v>0.31132304803219679</c:v>
                </c:pt>
                <c:pt idx="16">
                  <c:v>0.31225267438014004</c:v>
                </c:pt>
                <c:pt idx="17">
                  <c:v>0.31947884207446275</c:v>
                </c:pt>
                <c:pt idx="18">
                  <c:v>0.32003470112787213</c:v>
                </c:pt>
                <c:pt idx="19">
                  <c:v>0.32706919328653639</c:v>
                </c:pt>
                <c:pt idx="20">
                  <c:v>0.36250041605299632</c:v>
                </c:pt>
                <c:pt idx="21">
                  <c:v>0.37914743632493064</c:v>
                </c:pt>
                <c:pt idx="22">
                  <c:v>0.38623943114429238</c:v>
                </c:pt>
                <c:pt idx="23">
                  <c:v>0.39828623856042444</c:v>
                </c:pt>
                <c:pt idx="24">
                  <c:v>0.42828345989096805</c:v>
                </c:pt>
                <c:pt idx="25">
                  <c:v>0.43398580707680623</c:v>
                </c:pt>
                <c:pt idx="26">
                  <c:v>0.44228535777081601</c:v>
                </c:pt>
                <c:pt idx="27">
                  <c:v>0.46250712678277994</c:v>
                </c:pt>
                <c:pt idx="28">
                  <c:v>0.49713331229947466</c:v>
                </c:pt>
                <c:pt idx="29">
                  <c:v>0.50526993878817483</c:v>
                </c:pt>
                <c:pt idx="30">
                  <c:v>0.50578746273445263</c:v>
                </c:pt>
                <c:pt idx="31">
                  <c:v>0.51375158124106013</c:v>
                </c:pt>
                <c:pt idx="32">
                  <c:v>0.53054235816473827</c:v>
                </c:pt>
                <c:pt idx="33">
                  <c:v>0.53691556972538101</c:v>
                </c:pt>
                <c:pt idx="34">
                  <c:v>0.61630757659510083</c:v>
                </c:pt>
                <c:pt idx="35">
                  <c:v>0.63788065813345673</c:v>
                </c:pt>
                <c:pt idx="36">
                  <c:v>0.63833109564225399</c:v>
                </c:pt>
                <c:pt idx="37">
                  <c:v>0.72772856547334352</c:v>
                </c:pt>
                <c:pt idx="38">
                  <c:v>0.77086514477327228</c:v>
                </c:pt>
                <c:pt idx="39">
                  <c:v>0.79408663591829065</c:v>
                </c:pt>
                <c:pt idx="40">
                  <c:v>0.80966985696732074</c:v>
                </c:pt>
                <c:pt idx="41">
                  <c:v>0.87882639023288067</c:v>
                </c:pt>
                <c:pt idx="42">
                  <c:v>0.9267452741474872</c:v>
                </c:pt>
                <c:pt idx="43">
                  <c:v>0.9746641580620935</c:v>
                </c:pt>
                <c:pt idx="44">
                  <c:v>1.0225830419766999</c:v>
                </c:pt>
                <c:pt idx="45">
                  <c:v>1.0705019258913064</c:v>
                </c:pt>
                <c:pt idx="46">
                  <c:v>1.118420809805913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2F-41AF-9146-69D2720C5BDA}"/>
            </c:ext>
          </c:extLst>
        </c:ser>
        <c:ser>
          <c:idx val="2"/>
          <c:order val="1"/>
          <c:tx>
            <c:strRef>
              <c:f>'Fig 6.9'!$A$1</c:f>
              <c:strCache>
                <c:ptCount val="1"/>
                <c:pt idx="0">
                  <c:v>Purchase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ln w="15875"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5752333598864593"/>
                  <c:y val="-7.0955627190896445E-2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/>
                  </a:pPr>
                  <a:endParaRPr lang="en-US"/>
                </a:p>
              </c:txPr>
            </c:trendlineLbl>
          </c:trendline>
          <c:xVal>
            <c:numRef>
              <c:f>'Fig 6.9'!$B$2:$B$48</c:f>
              <c:numCache>
                <c:formatCode>0.000</c:formatCode>
                <c:ptCount val="47"/>
                <c:pt idx="0">
                  <c:v>37.223999999999997</c:v>
                </c:pt>
                <c:pt idx="1">
                  <c:v>42.223999999999997</c:v>
                </c:pt>
                <c:pt idx="2">
                  <c:v>47.223999999999997</c:v>
                </c:pt>
                <c:pt idx="3">
                  <c:v>52.223999999999997</c:v>
                </c:pt>
                <c:pt idx="4">
                  <c:v>57.223999999999997</c:v>
                </c:pt>
                <c:pt idx="5">
                  <c:v>62.223999999999997</c:v>
                </c:pt>
                <c:pt idx="6">
                  <c:v>71.891000000000005</c:v>
                </c:pt>
                <c:pt idx="7">
                  <c:v>79.015000000000001</c:v>
                </c:pt>
                <c:pt idx="8">
                  <c:v>79.897000000000006</c:v>
                </c:pt>
                <c:pt idx="9">
                  <c:v>80.150999999999996</c:v>
                </c:pt>
                <c:pt idx="10">
                  <c:v>82.21</c:v>
                </c:pt>
                <c:pt idx="11">
                  <c:v>82.817999999999998</c:v>
                </c:pt>
                <c:pt idx="12">
                  <c:v>82.914000000000001</c:v>
                </c:pt>
                <c:pt idx="13">
                  <c:v>85.031999999999996</c:v>
                </c:pt>
                <c:pt idx="14">
                  <c:v>85.361000000000004</c:v>
                </c:pt>
                <c:pt idx="15">
                  <c:v>86.013000000000005</c:v>
                </c:pt>
                <c:pt idx="16">
                  <c:v>86.11</c:v>
                </c:pt>
                <c:pt idx="17">
                  <c:v>86.864000000000004</c:v>
                </c:pt>
                <c:pt idx="18">
                  <c:v>86.921999999999997</c:v>
                </c:pt>
                <c:pt idx="19">
                  <c:v>87.656000000000006</c:v>
                </c:pt>
                <c:pt idx="20">
                  <c:v>91.352999999999994</c:v>
                </c:pt>
                <c:pt idx="21">
                  <c:v>93.09</c:v>
                </c:pt>
                <c:pt idx="22">
                  <c:v>93.83</c:v>
                </c:pt>
                <c:pt idx="23">
                  <c:v>95.087000000000003</c:v>
                </c:pt>
                <c:pt idx="24">
                  <c:v>98.216999999999999</c:v>
                </c:pt>
                <c:pt idx="25">
                  <c:v>98.811999999999998</c:v>
                </c:pt>
                <c:pt idx="26">
                  <c:v>99.677999999999997</c:v>
                </c:pt>
                <c:pt idx="27">
                  <c:v>101.788</c:v>
                </c:pt>
                <c:pt idx="28">
                  <c:v>105.401</c:v>
                </c:pt>
                <c:pt idx="29">
                  <c:v>106.25</c:v>
                </c:pt>
                <c:pt idx="30">
                  <c:v>106.304</c:v>
                </c:pt>
                <c:pt idx="31">
                  <c:v>107.13500000000001</c:v>
                </c:pt>
                <c:pt idx="32">
                  <c:v>108.887</c:v>
                </c:pt>
                <c:pt idx="33">
                  <c:v>109.55200000000001</c:v>
                </c:pt>
                <c:pt idx="34">
                  <c:v>117.836</c:v>
                </c:pt>
                <c:pt idx="35">
                  <c:v>120.087</c:v>
                </c:pt>
                <c:pt idx="36">
                  <c:v>120.134</c:v>
                </c:pt>
                <c:pt idx="37">
                  <c:v>129.46199999999999</c:v>
                </c:pt>
                <c:pt idx="38">
                  <c:v>133.96299999999999</c:v>
                </c:pt>
                <c:pt idx="39">
                  <c:v>136.386</c:v>
                </c:pt>
                <c:pt idx="40">
                  <c:v>138.012</c:v>
                </c:pt>
                <c:pt idx="41">
                  <c:v>145.22800000000001</c:v>
                </c:pt>
                <c:pt idx="42">
                  <c:v>150.22800000000001</c:v>
                </c:pt>
                <c:pt idx="43">
                  <c:v>155.22800000000001</c:v>
                </c:pt>
                <c:pt idx="44">
                  <c:v>160.22800000000001</c:v>
                </c:pt>
                <c:pt idx="45">
                  <c:v>165.22800000000001</c:v>
                </c:pt>
                <c:pt idx="46">
                  <c:v>170.22800000000001</c:v>
                </c:pt>
              </c:numCache>
            </c:numRef>
          </c:xVal>
          <c:yVal>
            <c:numRef>
              <c:f>'Fig 6.9'!$A$2:$A$48</c:f>
              <c:numCache>
                <c:formatCode>General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F-41AF-9146-69D2720C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745408"/>
        <c:axId val="339797504"/>
      </c:scatterChart>
      <c:valAx>
        <c:axId val="339745408"/>
        <c:scaling>
          <c:orientation val="minMax"/>
          <c:max val="171"/>
          <c:min val="3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Income ($000)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39797504"/>
        <c:crossesAt val="-0.60000000000000009"/>
        <c:crossBetween val="midCat"/>
        <c:majorUnit val="20"/>
      </c:valAx>
      <c:valAx>
        <c:axId val="339797504"/>
        <c:scaling>
          <c:orientation val="minMax"/>
          <c:max val="1.2"/>
          <c:min val="-0.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Predicted Probability of Purchase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out"/>
        <c:tickLblPos val="nextTo"/>
        <c:crossAx val="339745408"/>
        <c:crosses val="autoZero"/>
        <c:crossBetween val="midCat"/>
        <c:majorUnit val="0.2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 6.10'!$B$1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'Fig 6.10'!$A$2:$A$101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</c:numCache>
            </c:numRef>
          </c:xVal>
          <c:yVal>
            <c:numRef>
              <c:f>'Fig 6.10'!$B$2:$B$101</c:f>
              <c:numCache>
                <c:formatCode>0.00</c:formatCode>
                <c:ptCount val="100"/>
                <c:pt idx="0">
                  <c:v>6.6487113787926404</c:v>
                </c:pt>
                <c:pt idx="1">
                  <c:v>2.4862409145625959</c:v>
                </c:pt>
                <c:pt idx="2">
                  <c:v>4.0171454199108778</c:v>
                </c:pt>
                <c:pt idx="3">
                  <c:v>4.7725031281261003</c:v>
                </c:pt>
                <c:pt idx="4">
                  <c:v>2.1136279081834601</c:v>
                </c:pt>
                <c:pt idx="5">
                  <c:v>2.029536899363372</c:v>
                </c:pt>
                <c:pt idx="6">
                  <c:v>4.5901297274320996</c:v>
                </c:pt>
                <c:pt idx="7">
                  <c:v>2.0783314415930998</c:v>
                </c:pt>
                <c:pt idx="8">
                  <c:v>2.9613554063021899</c:v>
                </c:pt>
                <c:pt idx="9">
                  <c:v>7.7107297548954703</c:v>
                </c:pt>
                <c:pt idx="10">
                  <c:v>5.0636128314929003</c:v>
                </c:pt>
                <c:pt idx="11">
                  <c:v>7.5400211348607229</c:v>
                </c:pt>
                <c:pt idx="12">
                  <c:v>3.0642304210198925</c:v>
                </c:pt>
                <c:pt idx="13">
                  <c:v>8.2086927702195922</c:v>
                </c:pt>
                <c:pt idx="14">
                  <c:v>7.931140985549658</c:v>
                </c:pt>
                <c:pt idx="15">
                  <c:v>7.0133031825335861</c:v>
                </c:pt>
                <c:pt idx="16">
                  <c:v>2.9328555741620628</c:v>
                </c:pt>
                <c:pt idx="17">
                  <c:v>4.4697570227301249</c:v>
                </c:pt>
                <c:pt idx="18">
                  <c:v>4.5596969290445024</c:v>
                </c:pt>
                <c:pt idx="19">
                  <c:v>8.3807189528073849</c:v>
                </c:pt>
                <c:pt idx="20">
                  <c:v>3.9359562680537419</c:v>
                </c:pt>
                <c:pt idx="21">
                  <c:v>4.4206044543637626</c:v>
                </c:pt>
                <c:pt idx="22">
                  <c:v>9.2460333821961544</c:v>
                </c:pt>
                <c:pt idx="23">
                  <c:v>4.8662769959961656</c:v>
                </c:pt>
                <c:pt idx="24">
                  <c:v>9.380493154538371</c:v>
                </c:pt>
                <c:pt idx="25">
                  <c:v>6.8397240163401181</c:v>
                </c:pt>
                <c:pt idx="26">
                  <c:v>9.1097360919658446</c:v>
                </c:pt>
                <c:pt idx="27">
                  <c:v>7.2530568090751268</c:v>
                </c:pt>
                <c:pt idx="28">
                  <c:v>5.3091477049947349</c:v>
                </c:pt>
                <c:pt idx="29">
                  <c:v>3.1554946807485784</c:v>
                </c:pt>
                <c:pt idx="30">
                  <c:v>4.8653194916046125</c:v>
                </c:pt>
                <c:pt idx="31">
                  <c:v>7.8269381108981673</c:v>
                </c:pt>
                <c:pt idx="32">
                  <c:v>5.8518609193076587</c:v>
                </c:pt>
                <c:pt idx="33">
                  <c:v>4.3930716898999087</c:v>
                </c:pt>
                <c:pt idx="34">
                  <c:v>3.8584362449610907</c:v>
                </c:pt>
                <c:pt idx="35">
                  <c:v>10.092214861773265</c:v>
                </c:pt>
                <c:pt idx="36">
                  <c:v>7.1247635736746062</c:v>
                </c:pt>
                <c:pt idx="37">
                  <c:v>8.5882378685600962</c:v>
                </c:pt>
                <c:pt idx="38">
                  <c:v>10.081721142634269</c:v>
                </c:pt>
                <c:pt idx="39">
                  <c:v>6.9325930615077622</c:v>
                </c:pt>
                <c:pt idx="40">
                  <c:v>5.0739370567840396</c:v>
                </c:pt>
                <c:pt idx="41">
                  <c:v>4.2411891268471411</c:v>
                </c:pt>
                <c:pt idx="42">
                  <c:v>8.3384492616302239</c:v>
                </c:pt>
                <c:pt idx="43">
                  <c:v>8.5374468979430276</c:v>
                </c:pt>
                <c:pt idx="44">
                  <c:v>9.2412543682299564</c:v>
                </c:pt>
                <c:pt idx="45">
                  <c:v>5.5443848772152569</c:v>
                </c:pt>
                <c:pt idx="46">
                  <c:v>10.598251495645883</c:v>
                </c:pt>
                <c:pt idx="47">
                  <c:v>6.8203143593989211</c:v>
                </c:pt>
                <c:pt idx="48">
                  <c:v>4.8665000302405401</c:v>
                </c:pt>
                <c:pt idx="49">
                  <c:v>5.4528551386922093</c:v>
                </c:pt>
                <c:pt idx="50">
                  <c:v>5.3370021470665172</c:v>
                </c:pt>
                <c:pt idx="51">
                  <c:v>6.1532110065320795</c:v>
                </c:pt>
                <c:pt idx="52">
                  <c:v>7.6858233716968991</c:v>
                </c:pt>
                <c:pt idx="53">
                  <c:v>5.9135519805435308</c:v>
                </c:pt>
                <c:pt idx="54">
                  <c:v>10.792764647540576</c:v>
                </c:pt>
                <c:pt idx="55">
                  <c:v>5.8218545664637125</c:v>
                </c:pt>
                <c:pt idx="56">
                  <c:v>7.8729366284964719</c:v>
                </c:pt>
                <c:pt idx="57">
                  <c:v>8.0039848952669619</c:v>
                </c:pt>
                <c:pt idx="58">
                  <c:v>11.561404286076565</c:v>
                </c:pt>
                <c:pt idx="59">
                  <c:v>10.469682517163619</c:v>
                </c:pt>
                <c:pt idx="60">
                  <c:v>9.02844139351145</c:v>
                </c:pt>
                <c:pt idx="61">
                  <c:v>8.7537079419708377</c:v>
                </c:pt>
                <c:pt idx="62">
                  <c:v>8.1970118932160325</c:v>
                </c:pt>
                <c:pt idx="63">
                  <c:v>11.233064389631387</c:v>
                </c:pt>
                <c:pt idx="64">
                  <c:v>10.695696767366298</c:v>
                </c:pt>
                <c:pt idx="65">
                  <c:v>8.2577742784958659</c:v>
                </c:pt>
                <c:pt idx="66">
                  <c:v>9.5673956309962858</c:v>
                </c:pt>
                <c:pt idx="67">
                  <c:v>12.556009711258499</c:v>
                </c:pt>
                <c:pt idx="68">
                  <c:v>9.0975628094590277</c:v>
                </c:pt>
                <c:pt idx="69">
                  <c:v>10.931244606699751</c:v>
                </c:pt>
                <c:pt idx="70">
                  <c:v>9.3134189066165938</c:v>
                </c:pt>
                <c:pt idx="71">
                  <c:v>9.1223043579087779</c:v>
                </c:pt>
                <c:pt idx="72">
                  <c:v>11.652623805074086</c:v>
                </c:pt>
                <c:pt idx="73">
                  <c:v>11.582089068625692</c:v>
                </c:pt>
                <c:pt idx="74">
                  <c:v>9.0758324649979176</c:v>
                </c:pt>
                <c:pt idx="75">
                  <c:v>12.947119897792771</c:v>
                </c:pt>
                <c:pt idx="76">
                  <c:v>11.411300984749182</c:v>
                </c:pt>
                <c:pt idx="77">
                  <c:v>6.1773043958604736</c:v>
                </c:pt>
                <c:pt idx="78">
                  <c:v>6.3575173158816787</c:v>
                </c:pt>
                <c:pt idx="79">
                  <c:v>11.516197421409714</c:v>
                </c:pt>
                <c:pt idx="80">
                  <c:v>13.63756934641733</c:v>
                </c:pt>
                <c:pt idx="81">
                  <c:v>13.534962616792342</c:v>
                </c:pt>
                <c:pt idx="82">
                  <c:v>8.8266856423944322</c:v>
                </c:pt>
                <c:pt idx="83">
                  <c:v>10.739494948100331</c:v>
                </c:pt>
                <c:pt idx="84">
                  <c:v>11.476915476398986</c:v>
                </c:pt>
                <c:pt idx="85">
                  <c:v>7.4261697706724323</c:v>
                </c:pt>
                <c:pt idx="86">
                  <c:v>11.10566357638271</c:v>
                </c:pt>
                <c:pt idx="87">
                  <c:v>8.0628443398550971</c:v>
                </c:pt>
                <c:pt idx="88">
                  <c:v>8.6084177738777612</c:v>
                </c:pt>
                <c:pt idx="89">
                  <c:v>11.427924352763831</c:v>
                </c:pt>
                <c:pt idx="90">
                  <c:v>14.345054027629967</c:v>
                </c:pt>
                <c:pt idx="91">
                  <c:v>8.7223660188219352</c:v>
                </c:pt>
                <c:pt idx="92">
                  <c:v>14.272390354486941</c:v>
                </c:pt>
                <c:pt idx="93">
                  <c:v>13.87784577888935</c:v>
                </c:pt>
                <c:pt idx="94">
                  <c:v>14.421705633988472</c:v>
                </c:pt>
                <c:pt idx="95">
                  <c:v>11.924257278914681</c:v>
                </c:pt>
                <c:pt idx="96">
                  <c:v>12.393433258759778</c:v>
                </c:pt>
                <c:pt idx="97">
                  <c:v>10.65069055049443</c:v>
                </c:pt>
                <c:pt idx="98">
                  <c:v>14.742672852565519</c:v>
                </c:pt>
                <c:pt idx="99">
                  <c:v>11.899925105146393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5-4586-BE03-47217782C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57336"/>
        <c:axId val="505960616"/>
      </c:scatterChart>
      <c:valAx>
        <c:axId val="50595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60616"/>
        <c:crosses val="autoZero"/>
        <c:crossBetween val="midCat"/>
      </c:valAx>
      <c:valAx>
        <c:axId val="5059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5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2568535648616"/>
          <c:y val="2.9886044118698999E-2"/>
          <c:w val="0.80350170797370579"/>
          <c:h val="0.85542272624726956"/>
        </c:manualLayout>
      </c:layout>
      <c:areaChart>
        <c:grouping val="standard"/>
        <c:varyColors val="0"/>
        <c:ser>
          <c:idx val="2"/>
          <c:order val="0"/>
          <c:spPr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0">
                  <a:schemeClr val="accent1">
                    <a:tint val="44500"/>
                    <a:satMod val="160000"/>
                    <a:alpha val="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  <a:round/>
            </a:ln>
          </c:spPr>
          <c:cat>
            <c:numRef>
              <c:f>'Fig 6.20'!$A$2:$A$82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6.20'!$B$2:$B$82</c:f>
              <c:numCache>
                <c:formatCode>0.0%</c:formatCode>
                <c:ptCount val="81"/>
                <c:pt idx="0">
                  <c:v>4.6411238334698759E-4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21">
                  <c:v>6.7731375795361468E-2</c:v>
                </c:pt>
                <c:pt idx="22">
                  <c:v>8.0524672427093547E-2</c:v>
                </c:pt>
                <c:pt idx="23">
                  <c:v>9.4994129147979431E-2</c:v>
                </c:pt>
                <c:pt idx="24">
                  <c:v>0.11117060230948635</c:v>
                </c:pt>
                <c:pt idx="25">
                  <c:v>0.12903515306731408</c:v>
                </c:pt>
                <c:pt idx="26">
                  <c:v>0.14850934363123147</c:v>
                </c:pt>
                <c:pt idx="27">
                  <c:v>0.16944690588134464</c:v>
                </c:pt>
                <c:pt idx="28">
                  <c:v>0.19162768407404437</c:v>
                </c:pt>
                <c:pt idx="29">
                  <c:v>0.21475475743363986</c:v>
                </c:pt>
                <c:pt idx="30">
                  <c:v>0.23845556157486333</c:v>
                </c:pt>
                <c:pt idx="31">
                  <c:v>0.26228763956569534</c:v>
                </c:pt>
                <c:pt idx="32">
                  <c:v>0.28574936479983781</c:v>
                </c:pt>
                <c:pt idx="33">
                  <c:v>0.30829560302704156</c:v>
                </c:pt>
                <c:pt idx="34">
                  <c:v>0.32935784843194688</c:v>
                </c:pt>
                <c:pt idx="35">
                  <c:v>0.34836791976904163</c:v>
                </c:pt>
                <c:pt idx="36">
                  <c:v>0.36478388717349314</c:v>
                </c:pt>
                <c:pt idx="37">
                  <c:v>0.37811657092844098</c:v>
                </c:pt>
                <c:pt idx="38">
                  <c:v>0.38795475793268908</c:v>
                </c:pt>
                <c:pt idx="39">
                  <c:v>0.39398725519917416</c:v>
                </c:pt>
                <c:pt idx="40">
                  <c:v>0.39602005884318436</c:v>
                </c:pt>
                <c:pt idx="41">
                  <c:v>0.39398725519917577</c:v>
                </c:pt>
                <c:pt idx="42">
                  <c:v>0.38795475793269224</c:v>
                </c:pt>
                <c:pt idx="43">
                  <c:v>0.37811657092844558</c:v>
                </c:pt>
                <c:pt idx="44">
                  <c:v>0.36478388717349908</c:v>
                </c:pt>
                <c:pt idx="45">
                  <c:v>0.34836791976904874</c:v>
                </c:pt>
                <c:pt idx="46">
                  <c:v>0.32935784843195492</c:v>
                </c:pt>
                <c:pt idx="47">
                  <c:v>0.30829560302705039</c:v>
                </c:pt>
                <c:pt idx="48">
                  <c:v>0.28574936479984475</c:v>
                </c:pt>
                <c:pt idx="49">
                  <c:v>0.26228763956570245</c:v>
                </c:pt>
                <c:pt idx="50">
                  <c:v>0.23845556157487044</c:v>
                </c:pt>
                <c:pt idx="51">
                  <c:v>0.21475475743364689</c:v>
                </c:pt>
                <c:pt idx="52">
                  <c:v>0.1916276840740512</c:v>
                </c:pt>
                <c:pt idx="53">
                  <c:v>0.16944690588135108</c:v>
                </c:pt>
                <c:pt idx="54">
                  <c:v>0.14850934363123755</c:v>
                </c:pt>
                <c:pt idx="55">
                  <c:v>0.12903515306731977</c:v>
                </c:pt>
                <c:pt idx="56">
                  <c:v>0.11117060230949151</c:v>
                </c:pt>
                <c:pt idx="57">
                  <c:v>9.4994129147984038E-2</c:v>
                </c:pt>
                <c:pt idx="58">
                  <c:v>8.0524672427097613E-2</c:v>
                </c:pt>
                <c:pt idx="59">
                  <c:v>6.7731375795365062E-2</c:v>
                </c:pt>
                <c:pt idx="60">
                  <c:v>5.6543839022280308E-2</c:v>
                </c:pt>
                <c:pt idx="61">
                  <c:v>4.6862219813471807E-2</c:v>
                </c:pt>
                <c:pt idx="62">
                  <c:v>3.8566645029335073E-2</c:v>
                </c:pt>
                <c:pt idx="63">
                  <c:v>3.152555405883984E-2</c:v>
                </c:pt>
                <c:pt idx="64">
                  <c:v>2.5602752445349174E-2</c:v>
                </c:pt>
                <c:pt idx="65">
                  <c:v>2.0663089171109365E-2</c:v>
                </c:pt>
                <c:pt idx="66">
                  <c:v>1.6576779622716181E-2</c:v>
                </c:pt>
                <c:pt idx="67">
                  <c:v>1.3222475832279682E-2</c:v>
                </c:pt>
                <c:pt idx="68">
                  <c:v>1.0489237155591233E-2</c:v>
                </c:pt>
                <c:pt idx="69">
                  <c:v>8.2775814753858791E-3</c:v>
                </c:pt>
                <c:pt idx="70">
                  <c:v>6.4998039815456748E-3</c:v>
                </c:pt>
                <c:pt idx="71">
                  <c:v>5.0797427063027463E-3</c:v>
                </c:pt>
                <c:pt idx="72">
                  <c:v>3.952152207361859E-3</c:v>
                </c:pt>
                <c:pt idx="73">
                  <c:v>3.0618233989494373E-3</c:v>
                </c:pt>
                <c:pt idx="74">
                  <c:v>2.3625619901696342E-3</c:v>
                </c:pt>
                <c:pt idx="75">
                  <c:v>1.8161128587309441E-3</c:v>
                </c:pt>
                <c:pt idx="76">
                  <c:v>1.3910946744875648E-3</c:v>
                </c:pt>
                <c:pt idx="77">
                  <c:v>1.0619891741884581E-3</c:v>
                </c:pt>
                <c:pt idx="78">
                  <c:v>8.0821308789561094E-4</c:v>
                </c:pt>
                <c:pt idx="79">
                  <c:v>6.1328782635262837E-4</c:v>
                </c:pt>
                <c:pt idx="80">
                  <c:v>4.6411238334702657E-4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9-4BE8-96B9-744E4E41F108}"/>
            </c:ext>
          </c:extLst>
        </c:ser>
        <c:ser>
          <c:idx val="0"/>
          <c:order val="1"/>
          <c:cat>
            <c:numRef>
              <c:f>'Fig 6.20'!$A$2:$A$82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6.20'!$C$2:$C$82</c:f>
              <c:numCache>
                <c:formatCode>0.0%</c:formatCode>
                <c:ptCount val="81"/>
                <c:pt idx="0">
                  <c:v>4.6411238334698759E-4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21">
                  <c:v>6.7731375795361468E-2</c:v>
                </c:pt>
                <c:pt idx="22">
                  <c:v>8.0524672427093547E-2</c:v>
                </c:pt>
                <c:pt idx="23">
                  <c:v>9.4994129147979431E-2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69-4BE8-96B9-744E4E41F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803272"/>
        <c:axId val="644199624"/>
      </c:areaChart>
      <c:catAx>
        <c:axId val="76880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t-ratio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6441996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4419962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7688032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2568535648616"/>
          <c:y val="2.9886044118698999E-2"/>
          <c:w val="0.80350170797370579"/>
          <c:h val="0.85542272624726956"/>
        </c:manualLayout>
      </c:layout>
      <c:areaChart>
        <c:grouping val="standard"/>
        <c:varyColors val="0"/>
        <c:ser>
          <c:idx val="2"/>
          <c:order val="0"/>
          <c:spPr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0">
                  <a:schemeClr val="accent1">
                    <a:tint val="44500"/>
                    <a:satMod val="160000"/>
                    <a:alpha val="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  <a:round/>
            </a:ln>
          </c:spPr>
          <c:cat>
            <c:numRef>
              <c:f>'Fig 6.21'!$A$2:$A$82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6.21'!$B$2:$B$82</c:f>
              <c:numCache>
                <c:formatCode>0.0%</c:formatCode>
                <c:ptCount val="81"/>
                <c:pt idx="0">
                  <c:v>4.6411238334698759E-4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21">
                  <c:v>6.7731375795361468E-2</c:v>
                </c:pt>
                <c:pt idx="22">
                  <c:v>8.0524672427093547E-2</c:v>
                </c:pt>
                <c:pt idx="23">
                  <c:v>9.4994129147979431E-2</c:v>
                </c:pt>
                <c:pt idx="24">
                  <c:v>0.11117060230948635</c:v>
                </c:pt>
                <c:pt idx="25">
                  <c:v>0.12903515306731408</c:v>
                </c:pt>
                <c:pt idx="26">
                  <c:v>0.14850934363123147</c:v>
                </c:pt>
                <c:pt idx="27">
                  <c:v>0.16944690588134464</c:v>
                </c:pt>
                <c:pt idx="28">
                  <c:v>0.19162768407404437</c:v>
                </c:pt>
                <c:pt idx="29">
                  <c:v>0.21475475743363986</c:v>
                </c:pt>
                <c:pt idx="30">
                  <c:v>0.23845556157486333</c:v>
                </c:pt>
                <c:pt idx="31">
                  <c:v>0.26228763956569534</c:v>
                </c:pt>
                <c:pt idx="32">
                  <c:v>0.28574936479983781</c:v>
                </c:pt>
                <c:pt idx="33">
                  <c:v>0.30829560302704156</c:v>
                </c:pt>
                <c:pt idx="34">
                  <c:v>0.32935784843194688</c:v>
                </c:pt>
                <c:pt idx="35">
                  <c:v>0.34836791976904163</c:v>
                </c:pt>
                <c:pt idx="36">
                  <c:v>0.36478388717349314</c:v>
                </c:pt>
                <c:pt idx="37">
                  <c:v>0.37811657092844098</c:v>
                </c:pt>
                <c:pt idx="38">
                  <c:v>0.38795475793268908</c:v>
                </c:pt>
                <c:pt idx="39">
                  <c:v>0.39398725519917416</c:v>
                </c:pt>
                <c:pt idx="40">
                  <c:v>0.39602005884318436</c:v>
                </c:pt>
                <c:pt idx="41">
                  <c:v>0.39398725519917577</c:v>
                </c:pt>
                <c:pt idx="42">
                  <c:v>0.38795475793269224</c:v>
                </c:pt>
                <c:pt idx="43">
                  <c:v>0.37811657092844558</c:v>
                </c:pt>
                <c:pt idx="44">
                  <c:v>0.36478388717349908</c:v>
                </c:pt>
                <c:pt idx="45">
                  <c:v>0.34836791976904874</c:v>
                </c:pt>
                <c:pt idx="46">
                  <c:v>0.32935784843195492</c:v>
                </c:pt>
                <c:pt idx="47">
                  <c:v>0.30829560302705039</c:v>
                </c:pt>
                <c:pt idx="48">
                  <c:v>0.28574936479984475</c:v>
                </c:pt>
                <c:pt idx="49">
                  <c:v>0.26228763956570245</c:v>
                </c:pt>
                <c:pt idx="50">
                  <c:v>0.23845556157487044</c:v>
                </c:pt>
                <c:pt idx="51">
                  <c:v>0.21475475743364689</c:v>
                </c:pt>
                <c:pt idx="52">
                  <c:v>0.1916276840740512</c:v>
                </c:pt>
                <c:pt idx="53">
                  <c:v>0.16944690588135108</c:v>
                </c:pt>
                <c:pt idx="54">
                  <c:v>0.14850934363123755</c:v>
                </c:pt>
                <c:pt idx="55">
                  <c:v>0.12903515306731977</c:v>
                </c:pt>
                <c:pt idx="56">
                  <c:v>0.11117060230949151</c:v>
                </c:pt>
                <c:pt idx="57">
                  <c:v>9.4994129147984038E-2</c:v>
                </c:pt>
                <c:pt idx="58">
                  <c:v>8.0524672427097613E-2</c:v>
                </c:pt>
                <c:pt idx="59">
                  <c:v>6.7731375795365062E-2</c:v>
                </c:pt>
                <c:pt idx="60">
                  <c:v>5.6543839022280308E-2</c:v>
                </c:pt>
                <c:pt idx="61">
                  <c:v>4.6862219813471807E-2</c:v>
                </c:pt>
                <c:pt idx="62">
                  <c:v>3.8566645029335073E-2</c:v>
                </c:pt>
                <c:pt idx="63">
                  <c:v>3.152555405883984E-2</c:v>
                </c:pt>
                <c:pt idx="64">
                  <c:v>2.5602752445349174E-2</c:v>
                </c:pt>
                <c:pt idx="65">
                  <c:v>2.0663089171109365E-2</c:v>
                </c:pt>
                <c:pt idx="66">
                  <c:v>1.6576779622716181E-2</c:v>
                </c:pt>
                <c:pt idx="67">
                  <c:v>1.3222475832279682E-2</c:v>
                </c:pt>
                <c:pt idx="68">
                  <c:v>1.0489237155591233E-2</c:v>
                </c:pt>
                <c:pt idx="69">
                  <c:v>8.2775814753858791E-3</c:v>
                </c:pt>
                <c:pt idx="70">
                  <c:v>6.4998039815456748E-3</c:v>
                </c:pt>
                <c:pt idx="71">
                  <c:v>5.0797427063027463E-3</c:v>
                </c:pt>
                <c:pt idx="72">
                  <c:v>3.952152207361859E-3</c:v>
                </c:pt>
                <c:pt idx="73">
                  <c:v>3.0618233989494373E-3</c:v>
                </c:pt>
                <c:pt idx="74">
                  <c:v>2.3625619901696342E-3</c:v>
                </c:pt>
                <c:pt idx="75">
                  <c:v>1.8161128587309441E-3</c:v>
                </c:pt>
                <c:pt idx="76">
                  <c:v>1.3910946744875648E-3</c:v>
                </c:pt>
                <c:pt idx="77">
                  <c:v>1.0619891741884581E-3</c:v>
                </c:pt>
                <c:pt idx="78">
                  <c:v>8.0821308789561094E-4</c:v>
                </c:pt>
                <c:pt idx="79">
                  <c:v>6.1328782635262837E-4</c:v>
                </c:pt>
                <c:pt idx="80">
                  <c:v>4.6411238334702657E-4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A-4416-995F-CFC18A4EE957}"/>
            </c:ext>
          </c:extLst>
        </c:ser>
        <c:ser>
          <c:idx val="0"/>
          <c:order val="1"/>
          <c:cat>
            <c:numRef>
              <c:f>'Fig 6.21'!$A$2:$A$82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6.21'!$C$2:$C$82</c:f>
              <c:numCache>
                <c:formatCode>0.0%</c:formatCode>
                <c:ptCount val="81"/>
                <c:pt idx="0">
                  <c:v>4.6411238334698759E-4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21">
                  <c:v>6.7731375795361468E-2</c:v>
                </c:pt>
                <c:pt idx="22">
                  <c:v>8.0524672427093547E-2</c:v>
                </c:pt>
                <c:pt idx="23">
                  <c:v>9.4994129147979431E-2</c:v>
                </c:pt>
                <c:pt idx="24">
                  <c:v>0.11117060230948635</c:v>
                </c:pt>
                <c:pt idx="25">
                  <c:v>0.12903515306731408</c:v>
                </c:pt>
                <c:pt idx="26">
                  <c:v>0.14850934363123147</c:v>
                </c:pt>
                <c:pt idx="27">
                  <c:v>0.16944690588134464</c:v>
                </c:pt>
                <c:pt idx="28">
                  <c:v>0.19162768407404437</c:v>
                </c:pt>
                <c:pt idx="29">
                  <c:v>0.21475475743363986</c:v>
                </c:pt>
                <c:pt idx="30">
                  <c:v>0.23845556157486333</c:v>
                </c:pt>
                <c:pt idx="31">
                  <c:v>0.26228763956569534</c:v>
                </c:pt>
                <c:pt idx="32">
                  <c:v>0.28574936479983781</c:v>
                </c:pt>
                <c:pt idx="33">
                  <c:v>0.30829560302704156</c:v>
                </c:pt>
                <c:pt idx="34">
                  <c:v>0.32935784843194688</c:v>
                </c:pt>
                <c:pt idx="35">
                  <c:v>0.34836791976904163</c:v>
                </c:pt>
                <c:pt idx="36">
                  <c:v>0.36478388717349314</c:v>
                </c:pt>
                <c:pt idx="37">
                  <c:v>0.37811657092844098</c:v>
                </c:pt>
                <c:pt idx="38">
                  <c:v>0.38795475793268908</c:v>
                </c:pt>
                <c:pt idx="39">
                  <c:v>0.39398725519917416</c:v>
                </c:pt>
                <c:pt idx="40">
                  <c:v>0.39602005884318436</c:v>
                </c:pt>
                <c:pt idx="41">
                  <c:v>0.39398725519917577</c:v>
                </c:pt>
                <c:pt idx="42">
                  <c:v>0.38795475793269224</c:v>
                </c:pt>
                <c:pt idx="43">
                  <c:v>0.37811657092844558</c:v>
                </c:pt>
                <c:pt idx="44">
                  <c:v>0.36478388717349908</c:v>
                </c:pt>
                <c:pt idx="45">
                  <c:v>0.34836791976904874</c:v>
                </c:pt>
                <c:pt idx="46">
                  <c:v>0.32935784843195492</c:v>
                </c:pt>
                <c:pt idx="47">
                  <c:v>0.30829560302705039</c:v>
                </c:pt>
                <c:pt idx="48">
                  <c:v>0.28574936479984475</c:v>
                </c:pt>
                <c:pt idx="49">
                  <c:v>0.26228763956570245</c:v>
                </c:pt>
                <c:pt idx="50">
                  <c:v>0.23845556157487044</c:v>
                </c:pt>
                <c:pt idx="51">
                  <c:v>0.21475475743364689</c:v>
                </c:pt>
                <c:pt idx="52">
                  <c:v>0.1916276840740512</c:v>
                </c:pt>
                <c:pt idx="53">
                  <c:v>0.16944690588135108</c:v>
                </c:pt>
                <c:pt idx="54">
                  <c:v>0.14850934363123755</c:v>
                </c:pt>
                <c:pt idx="55">
                  <c:v>0.12903515306731977</c:v>
                </c:pt>
                <c:pt idx="56">
                  <c:v>0.11117060230949151</c:v>
                </c:pt>
                <c:pt idx="57">
                  <c:v>9.4994129147984038E-2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A-4416-995F-CFC18A4EE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803272"/>
        <c:axId val="644199624"/>
      </c:areaChart>
      <c:catAx>
        <c:axId val="76880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t-ratio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6441996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4419962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7688032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2568535648616"/>
          <c:y val="2.9886044118698999E-2"/>
          <c:w val="0.80350170797370579"/>
          <c:h val="0.85542272624726956"/>
        </c:manualLayout>
      </c:layout>
      <c:areaChart>
        <c:grouping val="standard"/>
        <c:varyColors val="0"/>
        <c:ser>
          <c:idx val="2"/>
          <c:order val="0"/>
          <c:spPr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0">
                  <a:schemeClr val="accent1">
                    <a:tint val="44500"/>
                    <a:satMod val="160000"/>
                    <a:alpha val="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  <a:round/>
            </a:ln>
          </c:spPr>
          <c:cat>
            <c:numRef>
              <c:f>'Fig 6.22'!$A$2:$A$82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6.22'!$B$2:$B$82</c:f>
              <c:numCache>
                <c:formatCode>0.0%</c:formatCode>
                <c:ptCount val="81"/>
                <c:pt idx="0">
                  <c:v>4.6411238334698759E-4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21">
                  <c:v>6.7731375795361468E-2</c:v>
                </c:pt>
                <c:pt idx="22">
                  <c:v>8.0524672427093547E-2</c:v>
                </c:pt>
                <c:pt idx="23">
                  <c:v>9.4994129147979431E-2</c:v>
                </c:pt>
                <c:pt idx="24">
                  <c:v>0.11117060230948635</c:v>
                </c:pt>
                <c:pt idx="25">
                  <c:v>0.12903515306731408</c:v>
                </c:pt>
                <c:pt idx="26">
                  <c:v>0.14850934363123147</c:v>
                </c:pt>
                <c:pt idx="27">
                  <c:v>0.16944690588134464</c:v>
                </c:pt>
                <c:pt idx="28">
                  <c:v>0.19162768407404437</c:v>
                </c:pt>
                <c:pt idx="29">
                  <c:v>0.21475475743363986</c:v>
                </c:pt>
                <c:pt idx="30">
                  <c:v>0.23845556157486333</c:v>
                </c:pt>
                <c:pt idx="31">
                  <c:v>0.26228763956569534</c:v>
                </c:pt>
                <c:pt idx="32">
                  <c:v>0.28574936479983781</c:v>
                </c:pt>
                <c:pt idx="33">
                  <c:v>0.30829560302704156</c:v>
                </c:pt>
                <c:pt idx="34">
                  <c:v>0.32935784843194688</c:v>
                </c:pt>
                <c:pt idx="35">
                  <c:v>0.34836791976904163</c:v>
                </c:pt>
                <c:pt idx="36">
                  <c:v>0.36478388717349314</c:v>
                </c:pt>
                <c:pt idx="37">
                  <c:v>0.37811657092844098</c:v>
                </c:pt>
                <c:pt idx="38">
                  <c:v>0.38795475793268908</c:v>
                </c:pt>
                <c:pt idx="39">
                  <c:v>0.39398725519917416</c:v>
                </c:pt>
                <c:pt idx="40">
                  <c:v>0.39602005884318436</c:v>
                </c:pt>
                <c:pt idx="41">
                  <c:v>0.39398725519917577</c:v>
                </c:pt>
                <c:pt idx="42">
                  <c:v>0.38795475793269224</c:v>
                </c:pt>
                <c:pt idx="43">
                  <c:v>0.37811657092844558</c:v>
                </c:pt>
                <c:pt idx="44">
                  <c:v>0.36478388717349908</c:v>
                </c:pt>
                <c:pt idx="45">
                  <c:v>0.34836791976904874</c:v>
                </c:pt>
                <c:pt idx="46">
                  <c:v>0.32935784843195492</c:v>
                </c:pt>
                <c:pt idx="47">
                  <c:v>0.30829560302705039</c:v>
                </c:pt>
                <c:pt idx="48">
                  <c:v>0.28574936479984475</c:v>
                </c:pt>
                <c:pt idx="49">
                  <c:v>0.26228763956570245</c:v>
                </c:pt>
                <c:pt idx="50">
                  <c:v>0.23845556157487044</c:v>
                </c:pt>
                <c:pt idx="51">
                  <c:v>0.21475475743364689</c:v>
                </c:pt>
                <c:pt idx="52">
                  <c:v>0.1916276840740512</c:v>
                </c:pt>
                <c:pt idx="53">
                  <c:v>0.16944690588135108</c:v>
                </c:pt>
                <c:pt idx="54">
                  <c:v>0.14850934363123755</c:v>
                </c:pt>
                <c:pt idx="55">
                  <c:v>0.12903515306731977</c:v>
                </c:pt>
                <c:pt idx="56">
                  <c:v>0.11117060230949151</c:v>
                </c:pt>
                <c:pt idx="57">
                  <c:v>9.4994129147984038E-2</c:v>
                </c:pt>
                <c:pt idx="58">
                  <c:v>8.0524672427097613E-2</c:v>
                </c:pt>
                <c:pt idx="59">
                  <c:v>6.7731375795365062E-2</c:v>
                </c:pt>
                <c:pt idx="60">
                  <c:v>5.6543839022280308E-2</c:v>
                </c:pt>
                <c:pt idx="61">
                  <c:v>4.6862219813471807E-2</c:v>
                </c:pt>
                <c:pt idx="62">
                  <c:v>3.8566645029335073E-2</c:v>
                </c:pt>
                <c:pt idx="63">
                  <c:v>3.152555405883984E-2</c:v>
                </c:pt>
                <c:pt idx="64">
                  <c:v>2.5602752445349174E-2</c:v>
                </c:pt>
                <c:pt idx="65">
                  <c:v>2.0663089171109365E-2</c:v>
                </c:pt>
                <c:pt idx="66">
                  <c:v>1.6576779622716181E-2</c:v>
                </c:pt>
                <c:pt idx="67">
                  <c:v>1.3222475832279682E-2</c:v>
                </c:pt>
                <c:pt idx="68">
                  <c:v>1.0489237155591233E-2</c:v>
                </c:pt>
                <c:pt idx="69">
                  <c:v>8.2775814753858791E-3</c:v>
                </c:pt>
                <c:pt idx="70">
                  <c:v>6.4998039815456748E-3</c:v>
                </c:pt>
                <c:pt idx="71">
                  <c:v>5.0797427063027463E-3</c:v>
                </c:pt>
                <c:pt idx="72">
                  <c:v>3.952152207361859E-3</c:v>
                </c:pt>
                <c:pt idx="73">
                  <c:v>3.0618233989494373E-3</c:v>
                </c:pt>
                <c:pt idx="74">
                  <c:v>2.3625619901696342E-3</c:v>
                </c:pt>
                <c:pt idx="75">
                  <c:v>1.8161128587309441E-3</c:v>
                </c:pt>
                <c:pt idx="76">
                  <c:v>1.3910946744875648E-3</c:v>
                </c:pt>
                <c:pt idx="77">
                  <c:v>1.0619891741884581E-3</c:v>
                </c:pt>
                <c:pt idx="78">
                  <c:v>8.0821308789561094E-4</c:v>
                </c:pt>
                <c:pt idx="79">
                  <c:v>6.1328782635262837E-4</c:v>
                </c:pt>
                <c:pt idx="80">
                  <c:v>4.6411238334702657E-4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02-4609-B686-9DCCFF89A933}"/>
            </c:ext>
          </c:extLst>
        </c:ser>
        <c:ser>
          <c:idx val="0"/>
          <c:order val="1"/>
          <c:cat>
            <c:numRef>
              <c:f>'Fig 6.22'!$A$2:$A$82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6.22'!$C$2:$C$82</c:f>
              <c:numCache>
                <c:formatCode>General</c:formatCode>
                <c:ptCount val="81"/>
                <c:pt idx="57" formatCode="0.0%">
                  <c:v>9.4994129147984038E-2</c:v>
                </c:pt>
                <c:pt idx="58" formatCode="0.0%">
                  <c:v>8.0524672427097613E-2</c:v>
                </c:pt>
                <c:pt idx="59" formatCode="0.0%">
                  <c:v>6.7731375795365062E-2</c:v>
                </c:pt>
                <c:pt idx="60" formatCode="0.0%">
                  <c:v>5.6543839022280308E-2</c:v>
                </c:pt>
                <c:pt idx="61" formatCode="0.0%">
                  <c:v>4.6862219813471807E-2</c:v>
                </c:pt>
                <c:pt idx="62" formatCode="0.0%">
                  <c:v>3.8566645029335073E-2</c:v>
                </c:pt>
                <c:pt idx="63" formatCode="0.0%">
                  <c:v>3.152555405883984E-2</c:v>
                </c:pt>
                <c:pt idx="64" formatCode="0.0%">
                  <c:v>2.5602752445349174E-2</c:v>
                </c:pt>
                <c:pt idx="65" formatCode="0.0%">
                  <c:v>2.0663089171109365E-2</c:v>
                </c:pt>
                <c:pt idx="66" formatCode="0.0%">
                  <c:v>1.6576779622716181E-2</c:v>
                </c:pt>
                <c:pt idx="67" formatCode="0.0%">
                  <c:v>1.3222475832279682E-2</c:v>
                </c:pt>
                <c:pt idx="68" formatCode="0.0%">
                  <c:v>1.0489237155591233E-2</c:v>
                </c:pt>
                <c:pt idx="69" formatCode="0.0%">
                  <c:v>8.2775814753858791E-3</c:v>
                </c:pt>
                <c:pt idx="70" formatCode="0.0%">
                  <c:v>6.4998039815456748E-3</c:v>
                </c:pt>
                <c:pt idx="71" formatCode="0.0%">
                  <c:v>5.0797427063027463E-3</c:v>
                </c:pt>
                <c:pt idx="72" formatCode="0.0%">
                  <c:v>3.952152207361859E-3</c:v>
                </c:pt>
                <c:pt idx="73" formatCode="0.0%">
                  <c:v>3.0618233989494373E-3</c:v>
                </c:pt>
                <c:pt idx="74" formatCode="0.0%">
                  <c:v>2.3625619901696342E-3</c:v>
                </c:pt>
                <c:pt idx="75" formatCode="0.0%">
                  <c:v>1.8161128587309441E-3</c:v>
                </c:pt>
                <c:pt idx="76" formatCode="0.0%">
                  <c:v>1.3910946744875648E-3</c:v>
                </c:pt>
                <c:pt idx="77" formatCode="0.0%">
                  <c:v>1.0619891741884581E-3</c:v>
                </c:pt>
                <c:pt idx="78" formatCode="0.0%">
                  <c:v>8.0821308789561094E-4</c:v>
                </c:pt>
                <c:pt idx="79" formatCode="0.0%">
                  <c:v>6.1328782635262837E-4</c:v>
                </c:pt>
                <c:pt idx="80" formatCode="0.0%">
                  <c:v>4.6411238334702657E-4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02-4609-B686-9DCCFF89A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803272"/>
        <c:axId val="644199624"/>
      </c:areaChart>
      <c:catAx>
        <c:axId val="76880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t-ratio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6441996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4419962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7688032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2568535648616"/>
          <c:y val="2.9886044118698999E-2"/>
          <c:w val="0.80350170797370579"/>
          <c:h val="0.85542272624726956"/>
        </c:manualLayout>
      </c:layout>
      <c:areaChart>
        <c:grouping val="standard"/>
        <c:varyColors val="0"/>
        <c:ser>
          <c:idx val="2"/>
          <c:order val="0"/>
          <c:spPr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0">
                  <a:schemeClr val="accent1">
                    <a:tint val="44500"/>
                    <a:satMod val="160000"/>
                    <a:alpha val="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  <a:round/>
            </a:ln>
          </c:spPr>
          <c:cat>
            <c:numRef>
              <c:f>'Fig 6.23'!$A$2:$A$82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6.23'!$B$2:$B$82</c:f>
              <c:numCache>
                <c:formatCode>0.0%</c:formatCode>
                <c:ptCount val="81"/>
                <c:pt idx="0">
                  <c:v>1.6191100413575458E-4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21">
                  <c:v>6.7731375795361468E-2</c:v>
                </c:pt>
                <c:pt idx="22">
                  <c:v>8.0524672427093547E-2</c:v>
                </c:pt>
                <c:pt idx="23">
                  <c:v>9.4994129147979431E-2</c:v>
                </c:pt>
                <c:pt idx="24">
                  <c:v>0.11117060230948635</c:v>
                </c:pt>
                <c:pt idx="25">
                  <c:v>0.12903515306731408</c:v>
                </c:pt>
                <c:pt idx="26">
                  <c:v>0.14850934363123147</c:v>
                </c:pt>
                <c:pt idx="27">
                  <c:v>0.16944690588134464</c:v>
                </c:pt>
                <c:pt idx="28">
                  <c:v>0.19162768407404437</c:v>
                </c:pt>
                <c:pt idx="29">
                  <c:v>0.21475475743363986</c:v>
                </c:pt>
                <c:pt idx="30">
                  <c:v>0.23845556157486333</c:v>
                </c:pt>
                <c:pt idx="31">
                  <c:v>0.26228763956569534</c:v>
                </c:pt>
                <c:pt idx="32">
                  <c:v>0.28574936479983781</c:v>
                </c:pt>
                <c:pt idx="33">
                  <c:v>0.30829560302704156</c:v>
                </c:pt>
                <c:pt idx="34">
                  <c:v>0.32935784843194688</c:v>
                </c:pt>
                <c:pt idx="35">
                  <c:v>0.34836791976904163</c:v>
                </c:pt>
                <c:pt idx="36">
                  <c:v>0.36478388717349314</c:v>
                </c:pt>
                <c:pt idx="37">
                  <c:v>0.37811657092844098</c:v>
                </c:pt>
                <c:pt idx="38">
                  <c:v>0.38795475793268908</c:v>
                </c:pt>
                <c:pt idx="39">
                  <c:v>0.39398725519917416</c:v>
                </c:pt>
                <c:pt idx="40">
                  <c:v>0.39602005884318436</c:v>
                </c:pt>
                <c:pt idx="41">
                  <c:v>0.39398725519917577</c:v>
                </c:pt>
                <c:pt idx="42">
                  <c:v>0.38795475793269224</c:v>
                </c:pt>
                <c:pt idx="43">
                  <c:v>0.37811657092844558</c:v>
                </c:pt>
                <c:pt idx="44">
                  <c:v>0.36478388717349908</c:v>
                </c:pt>
                <c:pt idx="45">
                  <c:v>0.34836791976904874</c:v>
                </c:pt>
                <c:pt idx="46">
                  <c:v>0.32935784843195492</c:v>
                </c:pt>
                <c:pt idx="47">
                  <c:v>0.30829560302705039</c:v>
                </c:pt>
                <c:pt idx="48">
                  <c:v>0.28574936479984475</c:v>
                </c:pt>
                <c:pt idx="49">
                  <c:v>0.26228763956570245</c:v>
                </c:pt>
                <c:pt idx="50">
                  <c:v>0.23845556157487044</c:v>
                </c:pt>
                <c:pt idx="51">
                  <c:v>0.21475475743364689</c:v>
                </c:pt>
                <c:pt idx="52">
                  <c:v>0.1916276840740512</c:v>
                </c:pt>
                <c:pt idx="53">
                  <c:v>0.16944690588135108</c:v>
                </c:pt>
                <c:pt idx="54">
                  <c:v>0.14850934363123755</c:v>
                </c:pt>
                <c:pt idx="55">
                  <c:v>0.12903515306731977</c:v>
                </c:pt>
                <c:pt idx="56">
                  <c:v>0.11117060230949151</c:v>
                </c:pt>
                <c:pt idx="57">
                  <c:v>9.4994129147984038E-2</c:v>
                </c:pt>
                <c:pt idx="58">
                  <c:v>8.0524672427097613E-2</c:v>
                </c:pt>
                <c:pt idx="59">
                  <c:v>6.7731375795365062E-2</c:v>
                </c:pt>
                <c:pt idx="60">
                  <c:v>5.6543839022280308E-2</c:v>
                </c:pt>
                <c:pt idx="61">
                  <c:v>4.6862219813471807E-2</c:v>
                </c:pt>
                <c:pt idx="62">
                  <c:v>3.8566645029335073E-2</c:v>
                </c:pt>
                <c:pt idx="63">
                  <c:v>3.152555405883984E-2</c:v>
                </c:pt>
                <c:pt idx="64">
                  <c:v>2.5602752445349174E-2</c:v>
                </c:pt>
                <c:pt idx="65">
                  <c:v>2.0663089171109365E-2</c:v>
                </c:pt>
                <c:pt idx="66">
                  <c:v>1.6576779622716181E-2</c:v>
                </c:pt>
                <c:pt idx="67">
                  <c:v>1.3222475832279682E-2</c:v>
                </c:pt>
                <c:pt idx="68">
                  <c:v>1.0489237155591233E-2</c:v>
                </c:pt>
                <c:pt idx="69">
                  <c:v>8.2775814753858791E-3</c:v>
                </c:pt>
                <c:pt idx="70">
                  <c:v>6.4998039815456748E-3</c:v>
                </c:pt>
                <c:pt idx="71">
                  <c:v>5.0797427063027463E-3</c:v>
                </c:pt>
                <c:pt idx="72">
                  <c:v>3.952152207361859E-3</c:v>
                </c:pt>
                <c:pt idx="73">
                  <c:v>3.0618233989494373E-3</c:v>
                </c:pt>
                <c:pt idx="74">
                  <c:v>2.3625619901696342E-3</c:v>
                </c:pt>
                <c:pt idx="75">
                  <c:v>1.8161128587309441E-3</c:v>
                </c:pt>
                <c:pt idx="76">
                  <c:v>1.3910946744875648E-3</c:v>
                </c:pt>
                <c:pt idx="77">
                  <c:v>1.0619891741884581E-3</c:v>
                </c:pt>
                <c:pt idx="78">
                  <c:v>8.0821308789561094E-4</c:v>
                </c:pt>
                <c:pt idx="79">
                  <c:v>6.1328782635262837E-4</c:v>
                </c:pt>
                <c:pt idx="80">
                  <c:v>4.6411238334702657E-4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D-404B-9673-45F47B19B5B5}"/>
            </c:ext>
          </c:extLst>
        </c:ser>
        <c:ser>
          <c:idx val="0"/>
          <c:order val="1"/>
          <c:cat>
            <c:numRef>
              <c:f>'Fig 6.23'!$A$2:$A$82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-3.5000000000000102</c:v>
                </c:pt>
                <c:pt idx="6">
                  <c:v>-3.4000000000000101</c:v>
                </c:pt>
                <c:pt idx="7">
                  <c:v>-3.30000000000001</c:v>
                </c:pt>
                <c:pt idx="8">
                  <c:v>-3.2000000000000099</c:v>
                </c:pt>
                <c:pt idx="9">
                  <c:v>-3.1000000000000099</c:v>
                </c:pt>
                <c:pt idx="10">
                  <c:v>-3.0000000000000102</c:v>
                </c:pt>
                <c:pt idx="11">
                  <c:v>-2.9000000000000101</c:v>
                </c:pt>
                <c:pt idx="12">
                  <c:v>-2.80000000000001</c:v>
                </c:pt>
                <c:pt idx="13">
                  <c:v>-2.7000000000000099</c:v>
                </c:pt>
                <c:pt idx="14">
                  <c:v>-2.6000000000000099</c:v>
                </c:pt>
                <c:pt idx="15">
                  <c:v>-2.5000000000000102</c:v>
                </c:pt>
                <c:pt idx="16">
                  <c:v>-2.4000000000000101</c:v>
                </c:pt>
                <c:pt idx="17">
                  <c:v>-2.30000000000001</c:v>
                </c:pt>
                <c:pt idx="18">
                  <c:v>-2.2000000000000099</c:v>
                </c:pt>
                <c:pt idx="19">
                  <c:v>-2.1000000000000099</c:v>
                </c:pt>
                <c:pt idx="20">
                  <c:v>-2.0000000000000102</c:v>
                </c:pt>
                <c:pt idx="21">
                  <c:v>-1.9000000000000099</c:v>
                </c:pt>
                <c:pt idx="22">
                  <c:v>-1.80000000000001</c:v>
                </c:pt>
                <c:pt idx="23">
                  <c:v>-1.7000000000000099</c:v>
                </c:pt>
                <c:pt idx="24">
                  <c:v>-1.6000000000000101</c:v>
                </c:pt>
                <c:pt idx="25">
                  <c:v>-1.50000000000001</c:v>
                </c:pt>
                <c:pt idx="26">
                  <c:v>-1.4000000000000099</c:v>
                </c:pt>
                <c:pt idx="27">
                  <c:v>-1.30000000000001</c:v>
                </c:pt>
                <c:pt idx="28">
                  <c:v>-1.2000000000000099</c:v>
                </c:pt>
                <c:pt idx="29">
                  <c:v>-1.1000000000000101</c:v>
                </c:pt>
                <c:pt idx="30">
                  <c:v>-1.00000000000001</c:v>
                </c:pt>
                <c:pt idx="31">
                  <c:v>-0.90000000000001001</c:v>
                </c:pt>
                <c:pt idx="32">
                  <c:v>-0.80000000000001004</c:v>
                </c:pt>
                <c:pt idx="33">
                  <c:v>-0.70000000000002005</c:v>
                </c:pt>
                <c:pt idx="34">
                  <c:v>-0.60000000000001996</c:v>
                </c:pt>
                <c:pt idx="35">
                  <c:v>-0.50000000000001998</c:v>
                </c:pt>
                <c:pt idx="36">
                  <c:v>-0.40000000000002001</c:v>
                </c:pt>
                <c:pt idx="37">
                  <c:v>-0.30000000000001997</c:v>
                </c:pt>
                <c:pt idx="38">
                  <c:v>-0.20000000000002</c:v>
                </c:pt>
                <c:pt idx="39">
                  <c:v>-0.10000000000002</c:v>
                </c:pt>
                <c:pt idx="40">
                  <c:v>-2.0428103653102899E-14</c:v>
                </c:pt>
                <c:pt idx="41">
                  <c:v>9.9999999999980105E-2</c:v>
                </c:pt>
                <c:pt idx="42">
                  <c:v>0.19999999999998</c:v>
                </c:pt>
                <c:pt idx="43">
                  <c:v>0.29999999999998</c:v>
                </c:pt>
                <c:pt idx="44">
                  <c:v>0.39999999999997998</c:v>
                </c:pt>
                <c:pt idx="45">
                  <c:v>0.49999999999998002</c:v>
                </c:pt>
                <c:pt idx="46">
                  <c:v>0.59999999999997999</c:v>
                </c:pt>
                <c:pt idx="47">
                  <c:v>0.69999999999997997</c:v>
                </c:pt>
                <c:pt idx="48">
                  <c:v>0.79999999999997995</c:v>
                </c:pt>
                <c:pt idx="49">
                  <c:v>0.89999999999998004</c:v>
                </c:pt>
                <c:pt idx="50">
                  <c:v>0.99999999999998002</c:v>
                </c:pt>
                <c:pt idx="51">
                  <c:v>1.0999999999999801</c:v>
                </c:pt>
                <c:pt idx="52">
                  <c:v>1.19999999999998</c:v>
                </c:pt>
                <c:pt idx="53">
                  <c:v>1.2999999999999801</c:v>
                </c:pt>
                <c:pt idx="54">
                  <c:v>1.3999999999999799</c:v>
                </c:pt>
                <c:pt idx="55">
                  <c:v>1.49999999999998</c:v>
                </c:pt>
                <c:pt idx="56">
                  <c:v>1.5999999999999801</c:v>
                </c:pt>
                <c:pt idx="57">
                  <c:v>1.69999999999998</c:v>
                </c:pt>
                <c:pt idx="58">
                  <c:v>1.7999999999999801</c:v>
                </c:pt>
                <c:pt idx="59">
                  <c:v>1.8999999999999799</c:v>
                </c:pt>
                <c:pt idx="60">
                  <c:v>1.99999999999998</c:v>
                </c:pt>
                <c:pt idx="61">
                  <c:v>2.0999999999999699</c:v>
                </c:pt>
                <c:pt idx="62">
                  <c:v>2.19999999999997</c:v>
                </c:pt>
                <c:pt idx="63">
                  <c:v>2.2999999999999701</c:v>
                </c:pt>
                <c:pt idx="64">
                  <c:v>2.3999999999999702</c:v>
                </c:pt>
                <c:pt idx="65">
                  <c:v>2.4999999999999698</c:v>
                </c:pt>
                <c:pt idx="66">
                  <c:v>2.5999999999999699</c:v>
                </c:pt>
                <c:pt idx="67">
                  <c:v>2.69999999999997</c:v>
                </c:pt>
                <c:pt idx="68">
                  <c:v>2.7999999999999701</c:v>
                </c:pt>
                <c:pt idx="69">
                  <c:v>2.8999999999999702</c:v>
                </c:pt>
                <c:pt idx="70">
                  <c:v>2.9999999999999698</c:v>
                </c:pt>
                <c:pt idx="71">
                  <c:v>3.0999999999999699</c:v>
                </c:pt>
                <c:pt idx="72">
                  <c:v>3.19999999999997</c:v>
                </c:pt>
                <c:pt idx="73">
                  <c:v>3.2999999999999701</c:v>
                </c:pt>
                <c:pt idx="74">
                  <c:v>3.3999999999999702</c:v>
                </c:pt>
                <c:pt idx="75">
                  <c:v>3.4999999999999698</c:v>
                </c:pt>
                <c:pt idx="76">
                  <c:v>3.5999999999999699</c:v>
                </c:pt>
                <c:pt idx="77">
                  <c:v>3.69999999999997</c:v>
                </c:pt>
                <c:pt idx="78">
                  <c:v>3.7999999999999701</c:v>
                </c:pt>
                <c:pt idx="79">
                  <c:v>3.8999999999999702</c:v>
                </c:pt>
                <c:pt idx="80">
                  <c:v>3.9999999999999698</c:v>
                </c:pt>
              </c:numCache>
            </c:numRef>
          </c:cat>
          <c:val>
            <c:numRef>
              <c:f>'Fig 6.23'!$C$2:$C$82</c:f>
              <c:numCache>
                <c:formatCode>0.0%</c:formatCode>
                <c:ptCount val="81"/>
                <c:pt idx="0">
                  <c:v>1.6191100413575458E-4</c:v>
                </c:pt>
                <c:pt idx="1">
                  <c:v>6.132878263525785E-4</c:v>
                </c:pt>
                <c:pt idx="2">
                  <c:v>8.0821308789554448E-4</c:v>
                </c:pt>
                <c:pt idx="3">
                  <c:v>1.0619891741883709E-3</c:v>
                </c:pt>
                <c:pt idx="4">
                  <c:v>1.391094674487454E-3</c:v>
                </c:pt>
                <c:pt idx="5">
                  <c:v>1.8161128587307514E-3</c:v>
                </c:pt>
                <c:pt idx="6">
                  <c:v>2.3625619901693896E-3</c:v>
                </c:pt>
                <c:pt idx="7">
                  <c:v>3.0618233989491215E-3</c:v>
                </c:pt>
                <c:pt idx="8">
                  <c:v>3.9521522073614626E-3</c:v>
                </c:pt>
                <c:pt idx="9">
                  <c:v>5.0797427063022406E-3</c:v>
                </c:pt>
                <c:pt idx="10">
                  <c:v>6.4998039815450329E-3</c:v>
                </c:pt>
                <c:pt idx="11">
                  <c:v>8.2775814753850881E-3</c:v>
                </c:pt>
                <c:pt idx="12">
                  <c:v>1.0489237155590249E-2</c:v>
                </c:pt>
                <c:pt idx="13">
                  <c:v>1.3222475832278481E-2</c:v>
                </c:pt>
                <c:pt idx="14">
                  <c:v>1.6576779622714716E-2</c:v>
                </c:pt>
                <c:pt idx="15">
                  <c:v>2.066308917110754E-2</c:v>
                </c:pt>
                <c:pt idx="16">
                  <c:v>2.5602752445347009E-2</c:v>
                </c:pt>
                <c:pt idx="17">
                  <c:v>3.152555405883728E-2</c:v>
                </c:pt>
                <c:pt idx="18">
                  <c:v>3.856664502933202E-2</c:v>
                </c:pt>
                <c:pt idx="19">
                  <c:v>4.6862219813468227E-2</c:v>
                </c:pt>
                <c:pt idx="20">
                  <c:v>5.6543839022277144E-2</c:v>
                </c:pt>
                <c:pt idx="60">
                  <c:v>5.6543839022280308E-2</c:v>
                </c:pt>
                <c:pt idx="61">
                  <c:v>4.6862219813471807E-2</c:v>
                </c:pt>
                <c:pt idx="62">
                  <c:v>3.8566645029335073E-2</c:v>
                </c:pt>
                <c:pt idx="63">
                  <c:v>3.152555405883984E-2</c:v>
                </c:pt>
                <c:pt idx="64">
                  <c:v>2.5602752445349174E-2</c:v>
                </c:pt>
                <c:pt idx="65">
                  <c:v>2.0663089171109365E-2</c:v>
                </c:pt>
                <c:pt idx="66">
                  <c:v>1.6576779622716181E-2</c:v>
                </c:pt>
                <c:pt idx="67">
                  <c:v>1.3222475832279682E-2</c:v>
                </c:pt>
                <c:pt idx="68">
                  <c:v>1.0489237155591233E-2</c:v>
                </c:pt>
                <c:pt idx="69">
                  <c:v>8.2775814753858791E-3</c:v>
                </c:pt>
                <c:pt idx="70">
                  <c:v>6.4998039815456748E-3</c:v>
                </c:pt>
                <c:pt idx="71">
                  <c:v>5.0797427063027463E-3</c:v>
                </c:pt>
                <c:pt idx="72">
                  <c:v>3.952152207361859E-3</c:v>
                </c:pt>
                <c:pt idx="73">
                  <c:v>3.0618233989494373E-3</c:v>
                </c:pt>
                <c:pt idx="74">
                  <c:v>2.3625619901696342E-3</c:v>
                </c:pt>
                <c:pt idx="75">
                  <c:v>1.8161128587309441E-3</c:v>
                </c:pt>
                <c:pt idx="76">
                  <c:v>1.3910946744875648E-3</c:v>
                </c:pt>
                <c:pt idx="77">
                  <c:v>1.0619891741884581E-3</c:v>
                </c:pt>
                <c:pt idx="78">
                  <c:v>8.0821308789561094E-4</c:v>
                </c:pt>
                <c:pt idx="79">
                  <c:v>6.1328782635262837E-4</c:v>
                </c:pt>
                <c:pt idx="80">
                  <c:v>4.6411238334702657E-4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D-404B-9673-45F47B19B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803272"/>
        <c:axId val="644199624"/>
      </c:areaChart>
      <c:catAx>
        <c:axId val="76880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t-ratio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6441996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64419962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7688032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76200</xdr:rowOff>
    </xdr:from>
    <xdr:to>
      <xdr:col>13</xdr:col>
      <xdr:colOff>361950</xdr:colOff>
      <xdr:row>22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238124</xdr:colOff>
      <xdr:row>0</xdr:row>
      <xdr:rowOff>180975</xdr:rowOff>
    </xdr:from>
    <xdr:to>
      <xdr:col>16</xdr:col>
      <xdr:colOff>304799</xdr:colOff>
      <xdr:row>18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238124</xdr:colOff>
      <xdr:row>0</xdr:row>
      <xdr:rowOff>180975</xdr:rowOff>
    </xdr:from>
    <xdr:to>
      <xdr:col>16</xdr:col>
      <xdr:colOff>304799</xdr:colOff>
      <xdr:row>17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11</xdr:row>
      <xdr:rowOff>47625</xdr:rowOff>
    </xdr:from>
    <xdr:to>
      <xdr:col>7</xdr:col>
      <xdr:colOff>923925</xdr:colOff>
      <xdr:row>24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</xdr:colOff>
      <xdr:row>1</xdr:row>
      <xdr:rowOff>0</xdr:rowOff>
    </xdr:from>
    <xdr:to>
      <xdr:col>5</xdr:col>
      <xdr:colOff>238125</xdr:colOff>
      <xdr:row>6</xdr:row>
      <xdr:rowOff>9525</xdr:rowOff>
    </xdr:to>
    <xdr:sp macro="" textlink="">
      <xdr:nvSpPr>
        <xdr:cNvPr id="3" name="Right Brace 2"/>
        <xdr:cNvSpPr/>
      </xdr:nvSpPr>
      <xdr:spPr>
        <a:xfrm>
          <a:off x="3476625" y="200025"/>
          <a:ext cx="200025" cy="971550"/>
        </a:xfrm>
        <a:prstGeom prst="rightBrac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11</xdr:row>
      <xdr:rowOff>71437</xdr:rowOff>
    </xdr:from>
    <xdr:to>
      <xdr:col>7</xdr:col>
      <xdr:colOff>857250</xdr:colOff>
      <xdr:row>23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</xdr:colOff>
      <xdr:row>1</xdr:row>
      <xdr:rowOff>0</xdr:rowOff>
    </xdr:from>
    <xdr:to>
      <xdr:col>5</xdr:col>
      <xdr:colOff>238125</xdr:colOff>
      <xdr:row>6</xdr:row>
      <xdr:rowOff>9525</xdr:rowOff>
    </xdr:to>
    <xdr:sp macro="" textlink="">
      <xdr:nvSpPr>
        <xdr:cNvPr id="4" name="Right Brace 3"/>
        <xdr:cNvSpPr/>
      </xdr:nvSpPr>
      <xdr:spPr>
        <a:xfrm>
          <a:off x="2609850" y="200025"/>
          <a:ext cx="200025" cy="971550"/>
        </a:xfrm>
        <a:prstGeom prst="rightBrac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1</xdr:row>
      <xdr:rowOff>9525</xdr:rowOff>
    </xdr:from>
    <xdr:to>
      <xdr:col>12</xdr:col>
      <xdr:colOff>561975</xdr:colOff>
      <xdr:row>19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0.72213</cdr:x>
      <cdr:y>0.58777</cdr:y>
    </cdr:from>
    <cdr:to>
      <cdr:x>0.95175</cdr:x>
      <cdr:y>0.75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133850" y="2105025"/>
          <a:ext cx="1314450" cy="5810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5875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5% of the area under</a:t>
          </a:r>
          <a:r>
            <a:rPr lang="en-US" sz="1100" baseline="0"/>
            <a:t> the curve</a:t>
          </a:r>
          <a:endParaRPr lang="en-US" sz="1100"/>
        </a:p>
      </cdr:txBody>
    </cdr:sp>
  </cdr:relSizeAnchor>
  <cdr:relSizeAnchor xmlns:cdr="http://schemas.openxmlformats.org/drawingml/2006/chartDrawing">
    <cdr:from>
      <cdr:x>0.79368</cdr:x>
      <cdr:y>0.75</cdr:y>
    </cdr:from>
    <cdr:to>
      <cdr:x>0.82862</cdr:x>
      <cdr:y>0.87234</cdr:y>
    </cdr:to>
    <cdr:cxnSp macro="">
      <cdr:nvCxnSpPr>
        <cdr:cNvPr id="4" name="Straight Arrow Connector 3"/>
        <cdr:cNvCxnSpPr/>
      </cdr:nvCxnSpPr>
      <cdr:spPr>
        <a:xfrm xmlns:a="http://schemas.openxmlformats.org/drawingml/2006/main">
          <a:off x="4543425" y="2686050"/>
          <a:ext cx="200025" cy="438150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9525</xdr:rowOff>
    </xdr:from>
    <xdr:to>
      <xdr:col>7</xdr:col>
      <xdr:colOff>571500</xdr:colOff>
      <xdr:row>7</xdr:row>
      <xdr:rowOff>0</xdr:rowOff>
    </xdr:to>
    <xdr:cxnSp macro="">
      <xdr:nvCxnSpPr>
        <xdr:cNvPr id="3" name="Straight Arrow Connector 2"/>
        <xdr:cNvCxnSpPr/>
      </xdr:nvCxnSpPr>
      <xdr:spPr>
        <a:xfrm flipV="1">
          <a:off x="4933950" y="962025"/>
          <a:ext cx="571500" cy="942975"/>
        </a:xfrm>
        <a:prstGeom prst="straightConnector1">
          <a:avLst/>
        </a:prstGeom>
        <a:ln w="15875"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533399</xdr:colOff>
      <xdr:row>0</xdr:row>
      <xdr:rowOff>28575</xdr:rowOff>
    </xdr:from>
    <xdr:to>
      <xdr:col>11</xdr:col>
      <xdr:colOff>600075</xdr:colOff>
      <xdr:row>20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247649</xdr:colOff>
      <xdr:row>0</xdr:row>
      <xdr:rowOff>76200</xdr:rowOff>
    </xdr:from>
    <xdr:to>
      <xdr:col>10</xdr:col>
      <xdr:colOff>333375</xdr:colOff>
      <xdr:row>21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85725</xdr:rowOff>
    </xdr:from>
    <xdr:to>
      <xdr:col>7</xdr:col>
      <xdr:colOff>409575</xdr:colOff>
      <xdr:row>12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3</xdr:row>
      <xdr:rowOff>0</xdr:rowOff>
    </xdr:from>
    <xdr:to>
      <xdr:col>5</xdr:col>
      <xdr:colOff>257175</xdr:colOff>
      <xdr:row>8</xdr:row>
      <xdr:rowOff>9525</xdr:rowOff>
    </xdr:to>
    <xdr:sp macro="" textlink="">
      <xdr:nvSpPr>
        <xdr:cNvPr id="2" name="Right Brace 1"/>
        <xdr:cNvSpPr/>
      </xdr:nvSpPr>
      <xdr:spPr>
        <a:xfrm>
          <a:off x="3228975" y="590550"/>
          <a:ext cx="200025" cy="971550"/>
        </a:xfrm>
        <a:prstGeom prst="rightBrac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10</xdr:row>
      <xdr:rowOff>0</xdr:rowOff>
    </xdr:from>
    <xdr:to>
      <xdr:col>23</xdr:col>
      <xdr:colOff>123825</xdr:colOff>
      <xdr:row>31</xdr:row>
      <xdr:rowOff>180975</xdr:rowOff>
    </xdr:to>
    <xdr:sp macro="" textlink="">
      <xdr:nvSpPr>
        <xdr:cNvPr id="2" name="Right Brace 1"/>
        <xdr:cNvSpPr/>
      </xdr:nvSpPr>
      <xdr:spPr>
        <a:xfrm>
          <a:off x="14935200" y="2286000"/>
          <a:ext cx="114300" cy="371475"/>
        </a:xfrm>
        <a:prstGeom prst="rightBrac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10</xdr:row>
      <xdr:rowOff>0</xdr:rowOff>
    </xdr:from>
    <xdr:to>
      <xdr:col>23</xdr:col>
      <xdr:colOff>114300</xdr:colOff>
      <xdr:row>31</xdr:row>
      <xdr:rowOff>180975</xdr:rowOff>
    </xdr:to>
    <xdr:sp macro="" textlink="">
      <xdr:nvSpPr>
        <xdr:cNvPr id="2" name="Right Brace 1"/>
        <xdr:cNvSpPr/>
      </xdr:nvSpPr>
      <xdr:spPr>
        <a:xfrm>
          <a:off x="14630400" y="2286000"/>
          <a:ext cx="114300" cy="371475"/>
        </a:xfrm>
        <a:prstGeom prst="rightBrac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10</xdr:row>
      <xdr:rowOff>0</xdr:rowOff>
    </xdr:from>
    <xdr:to>
      <xdr:col>23</xdr:col>
      <xdr:colOff>114300</xdr:colOff>
      <xdr:row>31</xdr:row>
      <xdr:rowOff>180975</xdr:rowOff>
    </xdr:to>
    <xdr:sp macro="" textlink="">
      <xdr:nvSpPr>
        <xdr:cNvPr id="2" name="Right Brace 1"/>
        <xdr:cNvSpPr/>
      </xdr:nvSpPr>
      <xdr:spPr>
        <a:xfrm>
          <a:off x="14630400" y="2286000"/>
          <a:ext cx="114300" cy="371475"/>
        </a:xfrm>
        <a:prstGeom prst="rightBrac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128586</xdr:colOff>
      <xdr:row>0</xdr:row>
      <xdr:rowOff>19049</xdr:rowOff>
    </xdr:from>
    <xdr:to>
      <xdr:col>13</xdr:col>
      <xdr:colOff>514349</xdr:colOff>
      <xdr:row>24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0.05758</cdr:x>
      <cdr:y>0.07589</cdr:y>
    </cdr:from>
    <cdr:to>
      <cdr:x>0.34307</cdr:x>
      <cdr:y>0.23884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38140" y="344801"/>
          <a:ext cx="1676424" cy="740351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Distribution of sample t-ratios if population parameter</a:t>
          </a:r>
          <a:r>
            <a:rPr lang="en-US" sz="1100" baseline="0"/>
            <a:t> = 0.0</a:t>
          </a:r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0.32684</cdr:x>
      <cdr:y>0.24107</cdr:y>
    </cdr:from>
    <cdr:to>
      <cdr:x>0.48419</cdr:x>
      <cdr:y>0.36897</cdr:y>
    </cdr:to>
    <cdr:cxnSp macro="">
      <cdr:nvCxnSpPr>
        <cdr:cNvPr id="8" name="Straight Arrow Connector 7"/>
        <cdr:cNvCxnSpPr/>
      </cdr:nvCxnSpPr>
      <cdr:spPr>
        <a:xfrm xmlns:a="http://schemas.openxmlformats.org/drawingml/2006/main">
          <a:off x="1919258" y="1095283"/>
          <a:ext cx="923956" cy="581118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0.19708</cdr:x>
      <cdr:y>0.74423</cdr:y>
    </cdr:from>
    <cdr:to>
      <cdr:x>0.29927</cdr:x>
      <cdr:y>0.846</cdr:y>
    </cdr:to>
    <cdr:cxnSp macro="">
      <cdr:nvCxnSpPr>
        <cdr:cNvPr id="20" name="Straight Arrow Connector 19"/>
        <cdr:cNvCxnSpPr/>
      </cdr:nvCxnSpPr>
      <cdr:spPr>
        <a:xfrm xmlns:a="http://schemas.openxmlformats.org/drawingml/2006/main">
          <a:off x="1157289" y="3452265"/>
          <a:ext cx="600075" cy="472036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0.05596</cdr:x>
      <cdr:y>0.56604</cdr:y>
    </cdr:from>
    <cdr:to>
      <cdr:x>0.25061</cdr:x>
      <cdr:y>0.72746</cdr:y>
    </cdr:to>
    <cdr:sp macro="" textlink="">
      <cdr:nvSpPr>
        <cdr:cNvPr id="23" name="TextBox 22"/>
        <cdr:cNvSpPr txBox="1"/>
      </cdr:nvSpPr>
      <cdr:spPr>
        <a:xfrm xmlns:a="http://schemas.openxmlformats.org/drawingml/2006/main">
          <a:off x="328614" y="2571751"/>
          <a:ext cx="1143000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0.07543</cdr:x>
      <cdr:y>0.59119</cdr:y>
    </cdr:from>
    <cdr:to>
      <cdr:x>0.23764</cdr:x>
      <cdr:y>0.74004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442916" y="2686030"/>
          <a:ext cx="952524" cy="676289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>
              <a:effectLst/>
              <a:latin typeface="+mn-lt"/>
              <a:ea typeface="+mn-ea"/>
              <a:cs typeface="+mn-cs"/>
            </a:rPr>
            <a:t>α</a:t>
          </a:r>
          <a:r>
            <a:rPr lang="en-US" sz="1100">
              <a:effectLst/>
              <a:latin typeface="+mn-lt"/>
              <a:ea typeface="+mn-ea"/>
              <a:cs typeface="+mn-cs"/>
            </a:rPr>
            <a:t> = .05</a:t>
          </a: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5% of area</a:t>
          </a:r>
          <a:endParaRPr lang="en-US">
            <a:effectLst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42861</xdr:colOff>
      <xdr:row>0</xdr:row>
      <xdr:rowOff>19049</xdr:rowOff>
    </xdr:from>
    <xdr:to>
      <xdr:col>13</xdr:col>
      <xdr:colOff>428624</xdr:colOff>
      <xdr:row>24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0.05758</cdr:x>
      <cdr:y>0.07589</cdr:y>
    </cdr:from>
    <cdr:to>
      <cdr:x>0.34307</cdr:x>
      <cdr:y>0.23884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38140" y="344801"/>
          <a:ext cx="1676424" cy="740351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Distribution of sample t-ratios if population parameter</a:t>
          </a:r>
          <a:r>
            <a:rPr lang="en-US" sz="1100" baseline="0"/>
            <a:t> = 0.0</a:t>
          </a:r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0.34631</cdr:x>
      <cdr:y>0.16632</cdr:y>
    </cdr:from>
    <cdr:to>
      <cdr:x>0.45012</cdr:x>
      <cdr:y>0.25873</cdr:y>
    </cdr:to>
    <cdr:cxnSp macro="">
      <cdr:nvCxnSpPr>
        <cdr:cNvPr id="8" name="Straight Arrow Connector 7"/>
        <cdr:cNvCxnSpPr/>
      </cdr:nvCxnSpPr>
      <cdr:spPr>
        <a:xfrm xmlns:a="http://schemas.openxmlformats.org/drawingml/2006/main">
          <a:off x="2033589" y="771526"/>
          <a:ext cx="609600" cy="428625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0.23925</cdr:x>
      <cdr:y>0.68583</cdr:y>
    </cdr:from>
    <cdr:to>
      <cdr:x>0.50203</cdr:x>
      <cdr:y>0.77413</cdr:y>
    </cdr:to>
    <cdr:cxnSp macro="">
      <cdr:nvCxnSpPr>
        <cdr:cNvPr id="20" name="Straight Arrow Connector 19"/>
        <cdr:cNvCxnSpPr/>
      </cdr:nvCxnSpPr>
      <cdr:spPr>
        <a:xfrm xmlns:a="http://schemas.openxmlformats.org/drawingml/2006/main">
          <a:off x="1404939" y="3181351"/>
          <a:ext cx="1543050" cy="409575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0.05596</cdr:x>
      <cdr:y>0.56604</cdr:y>
    </cdr:from>
    <cdr:to>
      <cdr:x>0.25061</cdr:x>
      <cdr:y>0.72746</cdr:y>
    </cdr:to>
    <cdr:sp macro="" textlink="">
      <cdr:nvSpPr>
        <cdr:cNvPr id="23" name="TextBox 22"/>
        <cdr:cNvSpPr txBox="1"/>
      </cdr:nvSpPr>
      <cdr:spPr>
        <a:xfrm xmlns:a="http://schemas.openxmlformats.org/drawingml/2006/main">
          <a:off x="328614" y="2571751"/>
          <a:ext cx="1143000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0.07543</cdr:x>
      <cdr:y>0.58503</cdr:y>
    </cdr:from>
    <cdr:to>
      <cdr:x>0.23764</cdr:x>
      <cdr:y>0.73388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442937" y="2713764"/>
          <a:ext cx="952524" cy="69046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95% of area</a:t>
          </a:r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0.7548</cdr:x>
      <cdr:y>0.60027</cdr:y>
    </cdr:from>
    <cdr:to>
      <cdr:x>0.91701</cdr:x>
      <cdr:y>0.74912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4432300" y="2784475"/>
          <a:ext cx="952524" cy="69046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5% of area</a:t>
          </a:r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0.71938</cdr:x>
      <cdr:y>0.75428</cdr:y>
    </cdr:from>
    <cdr:to>
      <cdr:x>0.83104</cdr:x>
      <cdr:y>0.84805</cdr:y>
    </cdr:to>
    <cdr:cxnSp macro="">
      <cdr:nvCxnSpPr>
        <cdr:cNvPr id="12" name="Straight Arrow Connector 11"/>
        <cdr:cNvCxnSpPr/>
      </cdr:nvCxnSpPr>
      <cdr:spPr>
        <a:xfrm xmlns:a="http://schemas.openxmlformats.org/drawingml/2006/main" flipH="1">
          <a:off x="4224339" y="3498850"/>
          <a:ext cx="655637" cy="434976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700086</xdr:colOff>
      <xdr:row>0</xdr:row>
      <xdr:rowOff>66674</xdr:rowOff>
    </xdr:from>
    <xdr:to>
      <xdr:col>13</xdr:col>
      <xdr:colOff>285749</xdr:colOff>
      <xdr:row>24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0.05758</cdr:x>
      <cdr:y>0.07589</cdr:y>
    </cdr:from>
    <cdr:to>
      <cdr:x>0.34307</cdr:x>
      <cdr:y>0.23884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38140" y="344801"/>
          <a:ext cx="1676424" cy="740351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Distribution of sample t-ratios if population parameter</a:t>
          </a:r>
          <a:r>
            <a:rPr lang="en-US" sz="1100" baseline="0"/>
            <a:t> = 0.0</a:t>
          </a:r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0.32684</cdr:x>
      <cdr:y>0.24107</cdr:y>
    </cdr:from>
    <cdr:to>
      <cdr:x>0.48419</cdr:x>
      <cdr:y>0.36897</cdr:y>
    </cdr:to>
    <cdr:cxnSp macro="">
      <cdr:nvCxnSpPr>
        <cdr:cNvPr id="8" name="Straight Arrow Connector 7"/>
        <cdr:cNvCxnSpPr/>
      </cdr:nvCxnSpPr>
      <cdr:spPr>
        <a:xfrm xmlns:a="http://schemas.openxmlformats.org/drawingml/2006/main">
          <a:off x="1919258" y="1095283"/>
          <a:ext cx="923956" cy="581118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0.73723</cdr:x>
      <cdr:y>0.73397</cdr:y>
    </cdr:from>
    <cdr:to>
      <cdr:x>0.84266</cdr:x>
      <cdr:y>0.82341</cdr:y>
    </cdr:to>
    <cdr:cxnSp macro="">
      <cdr:nvCxnSpPr>
        <cdr:cNvPr id="20" name="Straight Arrow Connector 19"/>
        <cdr:cNvCxnSpPr/>
      </cdr:nvCxnSpPr>
      <cdr:spPr>
        <a:xfrm xmlns:a="http://schemas.openxmlformats.org/drawingml/2006/main" flipH="1">
          <a:off x="4329114" y="3404663"/>
          <a:ext cx="619122" cy="414863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0.05596</cdr:x>
      <cdr:y>0.56604</cdr:y>
    </cdr:from>
    <cdr:to>
      <cdr:x>0.25061</cdr:x>
      <cdr:y>0.72746</cdr:y>
    </cdr:to>
    <cdr:sp macro="" textlink="">
      <cdr:nvSpPr>
        <cdr:cNvPr id="23" name="TextBox 22"/>
        <cdr:cNvSpPr txBox="1"/>
      </cdr:nvSpPr>
      <cdr:spPr>
        <a:xfrm xmlns:a="http://schemas.openxmlformats.org/drawingml/2006/main">
          <a:off x="328614" y="2571751"/>
          <a:ext cx="1143000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0.79238</cdr:x>
      <cdr:y>0.58298</cdr:y>
    </cdr:from>
    <cdr:to>
      <cdr:x>0.95459</cdr:x>
      <cdr:y>0.73183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4652987" y="2704239"/>
          <a:ext cx="952524" cy="69046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>
              <a:effectLst/>
              <a:latin typeface="+mn-lt"/>
              <a:ea typeface="+mn-ea"/>
              <a:cs typeface="+mn-cs"/>
            </a:rPr>
            <a:t>α</a:t>
          </a:r>
          <a:r>
            <a:rPr lang="en-US" sz="1100">
              <a:effectLst/>
              <a:latin typeface="+mn-lt"/>
              <a:ea typeface="+mn-ea"/>
              <a:cs typeface="+mn-cs"/>
            </a:rPr>
            <a:t> = .05</a:t>
          </a: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5% of area</a:t>
          </a:r>
          <a:endParaRPr lang="en-US">
            <a:effectLst/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109536</xdr:colOff>
      <xdr:row>0</xdr:row>
      <xdr:rowOff>47625</xdr:rowOff>
    </xdr:from>
    <xdr:to>
      <xdr:col>13</xdr:col>
      <xdr:colOff>495299</xdr:colOff>
      <xdr:row>24</xdr:row>
      <xdr:rowOff>114301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0.05758</cdr:x>
      <cdr:y>0.07589</cdr:y>
    </cdr:from>
    <cdr:to>
      <cdr:x>0.34307</cdr:x>
      <cdr:y>0.23884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38140" y="344801"/>
          <a:ext cx="1676424" cy="740351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Distribution of sample t-ratios if population parameter</a:t>
          </a:r>
          <a:r>
            <a:rPr lang="en-US" sz="1100" baseline="0"/>
            <a:t> = 0.0</a:t>
          </a:r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0.32684</cdr:x>
      <cdr:y>0.24107</cdr:y>
    </cdr:from>
    <cdr:to>
      <cdr:x>0.48419</cdr:x>
      <cdr:y>0.36897</cdr:y>
    </cdr:to>
    <cdr:cxnSp macro="">
      <cdr:nvCxnSpPr>
        <cdr:cNvPr id="8" name="Straight Arrow Connector 7"/>
        <cdr:cNvCxnSpPr/>
      </cdr:nvCxnSpPr>
      <cdr:spPr>
        <a:xfrm xmlns:a="http://schemas.openxmlformats.org/drawingml/2006/main">
          <a:off x="1919258" y="1095283"/>
          <a:ext cx="923956" cy="581118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0.75994</cdr:x>
      <cdr:y>0.73397</cdr:y>
    </cdr:from>
    <cdr:to>
      <cdr:x>0.84266</cdr:x>
      <cdr:y>0.8501</cdr:y>
    </cdr:to>
    <cdr:cxnSp macro="">
      <cdr:nvCxnSpPr>
        <cdr:cNvPr id="20" name="Straight Arrow Connector 19"/>
        <cdr:cNvCxnSpPr/>
      </cdr:nvCxnSpPr>
      <cdr:spPr>
        <a:xfrm xmlns:a="http://schemas.openxmlformats.org/drawingml/2006/main" flipH="1">
          <a:off x="4462464" y="3404663"/>
          <a:ext cx="485772" cy="538688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0.05596</cdr:x>
      <cdr:y>0.56604</cdr:y>
    </cdr:from>
    <cdr:to>
      <cdr:x>0.25061</cdr:x>
      <cdr:y>0.72746</cdr:y>
    </cdr:to>
    <cdr:sp macro="" textlink="">
      <cdr:nvSpPr>
        <cdr:cNvPr id="23" name="TextBox 22"/>
        <cdr:cNvSpPr txBox="1"/>
      </cdr:nvSpPr>
      <cdr:spPr>
        <a:xfrm xmlns:a="http://schemas.openxmlformats.org/drawingml/2006/main">
          <a:off x="328614" y="2571751"/>
          <a:ext cx="1143000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0.79238</cdr:x>
      <cdr:y>0.58298</cdr:y>
    </cdr:from>
    <cdr:to>
      <cdr:x>0.95459</cdr:x>
      <cdr:y>0.73183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4652987" y="2704239"/>
          <a:ext cx="952524" cy="69046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>
              <a:effectLst/>
              <a:latin typeface="+mn-lt"/>
              <a:ea typeface="+mn-ea"/>
              <a:cs typeface="+mn-cs"/>
            </a:rPr>
            <a:t>α</a:t>
          </a:r>
          <a:r>
            <a:rPr lang="en-US" sz="1100">
              <a:effectLst/>
              <a:latin typeface="+mn-lt"/>
              <a:ea typeface="+mn-ea"/>
              <a:cs typeface="+mn-cs"/>
            </a:rPr>
            <a:t> = .05</a:t>
          </a: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2.5% of area</a:t>
          </a:r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0.09624</cdr:x>
      <cdr:y>0.59411</cdr:y>
    </cdr:from>
    <cdr:to>
      <cdr:x>0.25845</cdr:x>
      <cdr:y>0.74296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565150" y="2755900"/>
          <a:ext cx="952523" cy="690467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>
              <a:effectLst/>
              <a:latin typeface="+mn-lt"/>
              <a:ea typeface="+mn-ea"/>
              <a:cs typeface="+mn-cs"/>
            </a:rPr>
            <a:t>α</a:t>
          </a:r>
          <a:r>
            <a:rPr lang="en-US" sz="1100">
              <a:effectLst/>
              <a:latin typeface="+mn-lt"/>
              <a:ea typeface="+mn-ea"/>
              <a:cs typeface="+mn-cs"/>
            </a:rPr>
            <a:t> = .05</a:t>
          </a: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2.5% of area</a:t>
          </a:r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0.15625</cdr:x>
      <cdr:y>0.74812</cdr:y>
    </cdr:from>
    <cdr:to>
      <cdr:x>0.2425</cdr:x>
      <cdr:y>0.85832</cdr:y>
    </cdr:to>
    <cdr:cxnSp macro="">
      <cdr:nvCxnSpPr>
        <cdr:cNvPr id="9" name="Straight Arrow Connector 8"/>
        <cdr:cNvCxnSpPr/>
      </cdr:nvCxnSpPr>
      <cdr:spPr>
        <a:xfrm xmlns:a="http://schemas.openxmlformats.org/drawingml/2006/main">
          <a:off x="917546" y="3470275"/>
          <a:ext cx="506443" cy="511176"/>
        </a:xfrm>
        <a:prstGeom xmlns:a="http://schemas.openxmlformats.org/drawingml/2006/main" prst="straightConnector1">
          <a:avLst/>
        </a:prstGeom>
        <a:ln xmlns:a="http://schemas.openxmlformats.org/drawingml/2006/main" w="15875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onrad/Documents/Regression%20book/Chapter%206%20in%20pieces/Equal%20Spread/Chapter%206H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onrad/Documents/Regression%20book/Chapter%206%20in%20pieces/Equal%20Spread/Chapter%206H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onrad/Documents/Regression%20book/Chapter%206%20in%20pieces/Equal%20Spread/Chapter%206H.xlsx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onrad/Documents/Regression%20book/Chapter%206%20in%20pieces/Equal%20Spread/Chapter%206H.xlsx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nrad Carlberg" refreshedDate="42291.446200231483" createdVersion="6" refreshedVersion="6" minRefreshableVersion="3" recordCount="100">
  <cacheSource type="worksheet">
    <worksheetSource ref="A1:B101" sheet="Fig 6.7" r:id="rId2"/>
  </cacheSource>
  <cacheFields count="2">
    <cacheField name="X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Y" numFmtId="0">
      <sharedItems containsSemiMixedTypes="0" containsString="0" containsNumber="1" minValue="1.5783314415930993" maxValue="14.7426728525655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onrad Carlberg" refreshedDate="42293.502825925927" createdVersion="6" refreshedVersion="6" minRefreshableVersion="3" recordCount="1000">
  <cacheSource type="worksheet">
    <worksheetSource ref="T1:T1001" sheet="Fig 6.11" r:id="rId2"/>
  </cacheSource>
  <cacheFields count="1">
    <cacheField name="Prob of t" numFmtId="164">
      <sharedItems containsSemiMixedTypes="0" containsString="0" containsNumber="1" minValue="7.5436966326328296E-5" maxValue="0.99308135352529869" count="1000">
        <n v="0.23223880218259957"/>
        <n v="0.84150970189494656"/>
        <n v="0.67237868125169065"/>
        <n v="0.17472628963441195"/>
        <n v="0.85595192086055594"/>
        <n v="0.30112413210328104"/>
        <n v="0.32088277115118458"/>
        <n v="0.63697505995465131"/>
        <n v="0.55481361302941745"/>
        <n v="0.89774888064420821"/>
        <n v="0.39463576965239044"/>
        <n v="0.17980926547537174"/>
        <n v="0.70919832576627662"/>
        <n v="0.2958151176514483"/>
        <n v="0.3176419250151401"/>
        <n v="0.82611686013124652"/>
        <n v="0.55972858615657017"/>
        <n v="0.75601198291274518"/>
        <n v="0.13325470346064769"/>
        <n v="0.39335482549085243"/>
        <n v="0.59929939379806119"/>
        <n v="0.64450386177974139"/>
        <n v="0.55486233909834981"/>
        <n v="0.80996204854105058"/>
        <n v="0.6119592460795138"/>
        <n v="0.31895948926821049"/>
        <n v="0.12178625289322068"/>
        <n v="0.37110379339684529"/>
        <n v="0.95475776631858666"/>
        <n v="0.46219346645662346"/>
        <n v="0.6517736855758105"/>
        <n v="0.64061743738054122"/>
        <n v="0.31938035711234847"/>
        <n v="0.29456933825584397"/>
        <n v="0.57734289742778555"/>
        <n v="0.15699557454248486"/>
        <n v="0.25629698318636673"/>
        <n v="0.3290136410241723"/>
        <n v="0.81660807174538785"/>
        <n v="0.20316755327683289"/>
        <n v="0.42915632213817212"/>
        <n v="0.8499134312661013"/>
        <n v="0.70769627531757084"/>
        <n v="0.76811453071203684"/>
        <n v="0.75534857945236289"/>
        <n v="0.18948729109773926"/>
        <n v="0.38425596947399882"/>
        <n v="0.56936771536111397"/>
        <n v="0.41305927282612681"/>
        <n v="0.45661949545248237"/>
        <n v="0.93342133951278827"/>
        <n v="0.26275163527974654"/>
        <n v="0.56218854279129904"/>
        <n v="0.48210859332815248"/>
        <n v="0.68051680883006671"/>
        <n v="0.56048041276341454"/>
        <n v="0.44406431338971675"/>
        <n v="0.46641648316435552"/>
        <n v="0.19799921255461211"/>
        <n v="0.33706930237783572"/>
        <n v="0.76787610889479829"/>
        <n v="0.68382197340250872"/>
        <n v="0.5021072132920319"/>
        <n v="0.28948226711696923"/>
        <n v="0.3502719380036341"/>
        <n v="0.2492480511691566"/>
        <n v="0.46974365441402655"/>
        <n v="0.4911347211446655"/>
        <n v="0.13223655833545453"/>
        <n v="0.45014244414228449"/>
        <n v="0.18164514221105388"/>
        <n v="0.11060405772299151"/>
        <n v="0.48493485926512625"/>
        <n v="0.4068362337266902"/>
        <n v="0.18455656979305785"/>
        <n v="0.60409470990063174"/>
        <n v="0.48812619146361946"/>
        <n v="0.24384294846166465"/>
        <n v="0.25701425911900344"/>
        <n v="0.83100601422176745"/>
        <n v="0.65925665342271544"/>
        <n v="0.70087323075590557"/>
        <n v="0.49057230653621142"/>
        <n v="0.45328384459049198"/>
        <n v="0.12712223682247803"/>
        <n v="0.65355540268891876"/>
        <n v="0.49417149885139378"/>
        <n v="0.2032108703088733"/>
        <n v="0.42347182797293337"/>
        <n v="0.94740870179625658"/>
        <n v="0.47501509105194312"/>
        <n v="4.6320277245597175E-2"/>
        <n v="7.4792938845224657E-2"/>
        <n v="0.75441508557802406"/>
        <n v="0.74129994814735811"/>
        <n v="0.72404118208994195"/>
        <n v="0.1422293952322502"/>
        <n v="0.3611277971281468"/>
        <n v="0.29955972543562487"/>
        <n v="0.2897676316472419"/>
        <n v="0.66416144204707317"/>
        <n v="0.69016762417661703"/>
        <n v="0.35144018630276003"/>
        <n v="0.70541336902211138"/>
        <n v="0.37871738771765429"/>
        <n v="0.52347757701814335"/>
        <n v="0.81590756705457523"/>
        <n v="0.14970401199600433"/>
        <n v="0.73695519852847613"/>
        <n v="0.29998298336389129"/>
        <n v="0.21609333485221849"/>
        <n v="0.58059511485342008"/>
        <n v="0.44644343567456363"/>
        <n v="0.63504305517309712"/>
        <n v="0.54601775347704828"/>
        <n v="0.79775474369730692"/>
        <n v="0.22083376301197205"/>
        <n v="0.38102653075998022"/>
        <n v="0.25571771273938959"/>
        <n v="0.56461597739464964"/>
        <n v="0.34509470765987804"/>
        <n v="0.16037471016577215"/>
        <n v="0.42352741830558244"/>
        <n v="0.40789787710044906"/>
        <n v="0.14781135440319976"/>
        <n v="0.64151256874701945"/>
        <n v="0.65236856153844536"/>
        <n v="0.66008775413123888"/>
        <n v="0.99308135352529869"/>
        <n v="0.91071065724520894"/>
        <n v="0.39291482502029684"/>
        <n v="0.35828346691258861"/>
        <n v="0.92149805614914815"/>
        <n v="0.31206676293102664"/>
        <n v="0.31887909333905529"/>
        <n v="0.29033354077682383"/>
        <n v="0.33659289532569092"/>
        <n v="0.79072412290001681"/>
        <n v="0.70131531033231187"/>
        <n v="0.45118136154644373"/>
        <n v="0.39936326220631407"/>
        <n v="0.44706289252360815"/>
        <n v="0.16576862966594091"/>
        <n v="0.7438634238353049"/>
        <n v="0.55105066225429011"/>
        <n v="0.20345528880141461"/>
        <n v="0.6229888038155037"/>
        <n v="0.7480173328518287"/>
        <n v="0.66658793755257217"/>
        <n v="0.47662709266338754"/>
        <n v="2.9159306590349196E-2"/>
        <n v="0.42659064805505198"/>
        <n v="0.6296085952756354"/>
        <n v="0.39094968606016628"/>
        <n v="0.4133670000169965"/>
        <n v="0.78700777007132316"/>
        <n v="2.4569891681430481E-2"/>
        <n v="0.74406099445142848"/>
        <n v="0.77941544599163803"/>
        <n v="0.13945961330298892"/>
        <n v="0.63254595253751289"/>
        <n v="0.55212070977475469"/>
        <n v="0.92086861109377793"/>
        <n v="0.57048580219934641"/>
        <n v="0.27904455670685568"/>
        <n v="0.54993790031145662"/>
        <n v="0.43633186874039553"/>
        <n v="0.37210951567198836"/>
        <n v="7.5501003249683216E-2"/>
        <n v="0.66419168095911063"/>
        <n v="0.87151884705123983"/>
        <n v="0.28898374931321047"/>
        <n v="0.52194465539691759"/>
        <n v="0.3145320459290129"/>
        <n v="0.69319960777935652"/>
        <n v="0.42020226335463062"/>
        <n v="0.63933685686340191"/>
        <n v="0.40607569307347519"/>
        <n v="0.44743829824293668"/>
        <n v="0.88187330766462113"/>
        <n v="0.31625118848907396"/>
        <n v="0.8223625679696499"/>
        <n v="0.62242159162297506"/>
        <n v="0.51258427505230186"/>
        <n v="0.46396395066172302"/>
        <n v="0.53107175360570946"/>
        <n v="0.46034245019063419"/>
        <n v="0.23217402723848984"/>
        <n v="0.78538709340507062"/>
        <n v="3.5946382959218773E-2"/>
        <n v="0.55084711074353587"/>
        <n v="0.10119053917588997"/>
        <n v="0.93841961511771577"/>
        <n v="0.73443169631089045"/>
        <n v="8.6267010452726361E-2"/>
        <n v="0.66858152103376245"/>
        <n v="0.15541810112217996"/>
        <n v="0.49425438153377249"/>
        <n v="0.29345936278446183"/>
        <n v="0.76010867159761064"/>
        <n v="0.40424913134145662"/>
        <n v="0.2371203739003328"/>
        <n v="0.6190659724994767"/>
        <n v="0.52568495187963749"/>
        <n v="0.50805170178828762"/>
        <n v="0.12661581764039942"/>
        <n v="0.2528458935528588"/>
        <n v="0.47889378315739645"/>
        <n v="0.43805383159998873"/>
        <n v="0.56139649352716736"/>
        <n v="6.0470220614567374E-2"/>
        <n v="0.16333998690720819"/>
        <n v="0.74973701651306712"/>
        <n v="0.22269191031835234"/>
        <n v="0.24145606387540869"/>
        <n v="0.30212770378026155"/>
        <n v="0.21090328658392776"/>
        <n v="0.67748410222113442"/>
        <n v="0.65788462678940496"/>
        <n v="0.28722658677428359"/>
        <n v="0.7362874582264699"/>
        <n v="0.88941158767310013"/>
        <n v="0.39377836723614379"/>
        <n v="0.70804032249768911"/>
        <n v="0.52499588490866411"/>
        <n v="0.10413624876188796"/>
        <n v="0.18046246569716823"/>
        <n v="0.49258562909205567"/>
        <n v="0.4211582679078178"/>
        <n v="0.18368790774459398"/>
        <n v="0.82915077313581254"/>
        <n v="0.66754497641279109"/>
        <n v="0.94526709956862276"/>
        <n v="0.41472099639407034"/>
        <n v="0.86387008133137067"/>
        <n v="6.5605321197422392E-2"/>
        <n v="0.37929569157530352"/>
        <n v="0.16759810832618266"/>
        <n v="0.86365205631484787"/>
        <n v="0.91797920039884451"/>
        <n v="0.56365190964882916"/>
        <n v="0.80125695048440593"/>
        <n v="0.75382764234926691"/>
        <n v="0.65223576493036806"/>
        <n v="0.28364943939682902"/>
        <n v="0.33304512283690718"/>
        <n v="0.61807566189624641"/>
        <n v="0.57848735311060606"/>
        <n v="0.12953794796537241"/>
        <n v="0.24904859685592662"/>
        <n v="0.86483891416676661"/>
        <n v="0.78105239912396296"/>
        <n v="0.21218369931192271"/>
        <n v="0.89676014101238266"/>
        <n v="0.47662419728662486"/>
        <n v="0.64634883989502112"/>
        <n v="0.84262167284614697"/>
        <n v="0.68749571882556682"/>
        <n v="0.25320464682484145"/>
        <n v="0.12491392916057731"/>
        <n v="0.86395152914711026"/>
        <n v="0.78351488651024992"/>
        <n v="0.55435706653446915"/>
        <n v="0.63055179172507636"/>
        <n v="3.925519659705419E-2"/>
        <n v="0.63344043936277605"/>
        <n v="0.69380411203839421"/>
        <n v="0.50380401835735333"/>
        <n v="0.27692439702917693"/>
        <n v="0.68748963026149235"/>
        <n v="0.31615038068568901"/>
        <n v="0.90572047798366895"/>
        <n v="0.14920723561460403"/>
        <n v="0.26431805827125687"/>
        <n v="0.57977051323006235"/>
        <n v="0.67830824767566855"/>
        <n v="0.22600158899589412"/>
        <n v="0.72684922399282681"/>
        <n v="0.51480076661039031"/>
        <n v="0.42949556478909312"/>
        <n v="7.2388922078375745E-2"/>
        <n v="0.63453837113284128"/>
        <n v="0.91584565263967443"/>
        <n v="0.48348594516324461"/>
        <n v="0.16146310919236478"/>
        <n v="0.37629372650793846"/>
        <n v="0.58128790055640978"/>
        <n v="0.66541454137115408"/>
        <n v="0.64741177191293908"/>
        <n v="0.6000364868060345"/>
        <n v="0.15683590916989751"/>
        <n v="0.57910860244816309"/>
        <n v="0.50263189399828412"/>
        <n v="0.29127303560447931"/>
        <n v="0.66801821236724968"/>
        <n v="0.48763501018506428"/>
        <n v="0.6121980331090433"/>
        <n v="0.81138557011164247"/>
        <n v="0.5839181230520113"/>
        <n v="0.73781755708001406"/>
        <n v="0.13439469410131588"/>
        <n v="0.27361035877974138"/>
        <n v="0.41542343499098477"/>
        <n v="0.13455314815297478"/>
        <n v="0.63307532655240439"/>
        <n v="0.36765840564223778"/>
        <n v="0.43818224913475157"/>
        <n v="0.143121307330004"/>
        <n v="2.4844015265222043E-2"/>
        <n v="0.69950401971688092"/>
        <n v="0.48776252933628084"/>
        <n v="0.42914093229027217"/>
        <n v="0.59013427497377269"/>
        <n v="0.34121739844696081"/>
        <n v="0.89913644129043335"/>
        <n v="0.42302061469270374"/>
        <n v="0.36795214701119816"/>
        <n v="0.13185805306719806"/>
        <n v="0.19718901282780232"/>
        <n v="5.2183674692958398E-2"/>
        <n v="0.60185132560545496"/>
        <n v="0.14042751831943245"/>
        <n v="0.30646997049895142"/>
        <n v="7.6902923609422594E-2"/>
        <n v="0.74714622192349356"/>
        <n v="0.59520181906175873"/>
        <n v="0.37432001711223706"/>
        <n v="7.560865176156932E-2"/>
        <n v="0.77866201927441869"/>
        <n v="0.88380886005137704"/>
        <n v="0.59449325046485257"/>
        <n v="0.70621561436787739"/>
        <n v="0.28906694466682603"/>
        <n v="0.34552330575903689"/>
        <n v="0.77605583472951234"/>
        <n v="0.37646813112917044"/>
        <n v="0.50124510449305038"/>
        <n v="0.31743742632524319"/>
        <n v="0.69495426828179774"/>
        <n v="0.44295993824723845"/>
        <n v="0.34429719692140481"/>
        <n v="0.54238400555337363"/>
        <n v="0.32413590877850856"/>
        <n v="0.13194133213250564"/>
        <n v="0.44325980101044682"/>
        <n v="0.73025198420685944"/>
        <n v="0.81100059079097664"/>
        <n v="0.81986901658548317"/>
        <n v="0.75038610154185648"/>
        <n v="9.2932932394239776E-2"/>
        <n v="0.65724320585714013"/>
        <n v="0.28992711209753452"/>
        <n v="0.56875084656030717"/>
        <n v="0.49170254338837838"/>
        <n v="0.85742046181785891"/>
        <n v="0.93574724120257269"/>
        <n v="0.61284359202477057"/>
        <n v="0.5274171195837758"/>
        <n v="0.126127965885446"/>
        <n v="0.70089153970071716"/>
        <n v="0.52711995802677081"/>
        <n v="0.79336511736550741"/>
        <n v="0.474137641556863"/>
        <n v="0.6129750174282218"/>
        <n v="0.92185386061424834"/>
        <n v="2.2472531396423048E-2"/>
        <n v="0.32462137663481389"/>
        <n v="0.22109939294162845"/>
        <n v="0.61094712581422017"/>
        <n v="0.35512432605315514"/>
        <n v="0.8706326731983679"/>
        <n v="0.56220836843970035"/>
        <n v="0.57827479793628567"/>
        <n v="0.67769814414383722"/>
        <n v="0.59100355989188524"/>
        <n v="0.50115583445917844"/>
        <n v="0.68512617740023818"/>
        <n v="0.63826114396327249"/>
        <n v="0.48069763299818508"/>
        <n v="0.32489753303071633"/>
        <n v="0.1371137572463158"/>
        <n v="0.92970086005225361"/>
        <n v="0.664087123675145"/>
        <n v="0.8247577354130109"/>
        <n v="0.31918546089920652"/>
        <n v="2.3785173718867597E-2"/>
        <n v="0.34276010044567023"/>
        <n v="0.28731107925949584"/>
        <n v="0.31205593722272618"/>
        <n v="0.13074815367709561"/>
        <n v="0.43810179304330266"/>
        <n v="0.66806156504975744"/>
        <n v="0.35881550214438745"/>
        <n v="0.14219858399412189"/>
        <n v="0.39085183695130465"/>
        <n v="0.42387729919150097"/>
        <n v="0.60861978119223492"/>
        <n v="0.54955816181050066"/>
        <n v="0.87094290300810584"/>
        <n v="0.75964522264307754"/>
        <n v="0.32282591044361786"/>
        <n v="8.385706058605899E-2"/>
        <n v="0.32915158221312424"/>
        <n v="0.82267941460894745"/>
        <n v="0.46419622045435255"/>
        <n v="0.38898032299121554"/>
        <n v="0.31978450568538852"/>
        <n v="0.81926783680141047"/>
        <n v="0.87719768801522457"/>
        <n v="0.90668964084499748"/>
        <n v="0.13151637458197066"/>
        <n v="0.32834524971126766"/>
        <n v="0.588278490125964"/>
        <n v="0.16261681542849932"/>
        <n v="0.8450205675559147"/>
        <n v="8.544175672644333E-2"/>
        <n v="0.13657731968824119"/>
        <n v="0.89241472350054096"/>
        <n v="0.39905553185036918"/>
        <n v="0.31345846813912098"/>
        <n v="0.23468780791892396"/>
        <n v="0.96592862187793949"/>
        <n v="0.17436567408841064"/>
        <n v="0.71786469579203649"/>
        <n v="0.74634744789968854"/>
        <n v="0.6686066360476477"/>
        <n v="0.47522179594460168"/>
        <n v="0.27179995533244677"/>
        <n v="0.95712326459517638"/>
        <n v="0.38476543236072552"/>
        <n v="0.16399332470352795"/>
        <n v="0.16063182911934881"/>
        <n v="0.93812288992624626"/>
        <n v="0.36116459875486284"/>
        <n v="0.76225137920716146"/>
        <n v="0.79415813258733525"/>
        <n v="0.70430241215711553"/>
        <n v="0.68863607831094886"/>
        <n v="0.63659719834305095"/>
        <n v="0.73644236268124641"/>
        <n v="0.38641965805930889"/>
        <n v="0.35266961169208633"/>
        <n v="0.39388767840021449"/>
        <n v="0.92003108286362245"/>
        <n v="0.70000410949487113"/>
        <n v="0.51383390060718837"/>
        <n v="0.6504124186257163"/>
        <n v="0.89691359943331994"/>
        <n v="0.14074790200860132"/>
        <n v="0.56742485862748171"/>
        <n v="4.0779563939260507E-2"/>
        <n v="0.40638899053781785"/>
        <n v="0.63468848811450729"/>
        <n v="0.51450562005446288"/>
        <n v="0.32144781109223919"/>
        <n v="0.39259740731472648"/>
        <n v="0.29575495264881219"/>
        <n v="0.21093845397172645"/>
        <n v="0.71755184736775734"/>
        <n v="0.36620685871717329"/>
        <n v="0.181022357398744"/>
        <n v="0.51524839303501913"/>
        <n v="0.41807524773004201"/>
        <n v="0.26302374689178948"/>
        <n v="0.19418033132836021"/>
        <n v="0.28756321245015809"/>
        <n v="0.62165158549324051"/>
        <n v="0.83843466922532361"/>
        <n v="0.38448929089409356"/>
        <n v="0.23946238264665959"/>
        <n v="0.86067026261203339"/>
        <n v="0.71106212074055541"/>
        <n v="0.72061926656541009"/>
        <n v="0.92973753277380788"/>
        <n v="0.80447771707138171"/>
        <n v="0.34434774825480807"/>
        <n v="0.73355870889466024"/>
        <n v="0.25570179046528163"/>
        <n v="0.78391474845335973"/>
        <n v="0.26961300836069857"/>
        <n v="0.35347968123669365"/>
        <n v="0.63872683567184807"/>
        <n v="0.24619550832226617"/>
        <n v="0.26017256759371155"/>
        <n v="0.36941293846351919"/>
        <n v="3.2488957918444299E-2"/>
        <n v="0.80687622300922268"/>
        <n v="7.6965048397999711E-2"/>
        <n v="0.61078826878782222"/>
        <n v="0.80072851556621494"/>
        <n v="0.69072524930828383"/>
        <n v="0.6097231708613069"/>
        <n v="0.73318787721279488"/>
        <n v="0.58791388508203113"/>
        <n v="0.1353394511489914"/>
        <n v="0.5069172358531232"/>
        <n v="0.29918970496851133"/>
        <n v="0.76701983028762788"/>
        <n v="5.9033930391246096E-2"/>
        <n v="0.66718310666415914"/>
        <n v="0.80044321000724761"/>
        <n v="0.65464742389611208"/>
        <n v="0.17158626003449878"/>
        <n v="0.24449818743155161"/>
        <n v="0.16146318441952884"/>
        <n v="0.50691181633085758"/>
        <n v="0.26659061485977953"/>
        <n v="0.59863424425130884"/>
        <n v="0.14414428109262953"/>
        <n v="0.26791866585103996"/>
        <n v="0.66673326549961021"/>
        <n v="0.91095026925255218"/>
        <n v="0.51579661562873536"/>
        <n v="0.62974612880627323"/>
        <n v="0.4629976934524706"/>
        <n v="0.73450748694613421"/>
        <n v="0.96639175817045753"/>
        <n v="0.85568032505157676"/>
        <n v="0.27315612576005865"/>
        <n v="0.56793300743709574"/>
        <n v="0.12863485947747816"/>
        <n v="0.69908794384648976"/>
        <n v="0.8896452864326394"/>
        <n v="0.48316983451867757"/>
        <n v="0.55107159169837772"/>
        <n v="0.8361782799880223"/>
        <n v="0.77693289803629695"/>
        <n v="0.85265179989132966"/>
        <n v="0.11388333656637326"/>
        <n v="0.44910904167640053"/>
        <n v="0.13841386740949296"/>
        <n v="0.4891764036370897"/>
        <n v="0.29973665778111025"/>
        <n v="0.73169423493847252"/>
        <n v="0.2409051487540223"/>
        <n v="0.60153083582018063"/>
        <n v="0.38573090997529275"/>
        <n v="0.37848443797075459"/>
        <n v="0.37968801811859165"/>
        <n v="0.7378968020608232"/>
        <n v="0.28555364831130658"/>
        <n v="0.66240401440501495"/>
        <n v="0.80453672004488319"/>
        <n v="0.47127876957339443"/>
        <n v="0.20622565817808236"/>
        <n v="0.76092613628997396"/>
        <n v="0.36036892178626379"/>
        <n v="0.49119846389974597"/>
        <n v="0.15157951330879696"/>
        <n v="0.4119524101659307"/>
        <n v="0.70543744705235534"/>
        <n v="0.78525334031011829"/>
        <n v="0.47137107100428172"/>
        <n v="0.52836023944430677"/>
        <n v="0.28448588280739046"/>
        <n v="0.75491902873492323"/>
        <n v="0.27245122018588663"/>
        <n v="0.40814052719649146"/>
        <n v="0.53376255251668436"/>
        <n v="0.80077468908086757"/>
        <n v="0.85498358664048357"/>
        <n v="0.42112018784201061"/>
        <n v="0.22432399269437509"/>
        <n v="0.27627123482344729"/>
        <n v="0.76581264860178555"/>
        <n v="0.17159993654230904"/>
        <n v="0.15341715671241107"/>
        <n v="0.99014174933529542"/>
        <n v="0.32981986377994421"/>
        <n v="0.74564667418800035"/>
        <n v="0.32134775205556709"/>
        <n v="0.19720162936754609"/>
        <n v="0.78608205356674188"/>
        <n v="0.72928831683551953"/>
        <n v="0.78935657797233394"/>
        <n v="5.5748750753003449E-3"/>
        <n v="0.27961809820309358"/>
        <n v="0.76274267340076274"/>
        <n v="0.62486467799529799"/>
        <n v="0.70450285013913738"/>
        <n v="0.76898034980346441"/>
        <n v="0.22108560986770642"/>
        <n v="0.28948883785746571"/>
        <n v="0.35450860425975006"/>
        <n v="0.50172080334092395"/>
        <n v="0.72050439521910581"/>
        <n v="0.85611570558707029"/>
        <n v="0.23384165991175859"/>
        <n v="0.56267741233481183"/>
        <n v="0.85265264489312254"/>
        <n v="0.72823403235205109"/>
        <n v="0.49214624835683141"/>
        <n v="0.74858862083518485"/>
        <n v="0.79487060758170669"/>
        <n v="0.54210081618151418"/>
        <n v="0.52508339656685366"/>
        <n v="0.51327909826325191"/>
        <n v="0.54337944857849851"/>
        <n v="0.79475242294090931"/>
        <n v="0.75338141383306767"/>
        <n v="0.15311520193680361"/>
        <n v="0.6276657437824591"/>
        <n v="0.72888275531188995"/>
        <n v="0.19798351788575153"/>
        <n v="0.39052906123634445"/>
        <n v="0.75658455038390127"/>
        <n v="0.46287038928642055"/>
        <n v="0.94663102381087272"/>
        <n v="0.51695433293614812"/>
        <n v="0.66790137395140381"/>
        <n v="0.69108247795765465"/>
        <n v="0.57953578161872654"/>
        <n v="0.48473466498999829"/>
        <n v="0.24648089370445264"/>
        <n v="0.6115154248078607"/>
        <n v="0.70383697518908883"/>
        <n v="0.36690437960695588"/>
        <n v="0.71262134868898519"/>
        <n v="0.75112418021444305"/>
        <n v="0.54195098843523104"/>
        <n v="0.33167569165241034"/>
        <n v="0.20612044016488262"/>
        <n v="0.62017113874775243"/>
        <n v="0.85915677644777899"/>
        <n v="0.52110171514981063"/>
        <n v="0.18295977821232418"/>
        <n v="0.27760850856352653"/>
        <n v="0.29851035862546299"/>
        <n v="0.45103169240119412"/>
        <n v="0.775007918318527"/>
        <n v="0.77474693001201023"/>
        <n v="0.45402415457840706"/>
        <n v="0.43353263512334295"/>
        <n v="0.26524908377496303"/>
        <n v="0.493841699621696"/>
        <n v="0.40882058213809974"/>
        <n v="0.31703222555130939"/>
        <n v="0.17776922890890973"/>
        <n v="0.13180770477561354"/>
        <n v="0.61876166339224881"/>
        <n v="0.37448903121229304"/>
        <n v="0.74566758184054871"/>
        <n v="0.59596647566253358"/>
        <n v="0.82781805634626537"/>
        <n v="0.89626530680094452"/>
        <n v="0.40236610837571041"/>
        <n v="0.38876159239367625"/>
        <n v="0.68701951067868228"/>
        <n v="0.85122598279651007"/>
        <n v="0.42797226261604926"/>
        <n v="0.79240840884738883"/>
        <n v="0.28116712003115446"/>
        <n v="7.7501782969907215E-2"/>
        <n v="0.72499899242299792"/>
        <n v="0.48274118752336326"/>
        <n v="0.14688065751890672"/>
        <n v="0.8163223897919436"/>
        <n v="0.29731133095575668"/>
        <n v="0.16616103109060648"/>
        <n v="0.38416577013137898"/>
        <n v="0.33874712307766425"/>
        <n v="0.2405363470577454"/>
        <n v="0.24770685445695323"/>
        <n v="0.40748899633813168"/>
        <n v="0.31608069601093086"/>
        <n v="0.61794530773252143"/>
        <n v="0.39596885730864284"/>
        <n v="0.40896556200314199"/>
        <n v="0.38235948105993156"/>
        <n v="0.51818271129880555"/>
        <n v="0.26940627467705147"/>
        <n v="0.38385621666754033"/>
        <n v="0.59195585185343058"/>
        <n v="2.1402213731021382E-2"/>
        <n v="0.81237895768713964"/>
        <n v="0.7012902153462065"/>
        <n v="0.59050151656762173"/>
        <n v="0.76730023985950635"/>
        <n v="0.13828662388087401"/>
        <n v="5.7087127343437585E-2"/>
        <n v="0.72420197420257904"/>
        <n v="0.40567173381506288"/>
        <n v="0.43371565206495044"/>
        <n v="0.93675539826748677"/>
        <n v="0.15153156854179092"/>
        <n v="0.51565342126556946"/>
        <n v="0.12830383116724048"/>
        <n v="0.27135259654345689"/>
        <n v="0.75380116264779629"/>
        <n v="0.81891909224214798"/>
        <n v="0.12214061496036585"/>
        <n v="0.60567904795037297"/>
        <n v="7.4981912897840258E-2"/>
        <n v="0.13538353001230691"/>
        <n v="0.47959687931011774"/>
        <n v="0.45724212336175929"/>
        <n v="0.66002948990372357"/>
        <n v="0.4615551237384809"/>
        <n v="0.16145636318354839"/>
        <n v="0.48682425416195724"/>
        <n v="0.47637983971206738"/>
        <n v="0.29989939669994359"/>
        <n v="0.6536959122982372"/>
        <n v="0.49017437789386392"/>
        <n v="0.1855123428236774"/>
        <n v="0.84111509726518974"/>
        <n v="0.93682627574783461"/>
        <n v="0.92100529519729546"/>
        <n v="0.23159806331386901"/>
        <n v="0.73084349795554693"/>
        <n v="0.59819567643124072"/>
        <n v="0.93607401751359021"/>
        <n v="0.27744903743108384"/>
        <n v="0.4083839353104094"/>
        <n v="0.89144178328902202"/>
        <n v="5.016209105011548E-2"/>
        <n v="0.32622471032125389"/>
        <n v="0.69097160307259742"/>
        <n v="0.59412293204746092"/>
        <n v="0.96709145280389375"/>
        <n v="0.58769268889985282"/>
        <n v="0.17643446735531082"/>
        <n v="0.21917122144660772"/>
        <n v="0.4075076100951705"/>
        <n v="0.52606861783969827"/>
        <n v="0.33765332212504556"/>
        <n v="0.66791726651076144"/>
        <n v="0.62340304208492614"/>
        <n v="0.71844207376186187"/>
        <n v="0.13623675985906344"/>
        <n v="0.26330842203997518"/>
        <n v="0.47016111634860042"/>
        <n v="3.3774942624794246E-2"/>
        <n v="0.77572606935646271"/>
        <n v="0.36649650931774957"/>
        <n v="0.52010203902369656"/>
        <n v="0.65095832524558217"/>
        <n v="0.29355457880127589"/>
        <n v="0.65522590297092587"/>
        <n v="0.33056951575329296"/>
        <n v="0.2439422609312436"/>
        <n v="0.95252996749486141"/>
        <n v="0.10389771703294942"/>
        <n v="3.8919065749422672E-2"/>
        <n v="0.35216326730346348"/>
        <n v="0.56738892088634274"/>
        <n v="0.38540094169016575"/>
        <n v="0.11579727441976537"/>
        <n v="0.62990104281513237"/>
        <n v="0.37891120595800154"/>
        <n v="0.16579507835118679"/>
        <n v="0.82622673682988768"/>
        <n v="0.19063294058854691"/>
        <n v="0.42492785535758032"/>
        <n v="0.5032661782495419"/>
        <n v="0.27700822196882879"/>
        <n v="0.62182672894759961"/>
        <n v="0.19974285457359647"/>
        <n v="0.35413030368991505"/>
        <n v="0.5726934279629331"/>
        <n v="0.61411811805788852"/>
        <n v="0.48860972609553044"/>
        <n v="0.45717308388228106"/>
        <n v="0.64713386931349937"/>
        <n v="0.42826108878100155"/>
        <n v="0.62522020570191117"/>
        <n v="0.55500540313300095"/>
        <n v="0.52957870876522051"/>
        <n v="0.73112864769244224"/>
        <n v="0.45003369260127002"/>
        <n v="0.13062496347496774"/>
        <n v="0.80648981731096381"/>
        <n v="0.74465870111587784"/>
        <n v="0.2306379856260633"/>
        <n v="0.20847410585386905"/>
        <n v="0.11158238182776924"/>
        <n v="0.5800137728008945"/>
        <n v="0.11757605678601118"/>
        <n v="0.3064966691138562"/>
        <n v="0.14162397786780695"/>
        <n v="0.18834127552226831"/>
        <n v="0.43376945213784174"/>
        <n v="0.48105871294735314"/>
        <n v="0.66801869910468403"/>
        <n v="0.9483378920172495"/>
        <n v="0.51543291198426755"/>
        <n v="0.24903017503979241"/>
        <n v="0.54164618142392063"/>
        <n v="0.53759538280974584"/>
        <n v="0.47748220003887842"/>
        <n v="0.5344156478284865"/>
        <n v="0.78300654691210236"/>
        <n v="0.23906590615662821"/>
        <n v="0.17029939150931761"/>
        <n v="0.54227701718527554"/>
        <n v="0.4845053659899845"/>
        <n v="0.30962826810885802"/>
        <n v="0.52125864061317229"/>
        <n v="0.38637853626250851"/>
        <n v="0.67206163071893543"/>
        <n v="0.50459450897989422"/>
        <n v="0.30183321911927552"/>
        <n v="0.33920503497368482"/>
        <n v="0.12002718638911133"/>
        <n v="2.4406919774236993E-2"/>
        <n v="0.3657174634195528"/>
        <n v="0.23399423856712054"/>
        <n v="0.21754344554389854"/>
        <n v="0.63449685042794524"/>
        <n v="0.81904647061120595"/>
        <n v="0.14092513385531225"/>
        <n v="0.21075915823763397"/>
        <n v="0.40860479489264828"/>
        <n v="0.66745947407590434"/>
        <n v="0.46351802203735171"/>
        <n v="0.48463972672551159"/>
        <n v="0.43443323145158697"/>
        <n v="0.4242648310879068"/>
        <n v="0.24569396719121045"/>
        <n v="0.66808585332861625"/>
        <n v="0.48809668584694921"/>
        <n v="0.72799366804478094"/>
        <n v="0.20520919640981067"/>
        <n v="0.17126034331499035"/>
        <n v="0.92585674840820387"/>
        <n v="0.3502130599593849"/>
        <n v="0.77698544804802472"/>
        <n v="0.86099789946471916"/>
        <n v="0.5810532128385173"/>
        <n v="0.6227731520944837"/>
        <n v="0.20266103207083763"/>
        <n v="0.78704337624928433"/>
        <n v="0.76458262722113246"/>
        <n v="0.57967820567821382"/>
        <n v="0.47100365966151403"/>
        <n v="0.64691316505957563"/>
        <n v="9.8056888879959891E-2"/>
        <n v="0.27922428084134543"/>
        <n v="0.53847878570375185"/>
        <n v="0.3214163644218283"/>
        <n v="0.7211405355694902"/>
        <n v="0.81184537084315656"/>
        <n v="1.6384931075019048E-2"/>
        <n v="0.11001565478357292"/>
        <n v="0.16418553741137382"/>
        <n v="0.73003201709039434"/>
        <n v="0.57572357916440509"/>
        <n v="0.55429410389679179"/>
        <n v="0.2872664493782614"/>
        <n v="0.43170709266598284"/>
        <n v="0.88421456687139277"/>
        <n v="0.65240016005526236"/>
        <n v="0.60343380578894923"/>
        <n v="0.4471025673803205"/>
        <n v="0.65291316828794788"/>
        <n v="0.48587972579490446"/>
        <n v="0.73315744398064664"/>
        <n v="0.21463778945355033"/>
        <n v="0.94871509701107415"/>
        <n v="0.24009241081902194"/>
        <n v="0.21365413884678464"/>
        <n v="0.57129668911654452"/>
        <n v="0.52993666023044395"/>
        <n v="0.93869431914109691"/>
        <n v="0.5301339682612769"/>
        <n v="0.77879259811543589"/>
        <n v="0.87697979172160778"/>
        <n v="0.51892759041330161"/>
        <n v="0.5530441468388978"/>
        <n v="0.43587685196777615"/>
        <n v="0.88683135693999726"/>
        <n v="0.47484705379308295"/>
        <n v="0.94045345324871654"/>
        <n v="0.16060577774229917"/>
        <n v="0.93838674456412896"/>
        <n v="0.95601418957130468"/>
        <n v="0.40243567222251203"/>
        <n v="0.26169720979635458"/>
        <n v="0.85833822780916602"/>
        <n v="0.29990253258340738"/>
        <n v="0.80981457928367639"/>
        <n v="0.87022208913727872"/>
        <n v="0.54014353744223853"/>
        <n v="0.85155473110758606"/>
        <n v="0.40387262235755356"/>
        <n v="0.60105545812282479"/>
        <n v="0.41389386982726661"/>
        <n v="0.91221966722414272"/>
        <n v="0.23346073458955274"/>
        <n v="0.40896355002709395"/>
        <n v="8.7932565740463334E-2"/>
        <n v="0.13332156535173031"/>
        <n v="0.41905429756885859"/>
        <n v="0.81255272450302851"/>
        <n v="9.8660248509304466E-2"/>
        <n v="0.32599951974321212"/>
        <n v="0.43722096896743873"/>
        <n v="6.7595674434785924E-2"/>
        <n v="0.78677806894407754"/>
        <n v="0.37177511062844448"/>
        <n v="0.40121223642095927"/>
        <n v="0.65194942791467914"/>
        <n v="0.35584843111290587"/>
        <n v="0.24310617770968374"/>
        <n v="0.72331330419093154"/>
        <n v="0.51998669536059583"/>
        <n v="0.67675401436084859"/>
        <n v="0.90019882846484967"/>
        <n v="0.70945036579781784"/>
        <n v="0.37975371550510262"/>
        <n v="0.29485634154022233"/>
        <n v="0.17917810358766195"/>
        <n v="0.23332309689792413"/>
        <n v="0.52275659288412968"/>
        <n v="0.93094367142549361"/>
        <n v="0.80341846352961399"/>
        <n v="0.24310088632802201"/>
        <n v="0.45149081195902252"/>
        <n v="7.5436966326328296E-5"/>
        <n v="0.52307788770180796"/>
        <n v="0.67018396544344583"/>
        <n v="0.47215874335604502"/>
        <n v="0.75515261788789745"/>
        <n v="0.46644934989437009"/>
        <n v="0.7694498638864552"/>
        <n v="0.67334022898485113"/>
        <n v="0.29415864993717578"/>
        <n v="0.20038819957809156"/>
        <n v="0.40183267082210744"/>
        <n v="0.54268443874527506"/>
        <n v="0.91943555229263851"/>
        <n v="0.62917566977348927"/>
        <n v="0.32336068957290487"/>
        <n v="0.73892861856127978"/>
        <n v="0.47693607725409587"/>
        <n v="0.20170488163303235"/>
        <n v="0.21090141697847781"/>
        <n v="0.78862161778633699"/>
        <n v="0.50310683767893671"/>
        <n v="0.24252005772887186"/>
        <n v="0.6339341529449386"/>
        <n v="0.68246970081783154"/>
        <n v="0.18837039340632405"/>
        <n v="0.38750669261561832"/>
        <n v="0.56393724398426226"/>
        <n v="0.60300224629750421"/>
        <n v="0.10091340804857248"/>
        <n v="0.60335383520909702"/>
        <n v="0.6107183646801968"/>
        <n v="0.74345315152297864"/>
        <n v="0.40434227352419505"/>
        <n v="0.40352068917720152"/>
        <n v="0.89561955265989512"/>
        <n v="0.24993754325746625"/>
        <n v="5.6345152632801272E-2"/>
        <n v="0.12669051066737308"/>
        <n v="0.7245176658163035"/>
        <n v="0.63688896026572483"/>
        <n v="0.51023656994306821"/>
        <n v="0.58120942574090906"/>
        <n v="0.57743867020597928"/>
        <n v="0.47630637399334114"/>
        <n v="0.76475009096877478"/>
        <n v="0.48845893976366012"/>
        <n v="0.37318009673872243"/>
        <n v="0.29368762896396194"/>
        <n v="0.21831918778508019"/>
        <n v="0.35798871934355392"/>
        <n v="0.68520269605175277"/>
        <n v="0.25606438361225792"/>
        <n v="0.37157540594885841"/>
        <n v="0.55836717901557209"/>
        <n v="0.39506150146796143"/>
        <n v="0.12049001238069813"/>
        <n v="0.27877257610786177"/>
        <n v="0.17665251266051429"/>
        <n v="0.18065232998390451"/>
        <n v="0.76963281628571711"/>
        <n v="0.14519799612316875"/>
        <n v="0.5262012493356979"/>
        <n v="0.38335824636211918"/>
        <n v="0.66478312664053174"/>
        <n v="0.21516591548227781"/>
        <n v="0.5857375405462355"/>
        <n v="0.50129415420824253"/>
        <n v="0.4353487699182646"/>
        <n v="0.61778103498735404"/>
        <n v="0.32852499794458712"/>
        <n v="0.66394115561995026"/>
        <n v="0.42250794774434997"/>
        <n v="0.90531989227400889"/>
        <n v="0.57832154559592808"/>
        <n v="0.43084957780377475"/>
        <n v="0.70399955010993054"/>
        <n v="8.6598705496629499E-2"/>
        <n v="0.49260672722053478"/>
        <n v="0.4122202469042216"/>
        <n v="0.53509155108062978"/>
        <n v="0.44583869267609899"/>
        <n v="0.9534455038222488"/>
      </sharedItems>
      <fieldGroup base="0">
        <rangePr autoStart="0" startNum="0" endNum="0.99308135352529869" groupInterval="2.5000000000000001E-2"/>
        <groupItems count="42">
          <s v="&lt;0"/>
          <s v="0-0.025"/>
          <s v="0.025-0.05"/>
          <s v="0.05-0.075"/>
          <s v="0.075-0.1"/>
          <s v="0.1-0.125"/>
          <s v="0.125-0.15"/>
          <s v="0.15-0.175"/>
          <s v="0.175-0.2"/>
          <s v="0.2-0.225"/>
          <s v="0.225-0.25"/>
          <s v="0.25-0.275"/>
          <s v="0.275-0.3"/>
          <s v="0.3-0.325"/>
          <s v="0.325-0.35"/>
          <s v="0.35-0.375"/>
          <s v="0.375-0.4"/>
          <s v="0.4-0.425"/>
          <s v="0.425-0.45"/>
          <s v="0.45-0.475"/>
          <s v="0.475-0.5"/>
          <s v="0.5-0.525"/>
          <s v="0.525-0.55"/>
          <s v="0.55-0.575"/>
          <s v="0.575-0.6"/>
          <s v="0.6-0.625"/>
          <s v="0.625-0.65"/>
          <s v="0.65-0.675"/>
          <s v="0.675-0.7"/>
          <s v="0.7-0.725"/>
          <s v="0.725-0.75"/>
          <s v="0.75-0.775"/>
          <s v="0.775-0.8"/>
          <s v="0.8-0.825"/>
          <s v="0.825-0.85"/>
          <s v="0.85-0.875"/>
          <s v="0.875-0.9"/>
          <s v="0.9-0.925"/>
          <s v="0.925-0.95"/>
          <s v="0.95-0.975"/>
          <s v="0.975-1"/>
          <s v="&gt;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onrad Carlberg" refreshedDate="42293.550607638892" createdVersion="6" refreshedVersion="6" minRefreshableVersion="3" recordCount="1000">
  <cacheSource type="worksheet">
    <worksheetSource ref="T1:T1001" sheet="Fig 6.12" r:id="rId2"/>
  </cacheSource>
  <cacheFields count="1">
    <cacheField name="Prob of t" numFmtId="164">
      <sharedItems containsSemiMixedTypes="0" containsString="0" containsNumber="1" minValue="2.207630308374514E-5" maxValue="0.99999633715802794" count="1000">
        <n v="2.207630308374514E-5"/>
        <n v="1.2337247307772785E-4"/>
        <n v="2.7929118547394993E-4"/>
        <n v="2.9291435172212047E-4"/>
        <n v="4.9722202241088875E-4"/>
        <n v="5.3119703131969517E-4"/>
        <n v="5.7184249347969356E-4"/>
        <n v="5.9413356213994424E-4"/>
        <n v="6.8555310632844701E-4"/>
        <n v="7.5105333617863116E-4"/>
        <n v="8.4416917847587815E-4"/>
        <n v="9.187912757411096E-4"/>
        <n v="9.2251880888047561E-4"/>
        <n v="9.7370815113304976E-4"/>
        <n v="1.3170153434254447E-3"/>
        <n v="1.5894247027487052E-3"/>
        <n v="1.5913658579775568E-3"/>
        <n v="1.629981980460254E-3"/>
        <n v="1.7909080071601105E-3"/>
        <n v="2.4388889298403663E-3"/>
        <n v="2.621033702814364E-3"/>
        <n v="2.968195754961986E-3"/>
        <n v="2.9693725750306993E-3"/>
        <n v="3.2241516083193803E-3"/>
        <n v="3.2702373080928751E-3"/>
        <n v="3.6648058319585452E-3"/>
        <n v="4.0941168145547172E-3"/>
        <n v="4.2713228079788888E-3"/>
        <n v="4.3217602572925727E-3"/>
        <n v="4.800216020445891E-3"/>
        <n v="4.8441736374925529E-3"/>
        <n v="4.8982333894270202E-3"/>
        <n v="5.0794285504239438E-3"/>
        <n v="5.1006156894384137E-3"/>
        <n v="5.7934000406841928E-3"/>
        <n v="6.0511615967493758E-3"/>
        <n v="6.2448189068944025E-3"/>
        <n v="6.5967735961172964E-3"/>
        <n v="6.6043911504766774E-3"/>
        <n v="6.6140080896310719E-3"/>
        <n v="6.8106670088071133E-3"/>
        <n v="6.9018906410408904E-3"/>
        <n v="6.9141324361633224E-3"/>
        <n v="7.8973774227111306E-3"/>
        <n v="8.4981593703795481E-3"/>
        <n v="8.9101763311294248E-3"/>
        <n v="8.9492653239684784E-3"/>
        <n v="9.345267370849274E-3"/>
        <n v="9.3626991584198228E-3"/>
        <n v="9.8877569504967934E-3"/>
        <n v="1.178884179890323E-2"/>
        <n v="1.2170138165895178E-2"/>
        <n v="1.3422591347416914E-2"/>
        <n v="1.3499407220682847E-2"/>
        <n v="1.3573221278197175E-2"/>
        <n v="1.4535670180555467E-2"/>
        <n v="1.4706598720477497E-2"/>
        <n v="1.5540847654343191E-2"/>
        <n v="1.6685475125217231E-2"/>
        <n v="1.6776813047609827E-2"/>
        <n v="1.6779189225948846E-2"/>
        <n v="1.7621262578059134E-2"/>
        <n v="1.7869650826906867E-2"/>
        <n v="1.8391944209340563E-2"/>
        <n v="1.8864628681437519E-2"/>
        <n v="1.9201186520631151E-2"/>
        <n v="1.9317026850422664E-2"/>
        <n v="1.9832935955996854E-2"/>
        <n v="2.0875831657236589E-2"/>
        <n v="2.1151205839208164E-2"/>
        <n v="2.1632397263842928E-2"/>
        <n v="2.1816704077506476E-2"/>
        <n v="2.2136674620911546E-2"/>
        <n v="2.2778694152660553E-2"/>
        <n v="2.2827358412675084E-2"/>
        <n v="2.3861812174431823E-2"/>
        <n v="2.4413638011419676E-2"/>
        <n v="2.4569681760846129E-2"/>
        <n v="2.4799115128241987E-2"/>
        <n v="2.5009470191042691E-2"/>
        <n v="2.504358115301715E-2"/>
        <n v="2.5243464405621779E-2"/>
        <n v="2.5363518481372284E-2"/>
        <n v="2.6300353693402428E-2"/>
        <n v="2.7249945555497864E-2"/>
        <n v="2.7746301744786928E-2"/>
        <n v="2.8572105368228011E-2"/>
        <n v="3.2876327699386358E-2"/>
        <n v="3.2897751026113926E-2"/>
        <n v="3.3050556229680249E-2"/>
        <n v="3.3655340068988543E-2"/>
        <n v="3.4216672143958224E-2"/>
        <n v="3.531227809902529E-2"/>
        <n v="3.7123194462211531E-2"/>
        <n v="3.7939487167321283E-2"/>
        <n v="3.803238160486816E-2"/>
        <n v="3.8157403274668218E-2"/>
        <n v="3.9456016007913555E-2"/>
        <n v="4.0149638750941213E-2"/>
        <n v="4.0320674223015336E-2"/>
        <n v="4.074820870715791E-2"/>
        <n v="4.1215453482003235E-2"/>
        <n v="4.1861084094211354E-2"/>
        <n v="4.3451414073600474E-2"/>
        <n v="4.4327971624355353E-2"/>
        <n v="4.5354925982205661E-2"/>
        <n v="4.6296802513480777E-2"/>
        <n v="4.7506264778447223E-2"/>
        <n v="4.7590742900896814E-2"/>
        <n v="4.7672349750879521E-2"/>
        <n v="4.8920261442074578E-2"/>
        <n v="4.9299901253854389E-2"/>
        <n v="4.9457841770054273E-2"/>
        <n v="5.0451755828483165E-2"/>
        <n v="5.0497294936919242E-2"/>
        <n v="5.2123275978078872E-2"/>
        <n v="5.2338778507369954E-2"/>
        <n v="5.364992523113464E-2"/>
        <n v="5.3911609586577203E-2"/>
        <n v="5.4145433600298554E-2"/>
        <n v="5.4162578137269865E-2"/>
        <n v="5.5002537843070437E-2"/>
        <n v="5.5855556671402025E-2"/>
        <n v="5.6636429149064992E-2"/>
        <n v="5.6637314833204729E-2"/>
        <n v="5.6671192000821102E-2"/>
        <n v="5.6716946848046575E-2"/>
        <n v="5.8832018536626424E-2"/>
        <n v="5.9740863025084884E-2"/>
        <n v="6.0746693166908755E-2"/>
        <n v="6.1798399474210383E-2"/>
        <n v="6.3178974106197522E-2"/>
        <n v="6.3724222125595656E-2"/>
        <n v="6.5302033887341515E-2"/>
        <n v="6.5924588199720371E-2"/>
        <n v="6.6346504148173294E-2"/>
        <n v="6.637798669582734E-2"/>
        <n v="6.6481537466087481E-2"/>
        <n v="6.6765998791623274E-2"/>
        <n v="6.8351301046810461E-2"/>
        <n v="6.95391213647156E-2"/>
        <n v="7.0006804623268096E-2"/>
        <n v="7.0285441116000588E-2"/>
        <n v="7.040055310099963E-2"/>
        <n v="7.05573199234628E-2"/>
        <n v="7.1407053945471102E-2"/>
        <n v="7.16255042452624E-2"/>
        <n v="7.2165017323825714E-2"/>
        <n v="7.2315229371215373E-2"/>
        <n v="7.4454147218208824E-2"/>
        <n v="7.5614487380941994E-2"/>
        <n v="7.7786320256543778E-2"/>
        <n v="7.8224784633920061E-2"/>
        <n v="8.0349007759740659E-2"/>
        <n v="8.045417969958607E-2"/>
        <n v="8.0891828976976693E-2"/>
        <n v="8.1690129779135118E-2"/>
        <n v="8.1736136865336775E-2"/>
        <n v="8.1852960489887314E-2"/>
        <n v="8.2065126840346531E-2"/>
        <n v="8.4960456793920211E-2"/>
        <n v="8.5553718471045509E-2"/>
        <n v="8.6238017760159713E-2"/>
        <n v="8.7171203587922436E-2"/>
        <n v="8.7443470913992655E-2"/>
        <n v="8.7623054702956005E-2"/>
        <n v="8.8810570470107278E-2"/>
        <n v="8.8983174636462353E-2"/>
        <n v="8.9236125848411368E-2"/>
        <n v="8.9833728585192341E-2"/>
        <n v="9.0342561309000521E-2"/>
        <n v="9.2708328197166276E-2"/>
        <n v="9.4751842604895428E-2"/>
        <n v="9.4951374136057712E-2"/>
        <n v="9.5182427021425028E-2"/>
        <n v="9.6210716828724133E-2"/>
        <n v="9.6285529581735391E-2"/>
        <n v="9.9233427089863199E-2"/>
        <n v="9.9358811408903985E-2"/>
        <n v="0.10028458479897945"/>
        <n v="0.1010166243821911"/>
        <n v="0.10127411604751044"/>
        <n v="0.10143116170840645"/>
        <n v="0.10156517623260573"/>
        <n v="0.10410423429887303"/>
        <n v="0.10411506525612048"/>
        <n v="0.10601499004672885"/>
        <n v="0.10613981155335991"/>
        <n v="0.10648013893861877"/>
        <n v="0.10717718007973372"/>
        <n v="0.10881956055511161"/>
        <n v="0.11149212988071791"/>
        <n v="0.11184993305370472"/>
        <n v="0.11191680474284942"/>
        <n v="0.11303462794107452"/>
        <n v="0.11345648504954209"/>
        <n v="0.11424196447618051"/>
        <n v="0.11540123278026355"/>
        <n v="0.11580246863997301"/>
        <n v="0.11641859813178121"/>
        <n v="0.11652576918063966"/>
        <n v="0.11704787891030746"/>
        <n v="0.11876299008011014"/>
        <n v="0.11881640842760194"/>
        <n v="0.11963275257175511"/>
        <n v="0.11973370951934645"/>
        <n v="0.12026523498126546"/>
        <n v="0.12224842907202382"/>
        <n v="0.12244562467965941"/>
        <n v="0.12987392581627821"/>
        <n v="0.13244486188031535"/>
        <n v="0.1341093492483153"/>
        <n v="0.13424704956078046"/>
        <n v="0.13441067041972246"/>
        <n v="0.13685719380453612"/>
        <n v="0.13722695063274193"/>
        <n v="0.13775598142919762"/>
        <n v="0.13905702375003906"/>
        <n v="0.14057083008222826"/>
        <n v="0.14176052842363013"/>
        <n v="0.14186159514515762"/>
        <n v="0.14205545436083483"/>
        <n v="0.14503019843574666"/>
        <n v="0.14520960216510725"/>
        <n v="0.14542102179394545"/>
        <n v="0.14589134829059688"/>
        <n v="0.14631729490673165"/>
        <n v="0.14672918610350533"/>
        <n v="0.14688663924513956"/>
        <n v="0.14772619410677157"/>
        <n v="0.14861532938531791"/>
        <n v="0.14945615311384"/>
        <n v="0.15080664738636601"/>
        <n v="0.15132451695166396"/>
        <n v="0.15168384549736494"/>
        <n v="0.15249062335262845"/>
        <n v="0.15553704022503789"/>
        <n v="0.15637314885418307"/>
        <n v="0.15656365966757452"/>
        <n v="0.1600230073689643"/>
        <n v="0.16048688679376924"/>
        <n v="0.1604891903600954"/>
        <n v="0.16053256612287448"/>
        <n v="0.16138862871633658"/>
        <n v="0.16152385300157918"/>
        <n v="0.16492252888331949"/>
        <n v="0.16610573188270156"/>
        <n v="0.1670406960547629"/>
        <n v="0.16951837916069823"/>
        <n v="0.1698421101351098"/>
        <n v="0.16986176217762738"/>
        <n v="0.17105294715981251"/>
        <n v="0.17308913863970443"/>
        <n v="0.17318918325074534"/>
        <n v="0.17320828285581424"/>
        <n v="0.17695071576254034"/>
        <n v="0.17707795248436475"/>
        <n v="0.17893236349088387"/>
        <n v="0.18184496608764938"/>
        <n v="0.18496842365884886"/>
        <n v="0.18531647770726101"/>
        <n v="0.1854353456435075"/>
        <n v="0.18584852155541931"/>
        <n v="0.18600268428629541"/>
        <n v="0.18734799178907519"/>
        <n v="0.18844442256882521"/>
        <n v="0.19066771389756937"/>
        <n v="0.1907846673450907"/>
        <n v="0.19079125827617238"/>
        <n v="0.19106301911022666"/>
        <n v="0.1969717511190186"/>
        <n v="0.19778528131427187"/>
        <n v="0.19883237857002839"/>
        <n v="0.19919214688874154"/>
        <n v="0.19980558397495218"/>
        <n v="0.20248390939117683"/>
        <n v="0.20261490634489654"/>
        <n v="0.20434279443756304"/>
        <n v="0.20436480161002379"/>
        <n v="0.20555245032552655"/>
        <n v="0.20886497724980702"/>
        <n v="0.20914810268728273"/>
        <n v="0.21043820006743613"/>
        <n v="0.2114211316591128"/>
        <n v="0.21474873717975124"/>
        <n v="0.21666712231727769"/>
        <n v="0.21737654682311558"/>
        <n v="0.21902055226288919"/>
        <n v="0.21932530746313511"/>
        <n v="0.21943165676420562"/>
        <n v="0.21962779001696647"/>
        <n v="0.22220112905291933"/>
        <n v="0.22254572473948692"/>
        <n v="0.2281613600616077"/>
        <n v="0.22864139833883879"/>
        <n v="0.22894400053092873"/>
        <n v="0.23363759633682213"/>
        <n v="0.23413626870074816"/>
        <n v="0.23512283056929673"/>
        <n v="0.23645046686591126"/>
        <n v="0.23908009654561357"/>
        <n v="0.23949905032658647"/>
        <n v="0.23987006043220321"/>
        <n v="0.24097549532538265"/>
        <n v="0.24157036204650478"/>
        <n v="0.24192452150350691"/>
        <n v="0.24211461303832515"/>
        <n v="0.24305241157289048"/>
        <n v="0.24385529655771004"/>
        <n v="0.24466120774803385"/>
        <n v="0.24467490680462473"/>
        <n v="0.24536434937658896"/>
        <n v="0.2469421580632899"/>
        <n v="0.24714051606682924"/>
        <n v="0.24776695621642492"/>
        <n v="0.24795981685571922"/>
        <n v="0.25023325536674412"/>
        <n v="0.25029804623426943"/>
        <n v="0.2502982268802163"/>
        <n v="0.25200312643780959"/>
        <n v="0.25398401187349184"/>
        <n v="0.25406086393653637"/>
        <n v="0.25450140036568653"/>
        <n v="0.2554722770482078"/>
        <n v="0.25554495265357624"/>
        <n v="0.25646835583160349"/>
        <n v="0.25909645811892651"/>
        <n v="0.25962895043785039"/>
        <n v="0.26011098420037898"/>
        <n v="0.26178603858213423"/>
        <n v="0.26221195301970263"/>
        <n v="0.26260880136367853"/>
        <n v="0.26317975242236324"/>
        <n v="0.26437207073472802"/>
        <n v="0.26662609399468362"/>
        <n v="0.26809389443738457"/>
        <n v="0.26859743357035937"/>
        <n v="0.26882159515478904"/>
        <n v="0.27080611651218345"/>
        <n v="0.27118631394382198"/>
        <n v="0.27262524626012502"/>
        <n v="0.27287801935553868"/>
        <n v="0.27601753846535926"/>
        <n v="0.27667932219198677"/>
        <n v="0.27820100400297909"/>
        <n v="0.27895737999488524"/>
        <n v="0.28013260196068746"/>
        <n v="0.28028179523241792"/>
        <n v="0.28101229887150592"/>
        <n v="0.28319102445691668"/>
        <n v="0.28450317003958336"/>
        <n v="0.28471412063686385"/>
        <n v="0.2849008960191789"/>
        <n v="0.28521944518492093"/>
        <n v="0.28942802906263243"/>
        <n v="0.29064001351573565"/>
        <n v="0.29125849258965741"/>
        <n v="0.29357075924126819"/>
        <n v="0.29424763759909001"/>
        <n v="0.29644460529329175"/>
        <n v="0.29836651348671012"/>
        <n v="0.29898149982054101"/>
        <n v="0.29928591654848868"/>
        <n v="0.29972872524978839"/>
        <n v="0.30135286408752837"/>
        <n v="0.30153126567315836"/>
        <n v="0.30284279035165795"/>
        <n v="0.30335821386551576"/>
        <n v="0.30365998750242973"/>
        <n v="0.30541436181763992"/>
        <n v="0.30545193016144445"/>
        <n v="0.30585530890263585"/>
        <n v="0.30693854769263418"/>
        <n v="0.3072242754674831"/>
        <n v="0.30817962513894037"/>
        <n v="0.31079872804409048"/>
        <n v="0.31131668091489695"/>
        <n v="0.31156053747697399"/>
        <n v="0.31174973074961915"/>
        <n v="0.31325980158909356"/>
        <n v="0.31370434270483116"/>
        <n v="0.31669594813798263"/>
        <n v="0.32204020229156166"/>
        <n v="0.32259650055387773"/>
        <n v="0.32447036177344052"/>
        <n v="0.32712524502705786"/>
        <n v="0.32760820210057107"/>
        <n v="0.32835015497483211"/>
        <n v="0.32899740012826573"/>
        <n v="0.32913648269800522"/>
        <n v="0.33067096447802702"/>
        <n v="0.33273905272360749"/>
        <n v="0.33276213979900643"/>
        <n v="0.33428721132416178"/>
        <n v="0.33685368943186966"/>
        <n v="0.33764597844109906"/>
        <n v="0.33769190953174727"/>
        <n v="0.33793218546371306"/>
        <n v="0.33961433790166684"/>
        <n v="0.34169471585567468"/>
        <n v="0.34187597422059479"/>
        <n v="0.34225647810648197"/>
        <n v="0.34243989937217123"/>
        <n v="0.34365539670971845"/>
        <n v="0.34569690417143462"/>
        <n v="0.34589060751783107"/>
        <n v="0.34851130128316982"/>
        <n v="0.34873417065700762"/>
        <n v="0.35038802655509305"/>
        <n v="0.35071895076897863"/>
        <n v="0.35298286633481957"/>
        <n v="0.35353692987372548"/>
        <n v="0.35412091993277539"/>
        <n v="0.35434791842869245"/>
        <n v="0.35519171080638723"/>
        <n v="0.35716273653499458"/>
        <n v="0.35760913115881066"/>
        <n v="0.3577583774934297"/>
        <n v="0.35849706845053342"/>
        <n v="0.35903028133222681"/>
        <n v="0.35949955315584281"/>
        <n v="0.35971979561417278"/>
        <n v="0.36234974740327353"/>
        <n v="0.36293579049532143"/>
        <n v="0.36462992471318667"/>
        <n v="0.36471069337842499"/>
        <n v="0.36905517270008026"/>
        <n v="0.37248978059263371"/>
        <n v="0.37254008181720072"/>
        <n v="0.37337150355586179"/>
        <n v="0.37396631585369444"/>
        <n v="0.3740340420605946"/>
        <n v="0.37411789650108512"/>
        <n v="0.37454704707021547"/>
        <n v="0.37511569761869296"/>
        <n v="0.37674352219371471"/>
        <n v="0.37715922163151594"/>
        <n v="0.37728359965934732"/>
        <n v="0.38182835676452742"/>
        <n v="0.38286687331046798"/>
        <n v="0.38848180686386613"/>
        <n v="0.39063339402892078"/>
        <n v="0.39114693131935901"/>
        <n v="0.39284154662212684"/>
        <n v="0.39295912543442746"/>
        <n v="0.39346202284378928"/>
        <n v="0.39608961283203759"/>
        <n v="0.39781002540645516"/>
        <n v="0.398766578552047"/>
        <n v="0.3991013525125986"/>
        <n v="0.39930751709604728"/>
        <n v="0.39981805819091448"/>
        <n v="0.40148072350112513"/>
        <n v="0.40349995362999691"/>
        <n v="0.40368763028871718"/>
        <n v="0.4040004441089845"/>
        <n v="0.40594932429078678"/>
        <n v="0.40803679031429779"/>
        <n v="0.40812144607432727"/>
        <n v="0.40847670785579782"/>
        <n v="0.40921870506935271"/>
        <n v="0.40993680748087502"/>
        <n v="0.41121638828070362"/>
        <n v="0.4133138565922726"/>
        <n v="0.41456402866027481"/>
        <n v="0.41493302986901182"/>
        <n v="0.41658993680259976"/>
        <n v="0.41737222330778867"/>
        <n v="0.41811191178872614"/>
        <n v="0.41870643138539776"/>
        <n v="0.41885822989035953"/>
        <n v="0.41887984375600895"/>
        <n v="0.42172514287947438"/>
        <n v="0.42208883201048431"/>
        <n v="0.42289001857648623"/>
        <n v="0.42426317671678848"/>
        <n v="0.42465110658143806"/>
        <n v="0.42888962231746836"/>
        <n v="0.42953601428058513"/>
        <n v="0.42997240546971333"/>
        <n v="0.4312007549026774"/>
        <n v="0.43757032850845012"/>
        <n v="0.44106634798687272"/>
        <n v="0.44300564402823439"/>
        <n v="0.44311013821458789"/>
        <n v="0.44632082299977133"/>
        <n v="0.44971331702714379"/>
        <n v="0.44976046829930116"/>
        <n v="0.45337317578964698"/>
        <n v="0.45360887319050663"/>
        <n v="0.45397824289488231"/>
        <n v="0.45657224778319783"/>
        <n v="0.45673027579505249"/>
        <n v="0.45767724931105613"/>
        <n v="0.45803629537928237"/>
        <n v="0.45894169732667695"/>
        <n v="0.46048309514593777"/>
        <n v="0.46162359037057943"/>
        <n v="0.46469662531697198"/>
        <n v="0.46707669484004405"/>
        <n v="0.46748013010562683"/>
        <n v="0.47044881723538035"/>
        <n v="0.47517825703417982"/>
        <n v="0.4759116395919496"/>
        <n v="0.47798841264501357"/>
        <n v="0.47938787852032233"/>
        <n v="0.48174102380003536"/>
        <n v="0.48238114165164114"/>
        <n v="0.48383214343293512"/>
        <n v="0.48626604782098209"/>
        <n v="0.48735733347073007"/>
        <n v="0.49018368888418751"/>
        <n v="0.49021368007755678"/>
        <n v="0.49223655886251572"/>
        <n v="0.49441897209927332"/>
        <n v="0.49479236924199865"/>
        <n v="0.49506511744102788"/>
        <n v="0.49616812932481336"/>
        <n v="0.49626598837995672"/>
        <n v="0.49718548256747253"/>
        <n v="0.49766223192759046"/>
        <n v="0.49836804477776547"/>
        <n v="0.50289884421365438"/>
        <n v="0.50373316715119809"/>
        <n v="0.50391504884427585"/>
        <n v="0.50533989736437279"/>
        <n v="0.50947127077389776"/>
        <n v="0.50948450568003434"/>
        <n v="0.5131730209755605"/>
        <n v="0.519925305244886"/>
        <n v="0.52031871823947795"/>
        <n v="0.5209984974870272"/>
        <n v="0.52125833983452019"/>
        <n v="0.52172867465232686"/>
        <n v="0.52187795608306287"/>
        <n v="0.52471869435752261"/>
        <n v="0.52561981681740166"/>
        <n v="0.52792748048796356"/>
        <n v="0.5310392421223048"/>
        <n v="0.53305200330453251"/>
        <n v="0.53474751408283594"/>
        <n v="0.53506248842195347"/>
        <n v="0.53573894406509137"/>
        <n v="0.53574824844604718"/>
        <n v="0.53814266032368407"/>
        <n v="0.53988456394093831"/>
        <n v="0.53990449116080963"/>
        <n v="0.54020678336298522"/>
        <n v="0.54075688451781834"/>
        <n v="0.54272058699395653"/>
        <n v="0.54338794086220221"/>
        <n v="0.54787396324755244"/>
        <n v="0.54848379198393815"/>
        <n v="0.54904660143005501"/>
        <n v="0.54905333747240148"/>
        <n v="0.55160245346663617"/>
        <n v="0.55187908835331312"/>
        <n v="0.5539896476603885"/>
        <n v="0.55707835434607589"/>
        <n v="0.55806820296433934"/>
        <n v="0.55827630569760978"/>
        <n v="0.56085461827374428"/>
        <n v="0.56091364323082094"/>
        <n v="0.56216426238369355"/>
        <n v="0.56442776020216257"/>
        <n v="0.56500696632674285"/>
        <n v="0.56657043792349748"/>
        <n v="0.56730412799197494"/>
        <n v="0.56888171258464437"/>
        <n v="0.56922846261876148"/>
        <n v="0.5729444282334718"/>
        <n v="0.57472356450038542"/>
        <n v="0.57494374601225329"/>
        <n v="0.57562970373923061"/>
        <n v="0.57634880243663911"/>
        <n v="0.57717766708019214"/>
        <n v="0.57773216753226864"/>
        <n v="0.5790860288949724"/>
        <n v="0.58881336848840127"/>
        <n v="0.58972440534471593"/>
        <n v="0.59023725414819928"/>
        <n v="0.59427125852809493"/>
        <n v="0.5948005589748282"/>
        <n v="0.59703060111674922"/>
        <n v="0.59833315546132271"/>
        <n v="0.59851589854900999"/>
        <n v="0.5994638174024578"/>
        <n v="0.60006587016982937"/>
        <n v="0.6012505884842716"/>
        <n v="0.60170017706339429"/>
        <n v="0.60238326896765093"/>
        <n v="0.60297920147677886"/>
        <n v="0.60606872973948489"/>
        <n v="0.60681214317930565"/>
        <n v="0.60749981861368618"/>
        <n v="0.60789261018561103"/>
        <n v="0.6126061839892103"/>
        <n v="0.61389146792825999"/>
        <n v="0.61400031106941744"/>
        <n v="0.61539100950603953"/>
        <n v="0.61699199473440425"/>
        <n v="0.61711978067882023"/>
        <n v="0.62185010095047688"/>
        <n v="0.62195429859097617"/>
        <n v="0.62405502528150902"/>
        <n v="0.62621251204378536"/>
        <n v="0.62903106133624853"/>
        <n v="0.62970949261851517"/>
        <n v="0.6300599353406906"/>
        <n v="0.63101935017063393"/>
        <n v="0.63233694966172016"/>
        <n v="0.63392253922193387"/>
        <n v="0.63540921832687969"/>
        <n v="0.63673865962509557"/>
        <n v="0.63792476014214139"/>
        <n v="0.64221208475867764"/>
        <n v="0.64283073507299193"/>
        <n v="0.64328090787372505"/>
        <n v="0.64359663156025038"/>
        <n v="0.64445931770040832"/>
        <n v="0.64447655606636911"/>
        <n v="0.64475780163380714"/>
        <n v="0.64520603486311345"/>
        <n v="0.64531600874116579"/>
        <n v="0.6457167570637603"/>
        <n v="0.64918761108604184"/>
        <n v="0.65140602708027306"/>
        <n v="0.65265251063175678"/>
        <n v="0.65341072513399578"/>
        <n v="0.65607857766666899"/>
        <n v="0.6561946617311305"/>
        <n v="0.65960402792018258"/>
        <n v="0.65968412057099113"/>
        <n v="0.65983889105265803"/>
        <n v="0.66143072600027475"/>
        <n v="0.66167481655641924"/>
        <n v="0.66220864251574363"/>
        <n v="0.6647803423192179"/>
        <n v="0.66827087840235122"/>
        <n v="0.66842234031657832"/>
        <n v="0.66874929591364896"/>
        <n v="0.6701913795976332"/>
        <n v="0.67022467443935818"/>
        <n v="0.67066919148172366"/>
        <n v="0.6726074151410214"/>
        <n v="0.67325574878975225"/>
        <n v="0.67400374236047778"/>
        <n v="0.6742290266691866"/>
        <n v="0.67644961766514111"/>
        <n v="0.67749697089830585"/>
        <n v="0.68031391471587199"/>
        <n v="0.68056899991380992"/>
        <n v="0.68138972743451154"/>
        <n v="0.68384716957881775"/>
        <n v="0.68512986922234709"/>
        <n v="0.68537301167291964"/>
        <n v="0.68772482254169576"/>
        <n v="0.68791524311092767"/>
        <n v="0.68804716386370302"/>
        <n v="0.68810516455438786"/>
        <n v="0.68893536770079522"/>
        <n v="0.69033020042491899"/>
        <n v="0.69069027383882009"/>
        <n v="0.69266838210970194"/>
        <n v="0.69390595829224788"/>
        <n v="0.69412999355420724"/>
        <n v="0.69426641529037392"/>
        <n v="0.69535824908943389"/>
        <n v="0.69745753098820185"/>
        <n v="0.69761731815273631"/>
        <n v="0.6993123017455537"/>
        <n v="0.70159180053379644"/>
        <n v="0.70329190483979453"/>
        <n v="0.70416217972193762"/>
        <n v="0.7065278500796931"/>
        <n v="0.7076240415671311"/>
        <n v="0.71013859303018134"/>
        <n v="0.71056454610355257"/>
        <n v="0.71178380260815388"/>
        <n v="0.71238623876649521"/>
        <n v="0.71465321999052389"/>
        <n v="0.71575462025704495"/>
        <n v="0.71723471806432948"/>
        <n v="0.71778932308120502"/>
        <n v="0.71812841536787664"/>
        <n v="0.71941553913543155"/>
        <n v="0.72000615291418346"/>
        <n v="0.72140969672111865"/>
        <n v="0.72275478162826778"/>
        <n v="0.72542656085981994"/>
        <n v="0.7277809521472357"/>
        <n v="0.73117676240011364"/>
        <n v="0.73493950135850161"/>
        <n v="0.73530520707562275"/>
        <n v="0.73593675537264047"/>
        <n v="0.73627193742787123"/>
        <n v="0.73770378773835377"/>
        <n v="0.73884507364919993"/>
        <n v="0.73967762070382914"/>
        <n v="0.73973783288558637"/>
        <n v="0.74191231664354551"/>
        <n v="0.74228311690639515"/>
        <n v="0.74315249140384432"/>
        <n v="0.74479695830323223"/>
        <n v="0.74616576718995009"/>
        <n v="0.74622684289480046"/>
        <n v="0.74649869080621967"/>
        <n v="0.74759556680487094"/>
        <n v="0.74893024779325723"/>
        <n v="0.75067894447629691"/>
        <n v="0.75138136476504402"/>
        <n v="0.75259897009941534"/>
        <n v="0.75467314243961547"/>
        <n v="0.75598987398502837"/>
        <n v="0.75783952446036895"/>
        <n v="0.76105989209043001"/>
        <n v="0.76136281697035346"/>
        <n v="0.7617262838859491"/>
        <n v="0.76213071719398096"/>
        <n v="0.76331961792326153"/>
        <n v="0.7679920483148801"/>
        <n v="0.76848295366710495"/>
        <n v="0.76859604896843736"/>
        <n v="0.76958418517372185"/>
        <n v="0.77214680248011935"/>
        <n v="0.77236921220077825"/>
        <n v="0.77316102754862426"/>
        <n v="0.77612378339215438"/>
        <n v="0.77695885491360017"/>
        <n v="0.77775031091124469"/>
        <n v="0.77843312884473825"/>
        <n v="0.7797035265667227"/>
        <n v="0.78232734468210174"/>
        <n v="0.78355357014852234"/>
        <n v="0.78866490672082912"/>
        <n v="0.78956983362965638"/>
        <n v="0.79062909217269972"/>
        <n v="0.79177657786011002"/>
        <n v="0.79367308012203175"/>
        <n v="0.79474169557904228"/>
        <n v="0.7962708130250562"/>
        <n v="0.79641471661676899"/>
        <n v="0.79762561384956243"/>
        <n v="0.79987911064912687"/>
        <n v="0.80054023160284749"/>
        <n v="0.80278495862239385"/>
        <n v="0.80316793784901774"/>
        <n v="0.80537523595401306"/>
        <n v="0.80560546355964524"/>
        <n v="0.80689686197827004"/>
        <n v="0.80905381055726178"/>
        <n v="0.8098403156212608"/>
        <n v="0.81013649829823442"/>
        <n v="0.81079974994862303"/>
        <n v="0.81119716247894169"/>
        <n v="0.81687591330228626"/>
        <n v="0.81829358746176217"/>
        <n v="0.82173643734165414"/>
        <n v="0.82180923912243964"/>
        <n v="0.82270505610077138"/>
        <n v="0.82325357479220007"/>
        <n v="0.82543321987205154"/>
        <n v="0.82626058121961798"/>
        <n v="0.82783165757586308"/>
        <n v="0.82853326103195302"/>
        <n v="0.8365192898586481"/>
        <n v="0.83785532605872426"/>
        <n v="0.83853703891028908"/>
        <n v="0.83935167285317613"/>
        <n v="0.83976800464828028"/>
        <n v="0.84073260627345969"/>
        <n v="0.84145319763330872"/>
        <n v="0.84247080771842486"/>
        <n v="0.84375035518402208"/>
        <n v="0.84394452038596635"/>
        <n v="0.84538284734569169"/>
        <n v="0.84580176023500619"/>
        <n v="0.84718138433169021"/>
        <n v="0.84883322078096768"/>
        <n v="0.84923094237073771"/>
        <n v="0.85064822687031683"/>
        <n v="0.8510288202841545"/>
        <n v="0.85218454257051923"/>
        <n v="0.85249104513096419"/>
        <n v="0.8528252227701687"/>
        <n v="0.85370598106388285"/>
        <n v="0.85613264609901318"/>
        <n v="0.8561825870355303"/>
        <n v="0.85779399154731728"/>
        <n v="0.85814629979028711"/>
        <n v="0.85838512676976864"/>
        <n v="0.85878367642422926"/>
        <n v="0.85972778215361634"/>
        <n v="0.86114541630570862"/>
        <n v="0.86211213121077546"/>
        <n v="0.86300260256681693"/>
        <n v="0.86635440292982502"/>
        <n v="0.86681370574726258"/>
        <n v="0.86842631882946164"/>
        <n v="0.86920767341545568"/>
        <n v="0.86974686300254156"/>
        <n v="0.87066751724231861"/>
        <n v="0.8710165646538901"/>
        <n v="0.87122295608613065"/>
        <n v="0.87201377723505846"/>
        <n v="0.87215871413487889"/>
        <n v="0.87434565762511429"/>
        <n v="0.87483776996967744"/>
        <n v="0.87788790445984832"/>
        <n v="0.87931783062505131"/>
        <n v="0.87974781981618089"/>
        <n v="0.87996114732819619"/>
        <n v="0.87999400888588608"/>
        <n v="0.88031872495386687"/>
        <n v="0.88156187625839566"/>
        <n v="0.88166639843157224"/>
        <n v="0.88303920884411047"/>
        <n v="0.88506099448326503"/>
        <n v="0.88603476266624348"/>
        <n v="0.88608514685940343"/>
        <n v="0.88754045757704647"/>
        <n v="0.88815913666116575"/>
        <n v="0.8898261244083473"/>
        <n v="0.88994505319007033"/>
        <n v="0.89072318877078449"/>
        <n v="0.8913377562314595"/>
        <n v="0.89166549564769715"/>
        <n v="0.89323767601114112"/>
        <n v="0.89370859005003811"/>
        <n v="0.89417393856220129"/>
        <n v="0.89508278527234864"/>
        <n v="0.89535174709893872"/>
        <n v="0.89598756240953059"/>
        <n v="0.89722281400360715"/>
        <n v="0.89842421871338574"/>
        <n v="0.89860395811744365"/>
        <n v="0.89965253176417714"/>
        <n v="0.90202530156521998"/>
        <n v="0.90274414965164107"/>
        <n v="0.90282675587779493"/>
        <n v="0.9044939150846576"/>
        <n v="0.90613709098795769"/>
        <n v="0.90688931532014627"/>
        <n v="0.90709352596334381"/>
        <n v="0.90919178009085577"/>
        <n v="0.91363564584579315"/>
        <n v="0.9136717986286288"/>
        <n v="0.91485626670093656"/>
        <n v="0.91658590296285003"/>
        <n v="0.91670681527270503"/>
        <n v="0.91784879453645374"/>
        <n v="0.91788336718550223"/>
        <n v="0.91808118573610376"/>
        <n v="0.91826395586465093"/>
        <n v="0.91886303681261794"/>
        <n v="0.91953405579517378"/>
        <n v="0.92062409360355568"/>
        <n v="0.92114571637350373"/>
        <n v="0.92330852260330232"/>
        <n v="0.92441607492612043"/>
        <n v="0.92609690269094669"/>
        <n v="0.92620500552323337"/>
        <n v="0.92753846249112049"/>
        <n v="0.92790567565295223"/>
        <n v="0.92791899264444022"/>
        <n v="0.92855257526290425"/>
        <n v="0.92873733968768113"/>
        <n v="0.92925620428974864"/>
        <n v="0.92993042105532386"/>
        <n v="0.9311079805583512"/>
        <n v="0.93125737941155906"/>
        <n v="0.93189635378875924"/>
        <n v="0.93416942690006011"/>
        <n v="0.93439072978773929"/>
        <n v="0.9366013924807316"/>
        <n v="0.93681257945259533"/>
        <n v="0.93940883129175967"/>
        <n v="0.94023411819742386"/>
        <n v="0.9402752472092597"/>
        <n v="0.94066144982851063"/>
        <n v="0.94095723354871608"/>
        <n v="0.94112488300466612"/>
        <n v="0.94123350998790245"/>
        <n v="0.94160418250372202"/>
        <n v="0.94293420000402062"/>
        <n v="0.94312702234329893"/>
        <n v="0.9450681895890054"/>
        <n v="0.94514420872206439"/>
        <n v="0.94530789637072343"/>
        <n v="0.94653954447023181"/>
        <n v="0.94703090882262708"/>
        <n v="0.94715311442526917"/>
        <n v="0.94841077798280138"/>
        <n v="0.94894493490149023"/>
        <n v="0.94925624387857765"/>
        <n v="0.95265616685412913"/>
        <n v="0.95268729468214675"/>
        <n v="0.95528089773427116"/>
        <n v="0.95541744877220391"/>
        <n v="0.95763961968341149"/>
        <n v="0.95951350495201337"/>
        <n v="0.96088912649382741"/>
        <n v="0.96163368789273107"/>
        <n v="0.9617756549578802"/>
        <n v="0.9633963015356467"/>
        <n v="0.96352373704927385"/>
        <n v="0.96386745211173708"/>
        <n v="0.96415564743341198"/>
        <n v="0.96447147235515407"/>
        <n v="0.9647414598580234"/>
        <n v="0.96490223485784632"/>
        <n v="0.96494087226595371"/>
        <n v="0.96504088072114902"/>
        <n v="0.96525150068413645"/>
        <n v="0.96552994331798214"/>
        <n v="0.96617602119743018"/>
        <n v="0.96624453417388478"/>
        <n v="0.96720949840485615"/>
        <n v="0.96723837804104018"/>
        <n v="0.96840244709624523"/>
        <n v="0.96929896688290118"/>
        <n v="0.97043781451785971"/>
        <n v="0.97058459454325219"/>
        <n v="0.97119324204417234"/>
        <n v="0.97150745524030013"/>
        <n v="0.9718518530518111"/>
        <n v="0.97215846103500292"/>
        <n v="0.97376480641614416"/>
        <n v="0.97465004023046087"/>
        <n v="0.97501010883818295"/>
        <n v="0.97605853745496507"/>
        <n v="0.97633266693027998"/>
        <n v="0.97744879919413086"/>
        <n v="0.97793564417105439"/>
        <n v="0.9787939552067042"/>
        <n v="0.97900503758896085"/>
        <n v="0.98167731423727445"/>
        <n v="0.98168194048391"/>
        <n v="0.98191585212782784"/>
        <n v="0.98236799235933592"/>
        <n v="0.9826617667587485"/>
        <n v="0.98301268266072739"/>
        <n v="0.98330986489126937"/>
        <n v="0.98336319989864363"/>
        <n v="0.98346811775766085"/>
        <n v="0.98376066496749037"/>
        <n v="0.98385962814809702"/>
        <n v="0.98421719687502662"/>
        <n v="0.9843912901448808"/>
        <n v="0.98468147767106062"/>
        <n v="0.98480878602656186"/>
        <n v="0.98488155770756058"/>
        <n v="0.98489917939465643"/>
        <n v="0.98536329993028438"/>
        <n v="0.98555835122388347"/>
        <n v="0.98561618815928809"/>
        <n v="0.98667332764318816"/>
        <n v="0.9868263209427538"/>
        <n v="0.98699517318908381"/>
        <n v="0.98703467651637988"/>
        <n v="0.98721600997804215"/>
        <n v="0.98909910478185803"/>
        <n v="0.99010747637958685"/>
        <n v="0.99045741347711747"/>
        <n v="0.99049253801200998"/>
        <n v="0.99104089883780433"/>
        <n v="0.99135863702702287"/>
        <n v="0.99152054489597186"/>
        <n v="0.9918336003850966"/>
        <n v="0.99335529766321984"/>
        <n v="0.99366764764668392"/>
        <n v="0.99453424744676222"/>
        <n v="0.9950193031100889"/>
        <n v="0.99544450412470542"/>
        <n v="0.99555717131334975"/>
        <n v="0.99577948361259183"/>
        <n v="0.99596521428818796"/>
        <n v="0.99600328367257251"/>
        <n v="0.99668723963208183"/>
        <n v="0.99671823217543498"/>
        <n v="0.99680675782930672"/>
        <n v="0.99760972999811359"/>
        <n v="0.99773724896487892"/>
        <n v="0.99777218723070726"/>
        <n v="0.99795472717054157"/>
        <n v="0.99828651618437547"/>
        <n v="0.99856388722585476"/>
        <n v="0.9987274110637796"/>
        <n v="0.99902357704507883"/>
        <n v="0.99908933562354152"/>
        <n v="0.9993835995019833"/>
        <n v="0.99950985236577916"/>
        <n v="0.99958404066984485"/>
        <n v="0.99966381040118468"/>
        <n v="0.99970203956637427"/>
        <n v="0.9999471526119843"/>
        <n v="0.99998238553541718"/>
        <n v="0.99999041981627979"/>
        <n v="0.99999323210363567"/>
        <n v="0.99999633715802794"/>
      </sharedItems>
      <fieldGroup base="0">
        <rangePr autoStart="0" startNum="0" endNum="0.99999633715802794" groupInterval="2.5000000000000001E-2"/>
        <groupItems count="42">
          <s v="&lt;0"/>
          <s v="0-0.025"/>
          <s v="0.025-0.05"/>
          <s v="0.05-0.075"/>
          <s v="0.075-0.1"/>
          <s v="0.1-0.125"/>
          <s v="0.125-0.15"/>
          <s v="0.15-0.175"/>
          <s v="0.175-0.2"/>
          <s v="0.2-0.225"/>
          <s v="0.225-0.25"/>
          <s v="0.25-0.275"/>
          <s v="0.275-0.3"/>
          <s v="0.3-0.325"/>
          <s v="0.325-0.35"/>
          <s v="0.35-0.375"/>
          <s v="0.375-0.4"/>
          <s v="0.4-0.425"/>
          <s v="0.425-0.45"/>
          <s v="0.45-0.475"/>
          <s v="0.475-0.5"/>
          <s v="0.5-0.525"/>
          <s v="0.525-0.55"/>
          <s v="0.55-0.575"/>
          <s v="0.575-0.6"/>
          <s v="0.6-0.625"/>
          <s v="0.625-0.65"/>
          <s v="0.65-0.675"/>
          <s v="0.675-0.7"/>
          <s v="0.7-0.725"/>
          <s v="0.725-0.75"/>
          <s v="0.75-0.775"/>
          <s v="0.775-0.8"/>
          <s v="0.8-0.825"/>
          <s v="0.825-0.85"/>
          <s v="0.85-0.875"/>
          <s v="0.875-0.9"/>
          <s v="0.9-0.925"/>
          <s v="0.925-0.95"/>
          <s v="0.95-0.975"/>
          <s v="0.975-1"/>
          <s v="&gt;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onrad Carlberg" refreshedDate="42293.550898148147" createdVersion="6" refreshedVersion="6" minRefreshableVersion="3" recordCount="1000">
  <cacheSource type="worksheet">
    <worksheetSource ref="T1:T1001" sheet="Fig 6.13" r:id="rId2"/>
  </cacheSource>
  <cacheFields count="1">
    <cacheField name="Prob of t" numFmtId="164">
      <sharedItems containsSemiMixedTypes="0" containsString="0" containsNumber="1" minValue="4.7850891199658951E-4" maxValue="0.9996841664802556" count="1000">
        <n v="4.7850891199658951E-4"/>
        <n v="9.0214112046164063E-4"/>
        <n v="2.4424439780800999E-3"/>
        <n v="2.8760467482044551E-3"/>
        <n v="3.0603780063145078E-3"/>
        <n v="3.1451558176107922E-3"/>
        <n v="6.8618117830774967E-3"/>
        <n v="7.4388596195853881E-3"/>
        <n v="9.1164582524869853E-3"/>
        <n v="9.3378939949479798E-3"/>
        <n v="1.1073581009241591E-2"/>
        <n v="1.1876459877153968E-2"/>
        <n v="1.2493343020216241E-2"/>
        <n v="1.3108369290299035E-2"/>
        <n v="1.3920626603158849E-2"/>
        <n v="1.575895464154704E-2"/>
        <n v="1.6420414656748646E-2"/>
        <n v="1.7069230240995808E-2"/>
        <n v="1.7667170679440226E-2"/>
        <n v="1.7722286058248767E-2"/>
        <n v="2.0084794565177169E-2"/>
        <n v="2.1707740521942048E-2"/>
        <n v="2.2487608122785607E-2"/>
        <n v="2.4720655370616802E-2"/>
        <n v="2.4962031814841905E-2"/>
        <n v="2.6992324605449165E-2"/>
        <n v="2.7408690707613557E-2"/>
        <n v="2.7433059085404329E-2"/>
        <n v="2.8551829910241622E-2"/>
        <n v="2.8653975431533502E-2"/>
        <n v="2.9757553968126838E-2"/>
        <n v="2.9896988350558529E-2"/>
        <n v="3.0042979375926933E-2"/>
        <n v="3.0465029241084934E-2"/>
        <n v="3.1832313983945107E-2"/>
        <n v="3.3045776650036017E-2"/>
        <n v="3.3066783870784371E-2"/>
        <n v="3.6074295920172271E-2"/>
        <n v="3.6217583291094965E-2"/>
        <n v="3.6308531854000702E-2"/>
        <n v="3.7256385232173589E-2"/>
        <n v="3.839950712918716E-2"/>
        <n v="3.9443680643088723E-2"/>
        <n v="3.9854534628520427E-2"/>
        <n v="4.0277438599997988E-2"/>
        <n v="4.0582004940633985E-2"/>
        <n v="4.2895576712039446E-2"/>
        <n v="4.3618422365626006E-2"/>
        <n v="4.6738972370137383E-2"/>
        <n v="4.8121394695991644E-2"/>
        <n v="4.8510201689946519E-2"/>
        <n v="4.8882776636063448E-2"/>
        <n v="4.8884227398721218E-2"/>
        <n v="4.9060617122115145E-2"/>
        <n v="4.9946546755647921E-2"/>
        <n v="5.1524332763315459E-2"/>
        <n v="5.2423652388105861E-2"/>
        <n v="5.2825532900540838E-2"/>
        <n v="5.3182610056630789E-2"/>
        <n v="5.4563060539783159E-2"/>
        <n v="5.4966916780228199E-2"/>
        <n v="5.8280280731794115E-2"/>
        <n v="5.9031999328740731E-2"/>
        <n v="5.9847754872902108E-2"/>
        <n v="6.2337359336863199E-2"/>
        <n v="6.5135004223751694E-2"/>
        <n v="6.5953642304401608E-2"/>
        <n v="6.7438849487427607E-2"/>
        <n v="6.748266944567026E-2"/>
        <n v="6.8376640806555061E-2"/>
        <n v="6.8489560780220407E-2"/>
        <n v="6.8915089713545624E-2"/>
        <n v="6.8935283582652482E-2"/>
        <n v="6.9835292686001138E-2"/>
        <n v="7.0434422701176572E-2"/>
        <n v="7.1215487137978137E-2"/>
        <n v="7.1966497722256856E-2"/>
        <n v="7.2208034949404393E-2"/>
        <n v="7.7230041457685972E-2"/>
        <n v="7.860170320429824E-2"/>
        <n v="7.8705439796828675E-2"/>
        <n v="7.9156452242980346E-2"/>
        <n v="7.9225035504163516E-2"/>
        <n v="8.0669474096566676E-2"/>
        <n v="8.0755420429334229E-2"/>
        <n v="8.170111031875768E-2"/>
        <n v="8.2548165758486322E-2"/>
        <n v="8.2596766391878643E-2"/>
        <n v="8.4817936228515051E-2"/>
        <n v="8.4823149139713325E-2"/>
        <n v="8.5244348271251755E-2"/>
        <n v="8.7639001164780961E-2"/>
        <n v="8.7699304694918989E-2"/>
        <n v="8.8570062377352696E-2"/>
        <n v="8.9221488546832428E-2"/>
        <n v="9.7585429443727126E-2"/>
        <n v="9.9096115422161304E-2"/>
        <n v="0.10009021334449322"/>
        <n v="0.1013193509701881"/>
        <n v="0.10145145675083257"/>
        <n v="0.10181041219701356"/>
        <n v="0.10185457455832039"/>
        <n v="0.10227381066501748"/>
        <n v="0.1028080230874019"/>
        <n v="0.10289513008192211"/>
        <n v="0.10293167866274988"/>
        <n v="0.10540500278963376"/>
        <n v="0.10543521994797103"/>
        <n v="0.10603867488033653"/>
        <n v="0.10755753356571003"/>
        <n v="0.11089128608010161"/>
        <n v="0.11174567070100005"/>
        <n v="0.11270701446947404"/>
        <n v="0.11368831389534763"/>
        <n v="0.1140960699939981"/>
        <n v="0.11469397262633066"/>
        <n v="0.11488331395693591"/>
        <n v="0.11548797507770089"/>
        <n v="0.11696590011751312"/>
        <n v="0.11705670173306414"/>
        <n v="0.11821307596245477"/>
        <n v="0.11880059246366537"/>
        <n v="0.11885050656658305"/>
        <n v="0.1197736419906037"/>
        <n v="0.12289282627787887"/>
        <n v="0.12327072979152391"/>
        <n v="0.1254862865093144"/>
        <n v="0.12663882413499777"/>
        <n v="0.12690084605209664"/>
        <n v="0.1277914714813462"/>
        <n v="0.12947957978799093"/>
        <n v="0.13128360734329028"/>
        <n v="0.13137865713062385"/>
        <n v="0.13219964363998032"/>
        <n v="0.13221476721439812"/>
        <n v="0.13303685187529118"/>
        <n v="0.13521485295780522"/>
        <n v="0.13644199508423116"/>
        <n v="0.13650103476133779"/>
        <n v="0.13655897440765494"/>
        <n v="0.1372409085100435"/>
        <n v="0.14106113212681748"/>
        <n v="0.14129486755720713"/>
        <n v="0.14491697633760281"/>
        <n v="0.14500776202298621"/>
        <n v="0.14572149696206044"/>
        <n v="0.14584281550792502"/>
        <n v="0.14601457877922114"/>
        <n v="0.14784280178124326"/>
        <n v="0.14893741634528235"/>
        <n v="0.14985904045096568"/>
        <n v="0.15144647922002"/>
        <n v="0.15183913092836065"/>
        <n v="0.15294575708119923"/>
        <n v="0.15394724987792593"/>
        <n v="0.1544804993591094"/>
        <n v="0.15478941816833425"/>
        <n v="0.15495821101663976"/>
        <n v="0.15512377894866827"/>
        <n v="0.15602761899474876"/>
        <n v="0.15616869674821177"/>
        <n v="0.15725245179304623"/>
        <n v="0.15818120150333898"/>
        <n v="0.15859741999867935"/>
        <n v="0.15911451531311999"/>
        <n v="0.15926487303151118"/>
        <n v="0.1592913892518654"/>
        <n v="0.16056252778179889"/>
        <n v="0.16317015266932744"/>
        <n v="0.16330098057512948"/>
        <n v="0.16694120543518765"/>
        <n v="0.1686920410743567"/>
        <n v="0.17200119098567385"/>
        <n v="0.1723472349055904"/>
        <n v="0.17397176522489671"/>
        <n v="0.17437454563608507"/>
        <n v="0.17614870410252931"/>
        <n v="0.17671628083193619"/>
        <n v="0.17755992494940198"/>
        <n v="0.17949564687403968"/>
        <n v="0.1827171425860748"/>
        <n v="0.18347093680620391"/>
        <n v="0.18430938744852865"/>
        <n v="0.18537220224287237"/>
        <n v="0.18653540529928697"/>
        <n v="0.18716465157873868"/>
        <n v="0.18765593539411912"/>
        <n v="0.1879802929269288"/>
        <n v="0.18921877522109121"/>
        <n v="0.18970292710402237"/>
        <n v="0.19106880989148156"/>
        <n v="0.19117882278134535"/>
        <n v="0.19225503121623994"/>
        <n v="0.19328811241982541"/>
        <n v="0.19354127196298315"/>
        <n v="0.19568573226295577"/>
        <n v="0.20029666879091901"/>
        <n v="0.20158708017308391"/>
        <n v="0.20213642427666578"/>
        <n v="0.20360290955868166"/>
        <n v="0.20437613784929476"/>
        <n v="0.20438133470185105"/>
        <n v="0.2079669556100851"/>
        <n v="0.21267657134861256"/>
        <n v="0.21309524889288095"/>
        <n v="0.21420081678494074"/>
        <n v="0.21468132347846047"/>
        <n v="0.21641747054060528"/>
        <n v="0.2170948406252905"/>
        <n v="0.220159058711281"/>
        <n v="0.2208089111925205"/>
        <n v="0.2209536540781547"/>
        <n v="0.22197531801048681"/>
        <n v="0.22279238694025733"/>
        <n v="0.22355064829164417"/>
        <n v="0.22552280385231599"/>
        <n v="0.2291022732225349"/>
        <n v="0.22955423927726115"/>
        <n v="0.22958984919329428"/>
        <n v="0.22983111850396792"/>
        <n v="0.23074757544757196"/>
        <n v="0.23130407872072811"/>
        <n v="0.23164961607898066"/>
        <n v="0.23443919774265715"/>
        <n v="0.23491193370121793"/>
        <n v="0.2354979025110413"/>
        <n v="0.23834081518064332"/>
        <n v="0.2410423308183417"/>
        <n v="0.24544701696960913"/>
        <n v="0.24555192861978387"/>
        <n v="0.24618851935293889"/>
        <n v="0.2474562185003264"/>
        <n v="0.24765334745153977"/>
        <n v="0.2489902500249086"/>
        <n v="0.24942115453879393"/>
        <n v="0.24949599920642734"/>
        <n v="0.24968126251829631"/>
        <n v="0.25019426049023658"/>
        <n v="0.25294619006545993"/>
        <n v="0.25430356883739763"/>
        <n v="0.2556883493231551"/>
        <n v="0.25673275049996924"/>
        <n v="0.25877431419126534"/>
        <n v="0.25909339179557489"/>
        <n v="0.25925098463758345"/>
        <n v="0.2600563555609427"/>
        <n v="0.26057759793006829"/>
        <n v="0.26340627903216518"/>
        <n v="0.26482485011898615"/>
        <n v="0.26500915988492163"/>
        <n v="0.26513072447779085"/>
        <n v="0.26652198449191283"/>
        <n v="0.26693561573454699"/>
        <n v="0.26728639630214479"/>
        <n v="0.26876097030489676"/>
        <n v="0.26876668841115092"/>
        <n v="0.26899632539824003"/>
        <n v="0.27129872356304341"/>
        <n v="0.27183483233600525"/>
        <n v="0.27312176356175943"/>
        <n v="0.27352200201798238"/>
        <n v="0.27536915109608195"/>
        <n v="0.27580303481887225"/>
        <n v="0.277561235517021"/>
        <n v="0.27756835948195224"/>
        <n v="0.27864606577918161"/>
        <n v="0.2787146709559658"/>
        <n v="0.27982600423027648"/>
        <n v="0.28120974851742953"/>
        <n v="0.28185553385603879"/>
        <n v="0.28317517702549672"/>
        <n v="0.28325557343086183"/>
        <n v="0.28369900877548682"/>
        <n v="0.28420477572045577"/>
        <n v="0.28522041534807369"/>
        <n v="0.28530552415531485"/>
        <n v="0.28580964173074547"/>
        <n v="0.28604793494704139"/>
        <n v="0.28736268279689603"/>
        <n v="0.28767609715720532"/>
        <n v="0.28852599857720662"/>
        <n v="0.28853465983780552"/>
        <n v="0.29043738667800789"/>
        <n v="0.29097379980383331"/>
        <n v="0.29242683440096651"/>
        <n v="0.29268535836058274"/>
        <n v="0.29525166677121994"/>
        <n v="0.295503282139287"/>
        <n v="0.29635081196650992"/>
        <n v="0.29831020021477039"/>
        <n v="0.3014921869273719"/>
        <n v="0.3015123023096633"/>
        <n v="0.30207032770860087"/>
        <n v="0.30246384711369301"/>
        <n v="0.30325312699101925"/>
        <n v="0.30332616559714676"/>
        <n v="0.30404871636184228"/>
        <n v="0.30418852207860292"/>
        <n v="0.30445012285745221"/>
        <n v="0.30479976241547507"/>
        <n v="0.30498281991565646"/>
        <n v="0.30604517973354334"/>
        <n v="0.30618277994900261"/>
        <n v="0.30713062317442302"/>
        <n v="0.30764624424378167"/>
        <n v="0.30952800319662843"/>
        <n v="0.31131315668434389"/>
        <n v="0.31294532105980055"/>
        <n v="0.31305815230225975"/>
        <n v="0.31354801056784615"/>
        <n v="0.31369872499286444"/>
        <n v="0.31410644507381835"/>
        <n v="0.31681523379069737"/>
        <n v="0.31735171697860409"/>
        <n v="0.31751015260409521"/>
        <n v="0.31867629820329979"/>
        <n v="0.31959697017511274"/>
        <n v="0.3207258852783037"/>
        <n v="0.32417933897029733"/>
        <n v="0.32567061746990111"/>
        <n v="0.32572725991375684"/>
        <n v="0.32730543188846378"/>
        <n v="0.33051308086492148"/>
        <n v="0.33065490756447635"/>
        <n v="0.33173827466977784"/>
        <n v="0.33174962507100142"/>
        <n v="0.33339087919035759"/>
        <n v="0.33378087123242894"/>
        <n v="0.33526693095366311"/>
        <n v="0.33638929882534319"/>
        <n v="0.33748610658630357"/>
        <n v="0.33808918682647598"/>
        <n v="0.33915104553534409"/>
        <n v="0.34003040838561455"/>
        <n v="0.3412544218266429"/>
        <n v="0.3418003995621523"/>
        <n v="0.3438211131525209"/>
        <n v="0.34399342408957506"/>
        <n v="0.34432702612369892"/>
        <n v="0.34467325824377826"/>
        <n v="0.34760899406582924"/>
        <n v="0.34775534380935952"/>
        <n v="0.34895610073590777"/>
        <n v="0.3513772553861535"/>
        <n v="0.35162324616279161"/>
        <n v="0.35315812700464883"/>
        <n v="0.35395090217629577"/>
        <n v="0.35400788032868191"/>
        <n v="0.35402909971093033"/>
        <n v="0.35501757076688223"/>
        <n v="0.35504207113818775"/>
        <n v="0.35554392530290879"/>
        <n v="0.35699100854773996"/>
        <n v="0.35741215579695096"/>
        <n v="0.35828546239244097"/>
        <n v="0.3583409418904514"/>
        <n v="0.36066969536901594"/>
        <n v="0.36137240665438708"/>
        <n v="0.36146374514905549"/>
        <n v="0.36180053392721928"/>
        <n v="0.36209589918506113"/>
        <n v="0.36303445141318214"/>
        <n v="0.36314349452489958"/>
        <n v="0.36363292419921545"/>
        <n v="0.36363932912279107"/>
        <n v="0.36772568873696232"/>
        <n v="0.36925278643631437"/>
        <n v="0.37322924334058732"/>
        <n v="0.37460265642098256"/>
        <n v="0.37464642097886441"/>
        <n v="0.3752091811512675"/>
        <n v="0.37706004279250638"/>
        <n v="0.37811890435560791"/>
        <n v="0.3805868333876849"/>
        <n v="0.38137073594928206"/>
        <n v="0.38229683298991762"/>
        <n v="0.38264034312508427"/>
        <n v="0.38291154301405517"/>
        <n v="0.38358328554293036"/>
        <n v="0.383913008487487"/>
        <n v="0.38461322820701727"/>
        <n v="0.38516939515412513"/>
        <n v="0.38584323628030581"/>
        <n v="0.3901218286692168"/>
        <n v="0.39031077929266711"/>
        <n v="0.39065452710648652"/>
        <n v="0.39081740756736788"/>
        <n v="0.39100994076174622"/>
        <n v="0.39243117280522016"/>
        <n v="0.39309929893054596"/>
        <n v="0.39579303146981382"/>
        <n v="0.39622643508759281"/>
        <n v="0.39663829725629002"/>
        <n v="0.3995088221389631"/>
        <n v="0.39999326782500566"/>
        <n v="0.40069278052316515"/>
        <n v="0.40126115403594731"/>
        <n v="0.40138838557033507"/>
        <n v="0.40304945504813827"/>
        <n v="0.40338168330798874"/>
        <n v="0.40379368408497951"/>
        <n v="0.40434200592522218"/>
        <n v="0.40486098381782742"/>
        <n v="0.40500567007638155"/>
        <n v="0.40591935908396798"/>
        <n v="0.40695067181538164"/>
        <n v="0.41036624554700207"/>
        <n v="0.41066150077030217"/>
        <n v="0.41066719688565512"/>
        <n v="0.41203104736201546"/>
        <n v="0.41256424146574461"/>
        <n v="0.4130133394945551"/>
        <n v="0.41357033313852865"/>
        <n v="0.41400806041324767"/>
        <n v="0.41497789038925281"/>
        <n v="0.41549613676162939"/>
        <n v="0.4156566366372213"/>
        <n v="0.41628602839370182"/>
        <n v="0.41644815031617577"/>
        <n v="0.41708338553254187"/>
        <n v="0.41819436900756179"/>
        <n v="0.41977648544773044"/>
        <n v="0.42108499790779597"/>
        <n v="0.42166253246506002"/>
        <n v="0.42215270754319534"/>
        <n v="0.42218212918215586"/>
        <n v="0.42389871537212986"/>
        <n v="0.42527518308326773"/>
        <n v="0.42538802168712531"/>
        <n v="0.42686285864763834"/>
        <n v="0.42821564672671164"/>
        <n v="0.42822718053798964"/>
        <n v="0.42860113317769949"/>
        <n v="0.43074662425347304"/>
        <n v="0.43336514962977463"/>
        <n v="0.43489923803085528"/>
        <n v="0.43527044668531539"/>
        <n v="0.43570776136154454"/>
        <n v="0.43607300637806745"/>
        <n v="0.43874214611437778"/>
        <n v="0.43988698663128722"/>
        <n v="0.44115318828559025"/>
        <n v="0.44131087027962712"/>
        <n v="0.44273839200031728"/>
        <n v="0.44379349151812253"/>
        <n v="0.4445533582062936"/>
        <n v="0.44731499569778577"/>
        <n v="0.44753188640043551"/>
        <n v="0.44766692699097022"/>
        <n v="0.44793751518864861"/>
        <n v="0.44956103966304062"/>
        <n v="0.45267016396670645"/>
        <n v="0.45279788253100184"/>
        <n v="0.45282097542589028"/>
        <n v="0.45503852853705157"/>
        <n v="0.4575648175385546"/>
        <n v="0.45914580698034768"/>
        <n v="0.46026544474765635"/>
        <n v="0.46115077261509185"/>
        <n v="0.46174531934187413"/>
        <n v="0.46398500801305254"/>
        <n v="0.46620967411252906"/>
        <n v="0.46788978307406504"/>
        <n v="0.46935214160897754"/>
        <n v="0.46946739082387623"/>
        <n v="0.4696559277100566"/>
        <n v="0.46981308232768104"/>
        <n v="0.47131772656712689"/>
        <n v="0.47182833280290887"/>
        <n v="0.47233278210119539"/>
        <n v="0.47260442559388893"/>
        <n v="0.4741143825832056"/>
        <n v="0.47414985176491936"/>
        <n v="0.47638413997049678"/>
        <n v="0.47682230510829032"/>
        <n v="0.47720259755704963"/>
        <n v="0.47746493170327764"/>
        <n v="0.47809909124153355"/>
        <n v="0.48408928499807757"/>
        <n v="0.48615573598656364"/>
        <n v="0.48668567007609054"/>
        <n v="0.48880080923606301"/>
        <n v="0.49007438345247079"/>
        <n v="0.49136372510530768"/>
        <n v="0.49240464967111575"/>
        <n v="0.49278105742607964"/>
        <n v="0.49346584862434933"/>
        <n v="0.49397018980184199"/>
        <n v="0.49601140066567079"/>
        <n v="0.49617126946182033"/>
        <n v="0.49700957284935154"/>
        <n v="0.49854840499415631"/>
        <n v="0.49923598513117362"/>
        <n v="0.49943835761007954"/>
        <n v="0.4995261317061126"/>
        <n v="0.50022697125571447"/>
        <n v="0.50049119939465037"/>
        <n v="0.50118197040747736"/>
        <n v="0.50256095862112293"/>
        <n v="0.50313373078169055"/>
        <n v="0.50333244686350298"/>
        <n v="0.50354258055280066"/>
        <n v="0.50494767399339391"/>
        <n v="0.50530029550219435"/>
        <n v="0.50591158534227565"/>
        <n v="0.50668794827815244"/>
        <n v="0.50687441864280225"/>
        <n v="0.5071007786084305"/>
        <n v="0.50727236354357508"/>
        <n v="0.51121480471013925"/>
        <n v="0.51439015407832256"/>
        <n v="0.51781966523315059"/>
        <n v="0.5187911509798927"/>
        <n v="0.51932780395191025"/>
        <n v="0.51948570043782216"/>
        <n v="0.51962608799255605"/>
        <n v="0.52063163912314858"/>
        <n v="0.52442982140242866"/>
        <n v="0.52467426459391298"/>
        <n v="0.52519675834229484"/>
        <n v="0.52561564938873695"/>
        <n v="0.52627276295079084"/>
        <n v="0.52792557161910536"/>
        <n v="0.5280825419642845"/>
        <n v="0.52937815214217643"/>
        <n v="0.53140042983260305"/>
        <n v="0.53244892039762193"/>
        <n v="0.53247859239339546"/>
        <n v="0.5325057834159127"/>
        <n v="0.53267801386049118"/>
        <n v="0.53409020021700404"/>
        <n v="0.53472883841866592"/>
        <n v="0.53504550379094473"/>
        <n v="0.53578278443794225"/>
        <n v="0.53591216102988204"/>
        <n v="0.53594763052324601"/>
        <n v="0.53655604103340271"/>
        <n v="0.53692209181294315"/>
        <n v="0.53731477890181878"/>
        <n v="0.53884253136560134"/>
        <n v="0.53895478930083907"/>
        <n v="0.54168372891856653"/>
        <n v="0.54178837542840363"/>
        <n v="0.54381572816174584"/>
        <n v="0.54429508422080242"/>
        <n v="0.54446547084301411"/>
        <n v="0.54592635614339757"/>
        <n v="0.54642631245556283"/>
        <n v="0.54879181365289598"/>
        <n v="0.5488164363771032"/>
        <n v="0.54953987485538169"/>
        <n v="0.55206912482098514"/>
        <n v="0.5522791005763521"/>
        <n v="0.55390496027567626"/>
        <n v="0.55442702973028402"/>
        <n v="0.55448925136099758"/>
        <n v="0.55508418389474445"/>
        <n v="0.55641131984080516"/>
        <n v="0.55766155517870319"/>
        <n v="0.56119969472470399"/>
        <n v="0.56185068976796004"/>
        <n v="0.56203206027958641"/>
        <n v="0.56296370097196302"/>
        <n v="0.56325481566427316"/>
        <n v="0.56361314733313672"/>
        <n v="0.56392232855770397"/>
        <n v="0.5640795569171918"/>
        <n v="0.56588068107598266"/>
        <n v="0.56753502107950382"/>
        <n v="0.56872147152060648"/>
        <n v="0.56994626371166268"/>
        <n v="0.57084585963248546"/>
        <n v="0.5721907313281045"/>
        <n v="0.57248670147286229"/>
        <n v="0.57482892051812096"/>
        <n v="0.57616280388053154"/>
        <n v="0.57755200682719021"/>
        <n v="0.57776824017414075"/>
        <n v="0.57790641531538067"/>
        <n v="0.57830860177333343"/>
        <n v="0.58015731132603099"/>
        <n v="0.58090502984032855"/>
        <n v="0.58584999439645613"/>
        <n v="0.58625656733573128"/>
        <n v="0.58699369366372345"/>
        <n v="0.5884486112805063"/>
        <n v="0.59066314961564947"/>
        <n v="0.59161555782208142"/>
        <n v="0.59197141167813139"/>
        <n v="0.59211749852635198"/>
        <n v="0.59214216779953177"/>
        <n v="0.5930635283297877"/>
        <n v="0.59396970605890775"/>
        <n v="0.59405917318385515"/>
        <n v="0.59547271118885658"/>
        <n v="0.5961096601224416"/>
        <n v="0.59657841736304951"/>
        <n v="0.59738077251253729"/>
        <n v="0.59870023579589837"/>
        <n v="0.59916971694410648"/>
        <n v="0.59988659710973602"/>
        <n v="0.59993136644855449"/>
        <n v="0.60048747090407173"/>
        <n v="0.60134932916202799"/>
        <n v="0.6031291896818296"/>
        <n v="0.60343649291393642"/>
        <n v="0.60469033878627565"/>
        <n v="0.60628657962138721"/>
        <n v="0.60694833264950876"/>
        <n v="0.60836569699854937"/>
        <n v="0.60920247217538037"/>
        <n v="0.60968645575645697"/>
        <n v="0.60976229050507313"/>
        <n v="0.61076908565610888"/>
        <n v="0.61105054604118991"/>
        <n v="0.61251664600891542"/>
        <n v="0.61279612867566646"/>
        <n v="0.61349036197919937"/>
        <n v="0.61366729812249277"/>
        <n v="0.61501032968648106"/>
        <n v="0.61579203599624521"/>
        <n v="0.61622723171774463"/>
        <n v="0.61709194311861104"/>
        <n v="0.61720769437402612"/>
        <n v="0.61731641207831633"/>
        <n v="0.62472640686386227"/>
        <n v="0.62483884797057454"/>
        <n v="0.62575555289451967"/>
        <n v="0.6263387926618218"/>
        <n v="0.62633910190111219"/>
        <n v="0.62716651861448014"/>
        <n v="0.62749316983503001"/>
        <n v="0.62924608055326403"/>
        <n v="0.62934631606874358"/>
        <n v="0.63029060429737904"/>
        <n v="0.63037582190794261"/>
        <n v="0.63181098671489699"/>
        <n v="0.63186009880848293"/>
        <n v="0.63306782247785831"/>
        <n v="0.63520875133201415"/>
        <n v="0.6354417266317226"/>
        <n v="0.63659278798467733"/>
        <n v="0.63666406568856626"/>
        <n v="0.64074396183406768"/>
        <n v="0.64407299189478984"/>
        <n v="0.6444097801598796"/>
        <n v="0.64446151788866846"/>
        <n v="0.64482565454070195"/>
        <n v="0.64627707816641311"/>
        <n v="0.6470368298801068"/>
        <n v="0.64770008762937281"/>
        <n v="0.64912168850153329"/>
        <n v="0.64934842909246049"/>
        <n v="0.65056227959480306"/>
        <n v="0.65059438419358773"/>
        <n v="0.65237921828895451"/>
        <n v="0.65633913274395317"/>
        <n v="0.65716539409823993"/>
        <n v="0.65819164437308042"/>
        <n v="0.65840458429579707"/>
        <n v="0.65915270268379833"/>
        <n v="0.65983104696493766"/>
        <n v="0.66137494301064592"/>
        <n v="0.66149557185006136"/>
        <n v="0.66178204998165213"/>
        <n v="0.66594034983830375"/>
        <n v="0.66820347798921254"/>
        <n v="0.66822886577587504"/>
        <n v="0.67441125903147403"/>
        <n v="0.6758996367519321"/>
        <n v="0.67620374828662255"/>
        <n v="0.67730165435555378"/>
        <n v="0.6783558408359539"/>
        <n v="0.67845018591105388"/>
        <n v="0.67991812483815672"/>
        <n v="0.68082912008213425"/>
        <n v="0.68143141191314094"/>
        <n v="0.68167516098269143"/>
        <n v="0.68275568074569815"/>
        <n v="0.68286452305740764"/>
        <n v="0.68465818502015396"/>
        <n v="0.68494172990327951"/>
        <n v="0.68603350582357048"/>
        <n v="0.68652641547494175"/>
        <n v="0.68781484572855223"/>
        <n v="0.68843549941398663"/>
        <n v="0.68866429118610084"/>
        <n v="0.69026866327887593"/>
        <n v="0.69101213421228913"/>
        <n v="0.69125620780917141"/>
        <n v="0.69544659761428596"/>
        <n v="0.69624405900606101"/>
        <n v="0.6989334589851729"/>
        <n v="0.69999471787096024"/>
        <n v="0.70254540820289846"/>
        <n v="0.70364976901512177"/>
        <n v="0.70370399730859146"/>
        <n v="0.7040797360079285"/>
        <n v="0.70464094189229232"/>
        <n v="0.70542978451156579"/>
        <n v="0.70621023929020099"/>
        <n v="0.70864015802794245"/>
        <n v="0.71301988673821282"/>
        <n v="0.71373886121487184"/>
        <n v="0.71427172257506011"/>
        <n v="0.71574996606077379"/>
        <n v="0.71678991418445459"/>
        <n v="0.71679111588471955"/>
        <n v="0.72078765278456081"/>
        <n v="0.72114557256574863"/>
        <n v="0.72123247849344152"/>
        <n v="0.72127751576871468"/>
        <n v="0.72141790365050873"/>
        <n v="0.72159881319637276"/>
        <n v="0.72198020471702651"/>
        <n v="0.72217558158021"/>
        <n v="0.7231780856762291"/>
        <n v="0.72420645306253273"/>
        <n v="0.7253863795007256"/>
        <n v="0.72565090246206787"/>
        <n v="0.72604692226575962"/>
        <n v="0.728499466989039"/>
        <n v="0.7306556174369494"/>
        <n v="0.73108002188833432"/>
        <n v="0.73298505921546497"/>
        <n v="0.73457706694201785"/>
        <n v="0.73595439307625277"/>
        <n v="0.736015265768031"/>
        <n v="0.73825285472464075"/>
        <n v="0.73960961576945761"/>
        <n v="0.73989501716334671"/>
        <n v="0.74137778619813288"/>
        <n v="0.74192071597801657"/>
        <n v="0.74300568649524634"/>
        <n v="0.74366557897721741"/>
        <n v="0.74409029049983622"/>
        <n v="0.74543630029523666"/>
        <n v="0.74628086421797568"/>
        <n v="0.74650639009182118"/>
        <n v="0.74740174513242452"/>
        <n v="0.74752161674488948"/>
        <n v="0.74755173335036185"/>
        <n v="0.74854443798227954"/>
        <n v="0.75085377490041716"/>
        <n v="0.75217761005610795"/>
        <n v="0.75274289345265499"/>
        <n v="0.75299269669642388"/>
        <n v="0.75303549271724779"/>
        <n v="0.75375268717054289"/>
        <n v="0.75385057805628786"/>
        <n v="0.75633140383327302"/>
        <n v="0.75646620088641892"/>
        <n v="0.75779807535425259"/>
        <n v="0.75816856588957804"/>
        <n v="0.75827167434552378"/>
        <n v="0.7603618290366978"/>
        <n v="0.76203311179840538"/>
        <n v="0.76339759182899614"/>
        <n v="0.76432863672546514"/>
        <n v="0.76457628965796165"/>
        <n v="0.76457784283079544"/>
        <n v="0.76525895165343827"/>
        <n v="0.76583435819789258"/>
        <n v="0.76646574035786474"/>
        <n v="0.76832047021743843"/>
        <n v="0.76942027668653146"/>
        <n v="0.7729831837256842"/>
        <n v="0.77348489924674668"/>
        <n v="0.7745024838650244"/>
        <n v="0.7749992911002056"/>
        <n v="0.77500821318609403"/>
        <n v="0.77609748874179818"/>
        <n v="0.77717137128225233"/>
        <n v="0.77777996312761144"/>
        <n v="0.77842727632178788"/>
        <n v="0.77957584291172666"/>
        <n v="0.78020053922000665"/>
        <n v="0.78081931855036091"/>
        <n v="0.78174234444830015"/>
        <n v="0.78209747497424997"/>
        <n v="0.78420952908056574"/>
        <n v="0.7842506205743176"/>
        <n v="0.7846022649176374"/>
        <n v="0.78764776629167144"/>
        <n v="0.78806251973636265"/>
        <n v="0.78904218955546734"/>
        <n v="0.78925036083673716"/>
        <n v="0.78933832351013233"/>
        <n v="0.79167041637138857"/>
        <n v="0.79186518716160015"/>
        <n v="0.79341094046125082"/>
        <n v="0.79718518097186997"/>
        <n v="0.79850390846864783"/>
        <n v="0.79968810601468798"/>
        <n v="0.80058218954551674"/>
        <n v="0.80125692798626247"/>
        <n v="0.80169452028596844"/>
        <n v="0.8023766782216144"/>
        <n v="0.80255909636031775"/>
        <n v="0.80331980052909135"/>
        <n v="0.80441830934829706"/>
        <n v="0.80714875982058087"/>
        <n v="0.80798486904879541"/>
        <n v="0.80876006247482668"/>
        <n v="0.80924065555443025"/>
        <n v="0.81077948254402366"/>
        <n v="0.81129175583361723"/>
        <n v="0.81129301609135651"/>
        <n v="0.81167363483436961"/>
        <n v="0.81198751418138682"/>
        <n v="0.81276297308187839"/>
        <n v="0.81419764666418604"/>
        <n v="0.81428864413107216"/>
        <n v="0.81437130273450953"/>
        <n v="0.81444869890955429"/>
        <n v="0.81562829404567228"/>
        <n v="0.81610867212524885"/>
        <n v="0.81663084843898837"/>
        <n v="0.81689971349223189"/>
        <n v="0.81779954053632697"/>
        <n v="0.81873418500721007"/>
        <n v="0.81990918487021502"/>
        <n v="0.82110775563128191"/>
        <n v="0.82182015361744076"/>
        <n v="0.82197403600484797"/>
        <n v="0.82304318418041222"/>
        <n v="0.82421768662927697"/>
        <n v="0.8253909398280691"/>
        <n v="0.82582441662251749"/>
        <n v="0.8271568175092241"/>
        <n v="0.82727175564506306"/>
        <n v="0.82739846719747745"/>
        <n v="0.82750333987992075"/>
        <n v="0.83055857413504519"/>
        <n v="0.8307732575081388"/>
        <n v="0.83099072728436885"/>
        <n v="0.83220885330449046"/>
        <n v="0.83222387821944732"/>
        <n v="0.83282346350094272"/>
        <n v="0.83419628905833121"/>
        <n v="0.83768828288820663"/>
        <n v="0.84094995532700478"/>
        <n v="0.84126337991801081"/>
        <n v="0.84248124678107117"/>
        <n v="0.84267990551708449"/>
        <n v="0.8434140503560057"/>
        <n v="0.8453054806677911"/>
        <n v="0.84570677430553198"/>
        <n v="0.84649933294023882"/>
        <n v="0.84732718053127054"/>
        <n v="0.84839518295657723"/>
        <n v="0.85100254558469746"/>
        <n v="0.85159574274890981"/>
        <n v="0.85208839705309458"/>
        <n v="0.85565715960932309"/>
        <n v="0.85690670531934021"/>
        <n v="0.85820465997363682"/>
        <n v="0.85994361948323461"/>
        <n v="0.8610117328434379"/>
        <n v="0.86138007321177246"/>
        <n v="0.86149144924524035"/>
        <n v="0.86304086073800923"/>
        <n v="0.86341233529973926"/>
        <n v="0.86420821261623715"/>
        <n v="0.8650850837566042"/>
        <n v="0.86511178591932403"/>
        <n v="0.86781038404655453"/>
        <n v="0.8683382147027684"/>
        <n v="0.87150625861128261"/>
        <n v="0.87154028954971285"/>
        <n v="0.8723135783206617"/>
        <n v="0.87280777014459177"/>
        <n v="0.87377002720328101"/>
        <n v="0.87380826444528659"/>
        <n v="0.87394095600425659"/>
        <n v="0.87482967039360804"/>
        <n v="0.87651033138484213"/>
        <n v="0.87658581335897134"/>
        <n v="0.87714648429179132"/>
        <n v="0.87857584213464501"/>
        <n v="0.87927481563243004"/>
        <n v="0.88168362705947445"/>
        <n v="0.88209667077525211"/>
        <n v="0.88398653476509592"/>
        <n v="0.88432470766952309"/>
        <n v="0.88445476889357344"/>
        <n v="0.8847459573954175"/>
        <n v="0.88507672610286914"/>
        <n v="0.88679217742728789"/>
        <n v="0.88735820417184941"/>
        <n v="0.88753233570352597"/>
        <n v="0.88827234568103242"/>
        <n v="0.8885023196651054"/>
        <n v="0.89082009745701496"/>
        <n v="0.89273017381350894"/>
        <n v="0.89311994362634572"/>
        <n v="0.89577934079627908"/>
        <n v="0.8969334265941481"/>
        <n v="0.89766273721897749"/>
        <n v="0.89783009237946765"/>
        <n v="0.89846306638385065"/>
        <n v="0.89922886132249835"/>
        <n v="0.90419841156406056"/>
        <n v="0.90588242561943488"/>
        <n v="0.90734065358932636"/>
        <n v="0.90768531444150824"/>
        <n v="0.90769658259465924"/>
        <n v="0.90815472211843451"/>
        <n v="0.91003251312705546"/>
        <n v="0.91095514860299864"/>
        <n v="0.912027397692311"/>
        <n v="0.91371550918707189"/>
        <n v="0.91378545823559476"/>
        <n v="0.91434280883499341"/>
        <n v="0.91521674770702155"/>
        <n v="0.91689106242014484"/>
        <n v="0.91822472313440173"/>
        <n v="0.91880429016965559"/>
        <n v="0.91912116432182112"/>
        <n v="0.91920419840173917"/>
        <n v="0.91956314035494191"/>
        <n v="0.92160686146945225"/>
        <n v="0.92396811728765726"/>
        <n v="0.92419613741131323"/>
        <n v="0.92464489026863816"/>
        <n v="0.92471400138729931"/>
        <n v="0.92796658591981918"/>
        <n v="0.92798046356253494"/>
        <n v="0.92918809054374352"/>
        <n v="0.92920354135011507"/>
        <n v="0.93041018370560336"/>
        <n v="0.93312789840350441"/>
        <n v="0.93467798691469561"/>
        <n v="0.93580619705530377"/>
        <n v="0.93879410852980627"/>
        <n v="0.93885305870855895"/>
        <n v="0.93906281942557812"/>
        <n v="0.94105650900657256"/>
        <n v="0.94218503989963498"/>
        <n v="0.94254600932363353"/>
        <n v="0.94317012520921539"/>
        <n v="0.94331443202699261"/>
        <n v="0.94469957964279194"/>
        <n v="0.94507928400377506"/>
        <n v="0.94600548568423082"/>
        <n v="0.94649992646061998"/>
        <n v="0.94700008727669893"/>
        <n v="0.94725660659063815"/>
        <n v="0.948928661955868"/>
        <n v="0.94937001413796018"/>
        <n v="0.94990159643696426"/>
        <n v="0.95038776744316456"/>
        <n v="0.95102196692969188"/>
        <n v="0.95226153983723794"/>
        <n v="0.95248011532575405"/>
        <n v="0.9524846938786844"/>
        <n v="0.95261179244209671"/>
        <n v="0.9527189129906769"/>
        <n v="0.95347709218333521"/>
        <n v="0.95551471802008614"/>
        <n v="0.95614483268093342"/>
        <n v="0.95635466544364289"/>
        <n v="0.95686270617363944"/>
        <n v="0.9588514940673819"/>
        <n v="0.95961542556309809"/>
        <n v="0.96111320296607017"/>
        <n v="0.96169249252532052"/>
        <n v="0.96427003817716994"/>
        <n v="0.9647629442540987"/>
        <n v="0.96621861604423032"/>
        <n v="0.96713496158956669"/>
        <n v="0.96844222043445427"/>
        <n v="0.97005923567334784"/>
        <n v="0.97036745431803484"/>
        <n v="0.97122056285942593"/>
        <n v="0.97183661888029516"/>
        <n v="0.97427718861754953"/>
        <n v="0.97648535701645101"/>
        <n v="0.97811685938121606"/>
        <n v="0.97943017571251134"/>
        <n v="0.98108984160168589"/>
        <n v="0.98259553448262726"/>
        <n v="0.98434428193148682"/>
        <n v="0.98468508139569155"/>
        <n v="0.98655233057824065"/>
        <n v="0.98707667568771917"/>
        <n v="0.98724500887360034"/>
        <n v="0.98986924464288417"/>
        <n v="0.99016930690420069"/>
        <n v="0.99141467210166268"/>
        <n v="0.99142199390845798"/>
        <n v="0.99174594510176917"/>
        <n v="0.99286544603788363"/>
        <n v="0.9929537254064138"/>
        <n v="0.99340331336097509"/>
        <n v="0.99476268438301629"/>
        <n v="0.99601791716850585"/>
        <n v="0.99700944948681736"/>
        <n v="0.9971628493375353"/>
        <n v="0.9996841664802556"/>
      </sharedItems>
      <fieldGroup base="0">
        <rangePr autoStart="0" startNum="0" endNum="0.9996841664802556" groupInterval="2.5000000000000001E-2"/>
        <groupItems count="42">
          <s v="&lt;0"/>
          <s v="0-0.025"/>
          <s v="0.025-0.05"/>
          <s v="0.05-0.075"/>
          <s v="0.075-0.1"/>
          <s v="0.1-0.125"/>
          <s v="0.125-0.15"/>
          <s v="0.15-0.175"/>
          <s v="0.175-0.2"/>
          <s v="0.2-0.225"/>
          <s v="0.225-0.25"/>
          <s v="0.25-0.275"/>
          <s v="0.275-0.3"/>
          <s v="0.3-0.325"/>
          <s v="0.325-0.35"/>
          <s v="0.35-0.375"/>
          <s v="0.375-0.4"/>
          <s v="0.4-0.425"/>
          <s v="0.425-0.45"/>
          <s v="0.45-0.475"/>
          <s v="0.475-0.5"/>
          <s v="0.5-0.525"/>
          <s v="0.525-0.55"/>
          <s v="0.55-0.575"/>
          <s v="0.575-0.6"/>
          <s v="0.6-0.625"/>
          <s v="0.625-0.65"/>
          <s v="0.65-0.675"/>
          <s v="0.675-0.7"/>
          <s v="0.7-0.725"/>
          <s v="0.725-0.75"/>
          <s v="0.75-0.775"/>
          <s v="0.775-0.8"/>
          <s v="0.8-0.825"/>
          <s v="0.825-0.85"/>
          <s v="0.85-0.875"/>
          <s v="0.875-0.9"/>
          <s v="0.9-0.925"/>
          <s v="0.925-0.95"/>
          <s v="0.95-0.975"/>
          <s v="0.975-1"/>
          <s v="&gt;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x v="0"/>
    <n v="6.6487113787926404"/>
  </r>
  <r>
    <x v="0"/>
    <n v="2.4862409145625959"/>
  </r>
  <r>
    <x v="0"/>
    <n v="4.0171454199108778"/>
  </r>
  <r>
    <x v="1"/>
    <n v="4.6725031281261034"/>
  </r>
  <r>
    <x v="1"/>
    <n v="2.3136279081834572"/>
  </r>
  <r>
    <x v="1"/>
    <n v="2.029536899363372"/>
  </r>
  <r>
    <x v="1"/>
    <n v="4.3901297274321021"/>
  </r>
  <r>
    <x v="1"/>
    <n v="1.5783314415930993"/>
  </r>
  <r>
    <x v="1"/>
    <n v="3.4613554063021921"/>
  </r>
  <r>
    <x v="1"/>
    <n v="7.7107297548954659"/>
  </r>
  <r>
    <x v="2"/>
    <n v="5.0636128314929003"/>
  </r>
  <r>
    <x v="2"/>
    <n v="7.5400211348607229"/>
  </r>
  <r>
    <x v="2"/>
    <n v="3.0642304210198925"/>
  </r>
  <r>
    <x v="2"/>
    <n v="8.2086927702195922"/>
  </r>
  <r>
    <x v="2"/>
    <n v="7.931140985549658"/>
  </r>
  <r>
    <x v="2"/>
    <n v="7.0133031825335861"/>
  </r>
  <r>
    <x v="2"/>
    <n v="2.9328555741620628"/>
  </r>
  <r>
    <x v="2"/>
    <n v="4.4697570227301249"/>
  </r>
  <r>
    <x v="2"/>
    <n v="4.5596969290445024"/>
  </r>
  <r>
    <x v="2"/>
    <n v="8.3807189528073849"/>
  </r>
  <r>
    <x v="2"/>
    <n v="3.9359562680537419"/>
  </r>
  <r>
    <x v="3"/>
    <n v="4.4206044543637626"/>
  </r>
  <r>
    <x v="3"/>
    <n v="9.2460333821961544"/>
  </r>
  <r>
    <x v="3"/>
    <n v="4.8662769959961656"/>
  </r>
  <r>
    <x v="3"/>
    <n v="9.380493154538371"/>
  </r>
  <r>
    <x v="3"/>
    <n v="6.8397240163401181"/>
  </r>
  <r>
    <x v="3"/>
    <n v="9.1097360919658446"/>
  </r>
  <r>
    <x v="3"/>
    <n v="7.2530568090751268"/>
  </r>
  <r>
    <x v="3"/>
    <n v="5.3091477049947349"/>
  </r>
  <r>
    <x v="3"/>
    <n v="3.1554946807485784"/>
  </r>
  <r>
    <x v="3"/>
    <n v="4.8653194916046125"/>
  </r>
  <r>
    <x v="3"/>
    <n v="7.8269381108981673"/>
  </r>
  <r>
    <x v="3"/>
    <n v="5.8518609193076587"/>
  </r>
  <r>
    <x v="3"/>
    <n v="4.3930716898999087"/>
  </r>
  <r>
    <x v="3"/>
    <n v="3.8584362449610907"/>
  </r>
  <r>
    <x v="4"/>
    <n v="10.092214861773265"/>
  </r>
  <r>
    <x v="4"/>
    <n v="7.1247635736746062"/>
  </r>
  <r>
    <x v="4"/>
    <n v="8.5882378685600962"/>
  </r>
  <r>
    <x v="4"/>
    <n v="10.081721142634269"/>
  </r>
  <r>
    <x v="4"/>
    <n v="6.9325930615077622"/>
  </r>
  <r>
    <x v="4"/>
    <n v="5.0739370567840396"/>
  </r>
  <r>
    <x v="4"/>
    <n v="4.2411891268471411"/>
  </r>
  <r>
    <x v="4"/>
    <n v="8.3384492616302239"/>
  </r>
  <r>
    <x v="4"/>
    <n v="8.5374468979430276"/>
  </r>
  <r>
    <x v="4"/>
    <n v="9.2412543682299564"/>
  </r>
  <r>
    <x v="4"/>
    <n v="5.5443848772152569"/>
  </r>
  <r>
    <x v="4"/>
    <n v="10.598251495645883"/>
  </r>
  <r>
    <x v="4"/>
    <n v="6.8203143593989211"/>
  </r>
  <r>
    <x v="4"/>
    <n v="4.8665000302405401"/>
  </r>
  <r>
    <x v="4"/>
    <n v="5.4528551386922093"/>
  </r>
  <r>
    <x v="5"/>
    <n v="5.3370021470665172"/>
  </r>
  <r>
    <x v="5"/>
    <n v="6.1532110065320795"/>
  </r>
  <r>
    <x v="5"/>
    <n v="7.6858233716968991"/>
  </r>
  <r>
    <x v="5"/>
    <n v="5.9135519805435308"/>
  </r>
  <r>
    <x v="5"/>
    <n v="10.792764647540576"/>
  </r>
  <r>
    <x v="5"/>
    <n v="5.8218545664637125"/>
  </r>
  <r>
    <x v="5"/>
    <n v="7.8729366284964719"/>
  </r>
  <r>
    <x v="5"/>
    <n v="8.0039848952669619"/>
  </r>
  <r>
    <x v="5"/>
    <n v="11.561404286076565"/>
  </r>
  <r>
    <x v="5"/>
    <n v="10.469682517163619"/>
  </r>
  <r>
    <x v="5"/>
    <n v="9.02844139351145"/>
  </r>
  <r>
    <x v="5"/>
    <n v="8.7537079419708377"/>
  </r>
  <r>
    <x v="5"/>
    <n v="8.1970118932160325"/>
  </r>
  <r>
    <x v="5"/>
    <n v="11.233064389631387"/>
  </r>
  <r>
    <x v="5"/>
    <n v="10.695696767366298"/>
  </r>
  <r>
    <x v="6"/>
    <n v="8.2577742784958659"/>
  </r>
  <r>
    <x v="6"/>
    <n v="9.5673956309962858"/>
  </r>
  <r>
    <x v="6"/>
    <n v="12.556009711258499"/>
  </r>
  <r>
    <x v="6"/>
    <n v="9.0975628094590277"/>
  </r>
  <r>
    <x v="6"/>
    <n v="10.931244606699751"/>
  </r>
  <r>
    <x v="6"/>
    <n v="9.3134189066165938"/>
  </r>
  <r>
    <x v="6"/>
    <n v="9.1223043579087779"/>
  </r>
  <r>
    <x v="6"/>
    <n v="11.652623805074086"/>
  </r>
  <r>
    <x v="6"/>
    <n v="11.582089068625692"/>
  </r>
  <r>
    <x v="6"/>
    <n v="9.0758324649979176"/>
  </r>
  <r>
    <x v="6"/>
    <n v="12.947119897792771"/>
  </r>
  <r>
    <x v="6"/>
    <n v="11.411300984749182"/>
  </r>
  <r>
    <x v="6"/>
    <n v="6.1773043958604736"/>
  </r>
  <r>
    <x v="6"/>
    <n v="6.3575173158816787"/>
  </r>
  <r>
    <x v="7"/>
    <n v="11.516197421409714"/>
  </r>
  <r>
    <x v="7"/>
    <n v="13.63756934641733"/>
  </r>
  <r>
    <x v="7"/>
    <n v="13.534962616792342"/>
  </r>
  <r>
    <x v="7"/>
    <n v="8.8266856423944322"/>
  </r>
  <r>
    <x v="7"/>
    <n v="10.739494948100331"/>
  </r>
  <r>
    <x v="7"/>
    <n v="11.476915476398986"/>
  </r>
  <r>
    <x v="7"/>
    <n v="7.4261697706724323"/>
  </r>
  <r>
    <x v="7"/>
    <n v="11.10566357638271"/>
  </r>
  <r>
    <x v="7"/>
    <n v="8.0628443398550971"/>
  </r>
  <r>
    <x v="7"/>
    <n v="8.6084177738777612"/>
  </r>
  <r>
    <x v="7"/>
    <n v="11.427924352763831"/>
  </r>
  <r>
    <x v="8"/>
    <n v="14.345054027629967"/>
  </r>
  <r>
    <x v="8"/>
    <n v="8.7223660188219352"/>
  </r>
  <r>
    <x v="8"/>
    <n v="14.272390354486941"/>
  </r>
  <r>
    <x v="8"/>
    <n v="13.87784577888935"/>
  </r>
  <r>
    <x v="8"/>
    <n v="14.421705633988472"/>
  </r>
  <r>
    <x v="8"/>
    <n v="11.924257278914681"/>
  </r>
  <r>
    <x v="8"/>
    <n v="12.393433258759778"/>
  </r>
  <r>
    <x v="9"/>
    <n v="10.65069055049443"/>
  </r>
  <r>
    <x v="9"/>
    <n v="14.742672852565519"/>
  </r>
  <r>
    <x v="9"/>
    <n v="11.8999251051463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  <r>
    <x v="771"/>
  </r>
  <r>
    <x v="772"/>
  </r>
  <r>
    <x v="773"/>
  </r>
  <r>
    <x v="774"/>
  </r>
  <r>
    <x v="775"/>
  </r>
  <r>
    <x v="776"/>
  </r>
  <r>
    <x v="777"/>
  </r>
  <r>
    <x v="778"/>
  </r>
  <r>
    <x v="779"/>
  </r>
  <r>
    <x v="780"/>
  </r>
  <r>
    <x v="781"/>
  </r>
  <r>
    <x v="782"/>
  </r>
  <r>
    <x v="783"/>
  </r>
  <r>
    <x v="784"/>
  </r>
  <r>
    <x v="785"/>
  </r>
  <r>
    <x v="786"/>
  </r>
  <r>
    <x v="787"/>
  </r>
  <r>
    <x v="788"/>
  </r>
  <r>
    <x v="789"/>
  </r>
  <r>
    <x v="790"/>
  </r>
  <r>
    <x v="791"/>
  </r>
  <r>
    <x v="792"/>
  </r>
  <r>
    <x v="793"/>
  </r>
  <r>
    <x v="794"/>
  </r>
  <r>
    <x v="795"/>
  </r>
  <r>
    <x v="796"/>
  </r>
  <r>
    <x v="797"/>
  </r>
  <r>
    <x v="798"/>
  </r>
  <r>
    <x v="799"/>
  </r>
  <r>
    <x v="800"/>
  </r>
  <r>
    <x v="801"/>
  </r>
  <r>
    <x v="802"/>
  </r>
  <r>
    <x v="803"/>
  </r>
  <r>
    <x v="804"/>
  </r>
  <r>
    <x v="805"/>
  </r>
  <r>
    <x v="806"/>
  </r>
  <r>
    <x v="807"/>
  </r>
  <r>
    <x v="808"/>
  </r>
  <r>
    <x v="809"/>
  </r>
  <r>
    <x v="810"/>
  </r>
  <r>
    <x v="811"/>
  </r>
  <r>
    <x v="812"/>
  </r>
  <r>
    <x v="813"/>
  </r>
  <r>
    <x v="814"/>
  </r>
  <r>
    <x v="815"/>
  </r>
  <r>
    <x v="816"/>
  </r>
  <r>
    <x v="817"/>
  </r>
  <r>
    <x v="818"/>
  </r>
  <r>
    <x v="819"/>
  </r>
  <r>
    <x v="820"/>
  </r>
  <r>
    <x v="821"/>
  </r>
  <r>
    <x v="822"/>
  </r>
  <r>
    <x v="823"/>
  </r>
  <r>
    <x v="824"/>
  </r>
  <r>
    <x v="825"/>
  </r>
  <r>
    <x v="826"/>
  </r>
  <r>
    <x v="827"/>
  </r>
  <r>
    <x v="828"/>
  </r>
  <r>
    <x v="829"/>
  </r>
  <r>
    <x v="830"/>
  </r>
  <r>
    <x v="831"/>
  </r>
  <r>
    <x v="832"/>
  </r>
  <r>
    <x v="833"/>
  </r>
  <r>
    <x v="834"/>
  </r>
  <r>
    <x v="835"/>
  </r>
  <r>
    <x v="836"/>
  </r>
  <r>
    <x v="837"/>
  </r>
  <r>
    <x v="838"/>
  </r>
  <r>
    <x v="839"/>
  </r>
  <r>
    <x v="840"/>
  </r>
  <r>
    <x v="841"/>
  </r>
  <r>
    <x v="842"/>
  </r>
  <r>
    <x v="843"/>
  </r>
  <r>
    <x v="844"/>
  </r>
  <r>
    <x v="845"/>
  </r>
  <r>
    <x v="846"/>
  </r>
  <r>
    <x v="847"/>
  </r>
  <r>
    <x v="848"/>
  </r>
  <r>
    <x v="849"/>
  </r>
  <r>
    <x v="850"/>
  </r>
  <r>
    <x v="851"/>
  </r>
  <r>
    <x v="852"/>
  </r>
  <r>
    <x v="853"/>
  </r>
  <r>
    <x v="854"/>
  </r>
  <r>
    <x v="855"/>
  </r>
  <r>
    <x v="856"/>
  </r>
  <r>
    <x v="857"/>
  </r>
  <r>
    <x v="858"/>
  </r>
  <r>
    <x v="859"/>
  </r>
  <r>
    <x v="860"/>
  </r>
  <r>
    <x v="861"/>
  </r>
  <r>
    <x v="862"/>
  </r>
  <r>
    <x v="863"/>
  </r>
  <r>
    <x v="864"/>
  </r>
  <r>
    <x v="865"/>
  </r>
  <r>
    <x v="866"/>
  </r>
  <r>
    <x v="867"/>
  </r>
  <r>
    <x v="868"/>
  </r>
  <r>
    <x v="869"/>
  </r>
  <r>
    <x v="870"/>
  </r>
  <r>
    <x v="871"/>
  </r>
  <r>
    <x v="872"/>
  </r>
  <r>
    <x v="873"/>
  </r>
  <r>
    <x v="874"/>
  </r>
  <r>
    <x v="875"/>
  </r>
  <r>
    <x v="876"/>
  </r>
  <r>
    <x v="877"/>
  </r>
  <r>
    <x v="878"/>
  </r>
  <r>
    <x v="879"/>
  </r>
  <r>
    <x v="880"/>
  </r>
  <r>
    <x v="881"/>
  </r>
  <r>
    <x v="882"/>
  </r>
  <r>
    <x v="883"/>
  </r>
  <r>
    <x v="884"/>
  </r>
  <r>
    <x v="885"/>
  </r>
  <r>
    <x v="886"/>
  </r>
  <r>
    <x v="887"/>
  </r>
  <r>
    <x v="888"/>
  </r>
  <r>
    <x v="889"/>
  </r>
  <r>
    <x v="890"/>
  </r>
  <r>
    <x v="891"/>
  </r>
  <r>
    <x v="892"/>
  </r>
  <r>
    <x v="893"/>
  </r>
  <r>
    <x v="894"/>
  </r>
  <r>
    <x v="895"/>
  </r>
  <r>
    <x v="896"/>
  </r>
  <r>
    <x v="897"/>
  </r>
  <r>
    <x v="898"/>
  </r>
  <r>
    <x v="899"/>
  </r>
  <r>
    <x v="900"/>
  </r>
  <r>
    <x v="901"/>
  </r>
  <r>
    <x v="902"/>
  </r>
  <r>
    <x v="903"/>
  </r>
  <r>
    <x v="904"/>
  </r>
  <r>
    <x v="905"/>
  </r>
  <r>
    <x v="906"/>
  </r>
  <r>
    <x v="907"/>
  </r>
  <r>
    <x v="908"/>
  </r>
  <r>
    <x v="909"/>
  </r>
  <r>
    <x v="910"/>
  </r>
  <r>
    <x v="911"/>
  </r>
  <r>
    <x v="912"/>
  </r>
  <r>
    <x v="913"/>
  </r>
  <r>
    <x v="914"/>
  </r>
  <r>
    <x v="915"/>
  </r>
  <r>
    <x v="916"/>
  </r>
  <r>
    <x v="917"/>
  </r>
  <r>
    <x v="918"/>
  </r>
  <r>
    <x v="919"/>
  </r>
  <r>
    <x v="920"/>
  </r>
  <r>
    <x v="921"/>
  </r>
  <r>
    <x v="922"/>
  </r>
  <r>
    <x v="923"/>
  </r>
  <r>
    <x v="924"/>
  </r>
  <r>
    <x v="925"/>
  </r>
  <r>
    <x v="926"/>
  </r>
  <r>
    <x v="927"/>
  </r>
  <r>
    <x v="928"/>
  </r>
  <r>
    <x v="929"/>
  </r>
  <r>
    <x v="930"/>
  </r>
  <r>
    <x v="931"/>
  </r>
  <r>
    <x v="932"/>
  </r>
  <r>
    <x v="933"/>
  </r>
  <r>
    <x v="934"/>
  </r>
  <r>
    <x v="935"/>
  </r>
  <r>
    <x v="936"/>
  </r>
  <r>
    <x v="937"/>
  </r>
  <r>
    <x v="938"/>
  </r>
  <r>
    <x v="939"/>
  </r>
  <r>
    <x v="940"/>
  </r>
  <r>
    <x v="941"/>
  </r>
  <r>
    <x v="942"/>
  </r>
  <r>
    <x v="943"/>
  </r>
  <r>
    <x v="944"/>
  </r>
  <r>
    <x v="945"/>
  </r>
  <r>
    <x v="946"/>
  </r>
  <r>
    <x v="947"/>
  </r>
  <r>
    <x v="948"/>
  </r>
  <r>
    <x v="949"/>
  </r>
  <r>
    <x v="950"/>
  </r>
  <r>
    <x v="951"/>
  </r>
  <r>
    <x v="952"/>
  </r>
  <r>
    <x v="953"/>
  </r>
  <r>
    <x v="954"/>
  </r>
  <r>
    <x v="955"/>
  </r>
  <r>
    <x v="956"/>
  </r>
  <r>
    <x v="957"/>
  </r>
  <r>
    <x v="958"/>
  </r>
  <r>
    <x v="959"/>
  </r>
  <r>
    <x v="960"/>
  </r>
  <r>
    <x v="961"/>
  </r>
  <r>
    <x v="962"/>
  </r>
  <r>
    <x v="963"/>
  </r>
  <r>
    <x v="964"/>
  </r>
  <r>
    <x v="965"/>
  </r>
  <r>
    <x v="966"/>
  </r>
  <r>
    <x v="967"/>
  </r>
  <r>
    <x v="968"/>
  </r>
  <r>
    <x v="969"/>
  </r>
  <r>
    <x v="970"/>
  </r>
  <r>
    <x v="971"/>
  </r>
  <r>
    <x v="972"/>
  </r>
  <r>
    <x v="973"/>
  </r>
  <r>
    <x v="974"/>
  </r>
  <r>
    <x v="975"/>
  </r>
  <r>
    <x v="976"/>
  </r>
  <r>
    <x v="977"/>
  </r>
  <r>
    <x v="978"/>
  </r>
  <r>
    <x v="979"/>
  </r>
  <r>
    <x v="980"/>
  </r>
  <r>
    <x v="981"/>
  </r>
  <r>
    <x v="982"/>
  </r>
  <r>
    <x v="983"/>
  </r>
  <r>
    <x v="984"/>
  </r>
  <r>
    <x v="985"/>
  </r>
  <r>
    <x v="986"/>
  </r>
  <r>
    <x v="987"/>
  </r>
  <r>
    <x v="988"/>
  </r>
  <r>
    <x v="989"/>
  </r>
  <r>
    <x v="990"/>
  </r>
  <r>
    <x v="991"/>
  </r>
  <r>
    <x v="992"/>
  </r>
  <r>
    <x v="993"/>
  </r>
  <r>
    <x v="994"/>
  </r>
  <r>
    <x v="995"/>
  </r>
  <r>
    <x v="996"/>
  </r>
  <r>
    <x v="997"/>
  </r>
  <r>
    <x v="998"/>
  </r>
  <r>
    <x v="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  <r>
    <x v="771"/>
  </r>
  <r>
    <x v="772"/>
  </r>
  <r>
    <x v="773"/>
  </r>
  <r>
    <x v="774"/>
  </r>
  <r>
    <x v="775"/>
  </r>
  <r>
    <x v="776"/>
  </r>
  <r>
    <x v="777"/>
  </r>
  <r>
    <x v="778"/>
  </r>
  <r>
    <x v="779"/>
  </r>
  <r>
    <x v="780"/>
  </r>
  <r>
    <x v="781"/>
  </r>
  <r>
    <x v="782"/>
  </r>
  <r>
    <x v="783"/>
  </r>
  <r>
    <x v="784"/>
  </r>
  <r>
    <x v="785"/>
  </r>
  <r>
    <x v="786"/>
  </r>
  <r>
    <x v="787"/>
  </r>
  <r>
    <x v="788"/>
  </r>
  <r>
    <x v="789"/>
  </r>
  <r>
    <x v="790"/>
  </r>
  <r>
    <x v="791"/>
  </r>
  <r>
    <x v="792"/>
  </r>
  <r>
    <x v="793"/>
  </r>
  <r>
    <x v="794"/>
  </r>
  <r>
    <x v="795"/>
  </r>
  <r>
    <x v="796"/>
  </r>
  <r>
    <x v="797"/>
  </r>
  <r>
    <x v="798"/>
  </r>
  <r>
    <x v="799"/>
  </r>
  <r>
    <x v="800"/>
  </r>
  <r>
    <x v="801"/>
  </r>
  <r>
    <x v="802"/>
  </r>
  <r>
    <x v="803"/>
  </r>
  <r>
    <x v="804"/>
  </r>
  <r>
    <x v="805"/>
  </r>
  <r>
    <x v="806"/>
  </r>
  <r>
    <x v="807"/>
  </r>
  <r>
    <x v="808"/>
  </r>
  <r>
    <x v="809"/>
  </r>
  <r>
    <x v="810"/>
  </r>
  <r>
    <x v="811"/>
  </r>
  <r>
    <x v="812"/>
  </r>
  <r>
    <x v="813"/>
  </r>
  <r>
    <x v="814"/>
  </r>
  <r>
    <x v="815"/>
  </r>
  <r>
    <x v="816"/>
  </r>
  <r>
    <x v="817"/>
  </r>
  <r>
    <x v="818"/>
  </r>
  <r>
    <x v="819"/>
  </r>
  <r>
    <x v="820"/>
  </r>
  <r>
    <x v="821"/>
  </r>
  <r>
    <x v="822"/>
  </r>
  <r>
    <x v="823"/>
  </r>
  <r>
    <x v="824"/>
  </r>
  <r>
    <x v="825"/>
  </r>
  <r>
    <x v="826"/>
  </r>
  <r>
    <x v="827"/>
  </r>
  <r>
    <x v="828"/>
  </r>
  <r>
    <x v="829"/>
  </r>
  <r>
    <x v="830"/>
  </r>
  <r>
    <x v="831"/>
  </r>
  <r>
    <x v="832"/>
  </r>
  <r>
    <x v="833"/>
  </r>
  <r>
    <x v="834"/>
  </r>
  <r>
    <x v="835"/>
  </r>
  <r>
    <x v="836"/>
  </r>
  <r>
    <x v="837"/>
  </r>
  <r>
    <x v="838"/>
  </r>
  <r>
    <x v="839"/>
  </r>
  <r>
    <x v="840"/>
  </r>
  <r>
    <x v="841"/>
  </r>
  <r>
    <x v="842"/>
  </r>
  <r>
    <x v="843"/>
  </r>
  <r>
    <x v="844"/>
  </r>
  <r>
    <x v="845"/>
  </r>
  <r>
    <x v="846"/>
  </r>
  <r>
    <x v="847"/>
  </r>
  <r>
    <x v="848"/>
  </r>
  <r>
    <x v="849"/>
  </r>
  <r>
    <x v="850"/>
  </r>
  <r>
    <x v="851"/>
  </r>
  <r>
    <x v="852"/>
  </r>
  <r>
    <x v="853"/>
  </r>
  <r>
    <x v="854"/>
  </r>
  <r>
    <x v="855"/>
  </r>
  <r>
    <x v="856"/>
  </r>
  <r>
    <x v="857"/>
  </r>
  <r>
    <x v="858"/>
  </r>
  <r>
    <x v="859"/>
  </r>
  <r>
    <x v="860"/>
  </r>
  <r>
    <x v="861"/>
  </r>
  <r>
    <x v="862"/>
  </r>
  <r>
    <x v="863"/>
  </r>
  <r>
    <x v="864"/>
  </r>
  <r>
    <x v="865"/>
  </r>
  <r>
    <x v="866"/>
  </r>
  <r>
    <x v="867"/>
  </r>
  <r>
    <x v="868"/>
  </r>
  <r>
    <x v="869"/>
  </r>
  <r>
    <x v="870"/>
  </r>
  <r>
    <x v="871"/>
  </r>
  <r>
    <x v="872"/>
  </r>
  <r>
    <x v="873"/>
  </r>
  <r>
    <x v="874"/>
  </r>
  <r>
    <x v="875"/>
  </r>
  <r>
    <x v="876"/>
  </r>
  <r>
    <x v="877"/>
  </r>
  <r>
    <x v="878"/>
  </r>
  <r>
    <x v="879"/>
  </r>
  <r>
    <x v="880"/>
  </r>
  <r>
    <x v="881"/>
  </r>
  <r>
    <x v="882"/>
  </r>
  <r>
    <x v="883"/>
  </r>
  <r>
    <x v="884"/>
  </r>
  <r>
    <x v="885"/>
  </r>
  <r>
    <x v="886"/>
  </r>
  <r>
    <x v="887"/>
  </r>
  <r>
    <x v="888"/>
  </r>
  <r>
    <x v="889"/>
  </r>
  <r>
    <x v="890"/>
  </r>
  <r>
    <x v="891"/>
  </r>
  <r>
    <x v="892"/>
  </r>
  <r>
    <x v="893"/>
  </r>
  <r>
    <x v="894"/>
  </r>
  <r>
    <x v="895"/>
  </r>
  <r>
    <x v="896"/>
  </r>
  <r>
    <x v="897"/>
  </r>
  <r>
    <x v="898"/>
  </r>
  <r>
    <x v="899"/>
  </r>
  <r>
    <x v="900"/>
  </r>
  <r>
    <x v="901"/>
  </r>
  <r>
    <x v="902"/>
  </r>
  <r>
    <x v="903"/>
  </r>
  <r>
    <x v="904"/>
  </r>
  <r>
    <x v="905"/>
  </r>
  <r>
    <x v="906"/>
  </r>
  <r>
    <x v="907"/>
  </r>
  <r>
    <x v="908"/>
  </r>
  <r>
    <x v="909"/>
  </r>
  <r>
    <x v="910"/>
  </r>
  <r>
    <x v="911"/>
  </r>
  <r>
    <x v="912"/>
  </r>
  <r>
    <x v="913"/>
  </r>
  <r>
    <x v="914"/>
  </r>
  <r>
    <x v="915"/>
  </r>
  <r>
    <x v="916"/>
  </r>
  <r>
    <x v="917"/>
  </r>
  <r>
    <x v="918"/>
  </r>
  <r>
    <x v="919"/>
  </r>
  <r>
    <x v="920"/>
  </r>
  <r>
    <x v="921"/>
  </r>
  <r>
    <x v="922"/>
  </r>
  <r>
    <x v="923"/>
  </r>
  <r>
    <x v="924"/>
  </r>
  <r>
    <x v="925"/>
  </r>
  <r>
    <x v="926"/>
  </r>
  <r>
    <x v="927"/>
  </r>
  <r>
    <x v="928"/>
  </r>
  <r>
    <x v="929"/>
  </r>
  <r>
    <x v="930"/>
  </r>
  <r>
    <x v="931"/>
  </r>
  <r>
    <x v="932"/>
  </r>
  <r>
    <x v="933"/>
  </r>
  <r>
    <x v="934"/>
  </r>
  <r>
    <x v="935"/>
  </r>
  <r>
    <x v="936"/>
  </r>
  <r>
    <x v="937"/>
  </r>
  <r>
    <x v="938"/>
  </r>
  <r>
    <x v="939"/>
  </r>
  <r>
    <x v="940"/>
  </r>
  <r>
    <x v="941"/>
  </r>
  <r>
    <x v="942"/>
  </r>
  <r>
    <x v="943"/>
  </r>
  <r>
    <x v="944"/>
  </r>
  <r>
    <x v="945"/>
  </r>
  <r>
    <x v="946"/>
  </r>
  <r>
    <x v="947"/>
  </r>
  <r>
    <x v="948"/>
  </r>
  <r>
    <x v="949"/>
  </r>
  <r>
    <x v="950"/>
  </r>
  <r>
    <x v="951"/>
  </r>
  <r>
    <x v="952"/>
  </r>
  <r>
    <x v="953"/>
  </r>
  <r>
    <x v="954"/>
  </r>
  <r>
    <x v="955"/>
  </r>
  <r>
    <x v="956"/>
  </r>
  <r>
    <x v="957"/>
  </r>
  <r>
    <x v="958"/>
  </r>
  <r>
    <x v="959"/>
  </r>
  <r>
    <x v="960"/>
  </r>
  <r>
    <x v="961"/>
  </r>
  <r>
    <x v="962"/>
  </r>
  <r>
    <x v="963"/>
  </r>
  <r>
    <x v="964"/>
  </r>
  <r>
    <x v="965"/>
  </r>
  <r>
    <x v="966"/>
  </r>
  <r>
    <x v="967"/>
  </r>
  <r>
    <x v="968"/>
  </r>
  <r>
    <x v="969"/>
  </r>
  <r>
    <x v="970"/>
  </r>
  <r>
    <x v="971"/>
  </r>
  <r>
    <x v="972"/>
  </r>
  <r>
    <x v="973"/>
  </r>
  <r>
    <x v="974"/>
  </r>
  <r>
    <x v="975"/>
  </r>
  <r>
    <x v="976"/>
  </r>
  <r>
    <x v="977"/>
  </r>
  <r>
    <x v="978"/>
  </r>
  <r>
    <x v="979"/>
  </r>
  <r>
    <x v="980"/>
  </r>
  <r>
    <x v="981"/>
  </r>
  <r>
    <x v="982"/>
  </r>
  <r>
    <x v="983"/>
  </r>
  <r>
    <x v="984"/>
  </r>
  <r>
    <x v="985"/>
  </r>
  <r>
    <x v="986"/>
  </r>
  <r>
    <x v="987"/>
  </r>
  <r>
    <x v="988"/>
  </r>
  <r>
    <x v="989"/>
  </r>
  <r>
    <x v="990"/>
  </r>
  <r>
    <x v="991"/>
  </r>
  <r>
    <x v="992"/>
  </r>
  <r>
    <x v="993"/>
  </r>
  <r>
    <x v="994"/>
  </r>
  <r>
    <x v="995"/>
  </r>
  <r>
    <x v="996"/>
  </r>
  <r>
    <x v="997"/>
  </r>
  <r>
    <x v="998"/>
  </r>
  <r>
    <x v="9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10"/>
  </r>
  <r>
    <x v="311"/>
  </r>
  <r>
    <x v="312"/>
  </r>
  <r>
    <x v="313"/>
  </r>
  <r>
    <x v="314"/>
  </r>
  <r>
    <x v="315"/>
  </r>
  <r>
    <x v="316"/>
  </r>
  <r>
    <x v="317"/>
  </r>
  <r>
    <x v="318"/>
  </r>
  <r>
    <x v="319"/>
  </r>
  <r>
    <x v="320"/>
  </r>
  <r>
    <x v="321"/>
  </r>
  <r>
    <x v="322"/>
  </r>
  <r>
    <x v="323"/>
  </r>
  <r>
    <x v="324"/>
  </r>
  <r>
    <x v="325"/>
  </r>
  <r>
    <x v="326"/>
  </r>
  <r>
    <x v="327"/>
  </r>
  <r>
    <x v="328"/>
  </r>
  <r>
    <x v="329"/>
  </r>
  <r>
    <x v="330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6"/>
  </r>
  <r>
    <x v="347"/>
  </r>
  <r>
    <x v="348"/>
  </r>
  <r>
    <x v="349"/>
  </r>
  <r>
    <x v="350"/>
  </r>
  <r>
    <x v="351"/>
  </r>
  <r>
    <x v="352"/>
  </r>
  <r>
    <x v="353"/>
  </r>
  <r>
    <x v="354"/>
  </r>
  <r>
    <x v="355"/>
  </r>
  <r>
    <x v="356"/>
  </r>
  <r>
    <x v="357"/>
  </r>
  <r>
    <x v="358"/>
  </r>
  <r>
    <x v="359"/>
  </r>
  <r>
    <x v="360"/>
  </r>
  <r>
    <x v="361"/>
  </r>
  <r>
    <x v="362"/>
  </r>
  <r>
    <x v="363"/>
  </r>
  <r>
    <x v="364"/>
  </r>
  <r>
    <x v="365"/>
  </r>
  <r>
    <x v="366"/>
  </r>
  <r>
    <x v="367"/>
  </r>
  <r>
    <x v="368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80"/>
  </r>
  <r>
    <x v="381"/>
  </r>
  <r>
    <x v="382"/>
  </r>
  <r>
    <x v="383"/>
  </r>
  <r>
    <x v="384"/>
  </r>
  <r>
    <x v="385"/>
  </r>
  <r>
    <x v="386"/>
  </r>
  <r>
    <x v="387"/>
  </r>
  <r>
    <x v="388"/>
  </r>
  <r>
    <x v="389"/>
  </r>
  <r>
    <x v="390"/>
  </r>
  <r>
    <x v="391"/>
  </r>
  <r>
    <x v="392"/>
  </r>
  <r>
    <x v="393"/>
  </r>
  <r>
    <x v="394"/>
  </r>
  <r>
    <x v="395"/>
  </r>
  <r>
    <x v="396"/>
  </r>
  <r>
    <x v="397"/>
  </r>
  <r>
    <x v="398"/>
  </r>
  <r>
    <x v="399"/>
  </r>
  <r>
    <x v="400"/>
  </r>
  <r>
    <x v="401"/>
  </r>
  <r>
    <x v="402"/>
  </r>
  <r>
    <x v="403"/>
  </r>
  <r>
    <x v="404"/>
  </r>
  <r>
    <x v="405"/>
  </r>
  <r>
    <x v="406"/>
  </r>
  <r>
    <x v="407"/>
  </r>
  <r>
    <x v="408"/>
  </r>
  <r>
    <x v="409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9"/>
  </r>
  <r>
    <x v="430"/>
  </r>
  <r>
    <x v="431"/>
  </r>
  <r>
    <x v="432"/>
  </r>
  <r>
    <x v="433"/>
  </r>
  <r>
    <x v="434"/>
  </r>
  <r>
    <x v="435"/>
  </r>
  <r>
    <x v="436"/>
  </r>
  <r>
    <x v="437"/>
  </r>
  <r>
    <x v="438"/>
  </r>
  <r>
    <x v="439"/>
  </r>
  <r>
    <x v="440"/>
  </r>
  <r>
    <x v="441"/>
  </r>
  <r>
    <x v="442"/>
  </r>
  <r>
    <x v="443"/>
  </r>
  <r>
    <x v="444"/>
  </r>
  <r>
    <x v="445"/>
  </r>
  <r>
    <x v="446"/>
  </r>
  <r>
    <x v="447"/>
  </r>
  <r>
    <x v="448"/>
  </r>
  <r>
    <x v="449"/>
  </r>
  <r>
    <x v="450"/>
  </r>
  <r>
    <x v="451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2"/>
  </r>
  <r>
    <x v="473"/>
  </r>
  <r>
    <x v="474"/>
  </r>
  <r>
    <x v="475"/>
  </r>
  <r>
    <x v="476"/>
  </r>
  <r>
    <x v="477"/>
  </r>
  <r>
    <x v="478"/>
  </r>
  <r>
    <x v="479"/>
  </r>
  <r>
    <x v="480"/>
  </r>
  <r>
    <x v="481"/>
  </r>
  <r>
    <x v="482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2"/>
  </r>
  <r>
    <x v="493"/>
  </r>
  <r>
    <x v="494"/>
  </r>
  <r>
    <x v="495"/>
  </r>
  <r>
    <x v="496"/>
  </r>
  <r>
    <x v="497"/>
  </r>
  <r>
    <x v="498"/>
  </r>
  <r>
    <x v="499"/>
  </r>
  <r>
    <x v="500"/>
  </r>
  <r>
    <x v="501"/>
  </r>
  <r>
    <x v="502"/>
  </r>
  <r>
    <x v="503"/>
  </r>
  <r>
    <x v="504"/>
  </r>
  <r>
    <x v="505"/>
  </r>
  <r>
    <x v="506"/>
  </r>
  <r>
    <x v="507"/>
  </r>
  <r>
    <x v="508"/>
  </r>
  <r>
    <x v="509"/>
  </r>
  <r>
    <x v="510"/>
  </r>
  <r>
    <x v="511"/>
  </r>
  <r>
    <x v="512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8"/>
  </r>
  <r>
    <x v="529"/>
  </r>
  <r>
    <x v="530"/>
  </r>
  <r>
    <x v="531"/>
  </r>
  <r>
    <x v="532"/>
  </r>
  <r>
    <x v="533"/>
  </r>
  <r>
    <x v="534"/>
  </r>
  <r>
    <x v="535"/>
  </r>
  <r>
    <x v="536"/>
  </r>
  <r>
    <x v="537"/>
  </r>
  <r>
    <x v="538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8"/>
  </r>
  <r>
    <x v="549"/>
  </r>
  <r>
    <x v="550"/>
  </r>
  <r>
    <x v="551"/>
  </r>
  <r>
    <x v="552"/>
  </r>
  <r>
    <x v="553"/>
  </r>
  <r>
    <x v="554"/>
  </r>
  <r>
    <x v="555"/>
  </r>
  <r>
    <x v="556"/>
  </r>
  <r>
    <x v="557"/>
  </r>
  <r>
    <x v="558"/>
  </r>
  <r>
    <x v="559"/>
  </r>
  <r>
    <x v="560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70"/>
  </r>
  <r>
    <x v="571"/>
  </r>
  <r>
    <x v="572"/>
  </r>
  <r>
    <x v="573"/>
  </r>
  <r>
    <x v="574"/>
  </r>
  <r>
    <x v="575"/>
  </r>
  <r>
    <x v="576"/>
  </r>
  <r>
    <x v="577"/>
  </r>
  <r>
    <x v="578"/>
  </r>
  <r>
    <x v="579"/>
  </r>
  <r>
    <x v="580"/>
  </r>
  <r>
    <x v="581"/>
  </r>
  <r>
    <x v="582"/>
  </r>
  <r>
    <x v="583"/>
  </r>
  <r>
    <x v="584"/>
  </r>
  <r>
    <x v="585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7"/>
  </r>
  <r>
    <x v="608"/>
  </r>
  <r>
    <x v="609"/>
  </r>
  <r>
    <x v="610"/>
  </r>
  <r>
    <x v="611"/>
  </r>
  <r>
    <x v="612"/>
  </r>
  <r>
    <x v="613"/>
  </r>
  <r>
    <x v="614"/>
  </r>
  <r>
    <x v="615"/>
  </r>
  <r>
    <x v="616"/>
  </r>
  <r>
    <x v="617"/>
  </r>
  <r>
    <x v="618"/>
  </r>
  <r>
    <x v="619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9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80"/>
  </r>
  <r>
    <x v="681"/>
  </r>
  <r>
    <x v="682"/>
  </r>
  <r>
    <x v="683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30"/>
  </r>
  <r>
    <x v="731"/>
  </r>
  <r>
    <x v="732"/>
  </r>
  <r>
    <x v="733"/>
  </r>
  <r>
    <x v="734"/>
  </r>
  <r>
    <x v="735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745"/>
  </r>
  <r>
    <x v="746"/>
  </r>
  <r>
    <x v="747"/>
  </r>
  <r>
    <x v="748"/>
  </r>
  <r>
    <x v="749"/>
  </r>
  <r>
    <x v="750"/>
  </r>
  <r>
    <x v="751"/>
  </r>
  <r>
    <x v="752"/>
  </r>
  <r>
    <x v="753"/>
  </r>
  <r>
    <x v="754"/>
  </r>
  <r>
    <x v="755"/>
  </r>
  <r>
    <x v="756"/>
  </r>
  <r>
    <x v="757"/>
  </r>
  <r>
    <x v="758"/>
  </r>
  <r>
    <x v="759"/>
  </r>
  <r>
    <x v="760"/>
  </r>
  <r>
    <x v="761"/>
  </r>
  <r>
    <x v="762"/>
  </r>
  <r>
    <x v="763"/>
  </r>
  <r>
    <x v="764"/>
  </r>
  <r>
    <x v="765"/>
  </r>
  <r>
    <x v="766"/>
  </r>
  <r>
    <x v="767"/>
  </r>
  <r>
    <x v="768"/>
  </r>
  <r>
    <x v="769"/>
  </r>
  <r>
    <x v="770"/>
  </r>
  <r>
    <x v="771"/>
  </r>
  <r>
    <x v="772"/>
  </r>
  <r>
    <x v="773"/>
  </r>
  <r>
    <x v="774"/>
  </r>
  <r>
    <x v="775"/>
  </r>
  <r>
    <x v="776"/>
  </r>
  <r>
    <x v="777"/>
  </r>
  <r>
    <x v="778"/>
  </r>
  <r>
    <x v="779"/>
  </r>
  <r>
    <x v="780"/>
  </r>
  <r>
    <x v="781"/>
  </r>
  <r>
    <x v="782"/>
  </r>
  <r>
    <x v="783"/>
  </r>
  <r>
    <x v="784"/>
  </r>
  <r>
    <x v="785"/>
  </r>
  <r>
    <x v="786"/>
  </r>
  <r>
    <x v="787"/>
  </r>
  <r>
    <x v="788"/>
  </r>
  <r>
    <x v="789"/>
  </r>
  <r>
    <x v="790"/>
  </r>
  <r>
    <x v="791"/>
  </r>
  <r>
    <x v="792"/>
  </r>
  <r>
    <x v="793"/>
  </r>
  <r>
    <x v="794"/>
  </r>
  <r>
    <x v="795"/>
  </r>
  <r>
    <x v="796"/>
  </r>
  <r>
    <x v="797"/>
  </r>
  <r>
    <x v="798"/>
  </r>
  <r>
    <x v="799"/>
  </r>
  <r>
    <x v="800"/>
  </r>
  <r>
    <x v="801"/>
  </r>
  <r>
    <x v="802"/>
  </r>
  <r>
    <x v="803"/>
  </r>
  <r>
    <x v="804"/>
  </r>
  <r>
    <x v="805"/>
  </r>
  <r>
    <x v="806"/>
  </r>
  <r>
    <x v="807"/>
  </r>
  <r>
    <x v="808"/>
  </r>
  <r>
    <x v="809"/>
  </r>
  <r>
    <x v="810"/>
  </r>
  <r>
    <x v="811"/>
  </r>
  <r>
    <x v="812"/>
  </r>
  <r>
    <x v="813"/>
  </r>
  <r>
    <x v="814"/>
  </r>
  <r>
    <x v="815"/>
  </r>
  <r>
    <x v="816"/>
  </r>
  <r>
    <x v="817"/>
  </r>
  <r>
    <x v="818"/>
  </r>
  <r>
    <x v="819"/>
  </r>
  <r>
    <x v="820"/>
  </r>
  <r>
    <x v="821"/>
  </r>
  <r>
    <x v="822"/>
  </r>
  <r>
    <x v="823"/>
  </r>
  <r>
    <x v="824"/>
  </r>
  <r>
    <x v="825"/>
  </r>
  <r>
    <x v="826"/>
  </r>
  <r>
    <x v="827"/>
  </r>
  <r>
    <x v="828"/>
  </r>
  <r>
    <x v="829"/>
  </r>
  <r>
    <x v="830"/>
  </r>
  <r>
    <x v="831"/>
  </r>
  <r>
    <x v="832"/>
  </r>
  <r>
    <x v="833"/>
  </r>
  <r>
    <x v="834"/>
  </r>
  <r>
    <x v="835"/>
  </r>
  <r>
    <x v="836"/>
  </r>
  <r>
    <x v="837"/>
  </r>
  <r>
    <x v="838"/>
  </r>
  <r>
    <x v="839"/>
  </r>
  <r>
    <x v="840"/>
  </r>
  <r>
    <x v="841"/>
  </r>
  <r>
    <x v="842"/>
  </r>
  <r>
    <x v="843"/>
  </r>
  <r>
    <x v="844"/>
  </r>
  <r>
    <x v="845"/>
  </r>
  <r>
    <x v="846"/>
  </r>
  <r>
    <x v="847"/>
  </r>
  <r>
    <x v="848"/>
  </r>
  <r>
    <x v="849"/>
  </r>
  <r>
    <x v="850"/>
  </r>
  <r>
    <x v="851"/>
  </r>
  <r>
    <x v="852"/>
  </r>
  <r>
    <x v="853"/>
  </r>
  <r>
    <x v="854"/>
  </r>
  <r>
    <x v="855"/>
  </r>
  <r>
    <x v="856"/>
  </r>
  <r>
    <x v="857"/>
  </r>
  <r>
    <x v="858"/>
  </r>
  <r>
    <x v="859"/>
  </r>
  <r>
    <x v="860"/>
  </r>
  <r>
    <x v="861"/>
  </r>
  <r>
    <x v="862"/>
  </r>
  <r>
    <x v="863"/>
  </r>
  <r>
    <x v="864"/>
  </r>
  <r>
    <x v="865"/>
  </r>
  <r>
    <x v="866"/>
  </r>
  <r>
    <x v="867"/>
  </r>
  <r>
    <x v="868"/>
  </r>
  <r>
    <x v="869"/>
  </r>
  <r>
    <x v="870"/>
  </r>
  <r>
    <x v="871"/>
  </r>
  <r>
    <x v="872"/>
  </r>
  <r>
    <x v="873"/>
  </r>
  <r>
    <x v="874"/>
  </r>
  <r>
    <x v="875"/>
  </r>
  <r>
    <x v="876"/>
  </r>
  <r>
    <x v="877"/>
  </r>
  <r>
    <x v="878"/>
  </r>
  <r>
    <x v="879"/>
  </r>
  <r>
    <x v="880"/>
  </r>
  <r>
    <x v="881"/>
  </r>
  <r>
    <x v="882"/>
  </r>
  <r>
    <x v="883"/>
  </r>
  <r>
    <x v="884"/>
  </r>
  <r>
    <x v="885"/>
  </r>
  <r>
    <x v="886"/>
  </r>
  <r>
    <x v="887"/>
  </r>
  <r>
    <x v="888"/>
  </r>
  <r>
    <x v="889"/>
  </r>
  <r>
    <x v="890"/>
  </r>
  <r>
    <x v="891"/>
  </r>
  <r>
    <x v="892"/>
  </r>
  <r>
    <x v="893"/>
  </r>
  <r>
    <x v="894"/>
  </r>
  <r>
    <x v="895"/>
  </r>
  <r>
    <x v="896"/>
  </r>
  <r>
    <x v="897"/>
  </r>
  <r>
    <x v="898"/>
  </r>
  <r>
    <x v="899"/>
  </r>
  <r>
    <x v="900"/>
  </r>
  <r>
    <x v="901"/>
  </r>
  <r>
    <x v="902"/>
  </r>
  <r>
    <x v="903"/>
  </r>
  <r>
    <x v="904"/>
  </r>
  <r>
    <x v="905"/>
  </r>
  <r>
    <x v="906"/>
  </r>
  <r>
    <x v="907"/>
  </r>
  <r>
    <x v="908"/>
  </r>
  <r>
    <x v="909"/>
  </r>
  <r>
    <x v="910"/>
  </r>
  <r>
    <x v="911"/>
  </r>
  <r>
    <x v="912"/>
  </r>
  <r>
    <x v="913"/>
  </r>
  <r>
    <x v="914"/>
  </r>
  <r>
    <x v="915"/>
  </r>
  <r>
    <x v="916"/>
  </r>
  <r>
    <x v="917"/>
  </r>
  <r>
    <x v="918"/>
  </r>
  <r>
    <x v="919"/>
  </r>
  <r>
    <x v="920"/>
  </r>
  <r>
    <x v="921"/>
  </r>
  <r>
    <x v="922"/>
  </r>
  <r>
    <x v="923"/>
  </r>
  <r>
    <x v="924"/>
  </r>
  <r>
    <x v="925"/>
  </r>
  <r>
    <x v="926"/>
  </r>
  <r>
    <x v="927"/>
  </r>
  <r>
    <x v="928"/>
  </r>
  <r>
    <x v="929"/>
  </r>
  <r>
    <x v="930"/>
  </r>
  <r>
    <x v="931"/>
  </r>
  <r>
    <x v="932"/>
  </r>
  <r>
    <x v="933"/>
  </r>
  <r>
    <x v="934"/>
  </r>
  <r>
    <x v="935"/>
  </r>
  <r>
    <x v="936"/>
  </r>
  <r>
    <x v="937"/>
  </r>
  <r>
    <x v="938"/>
  </r>
  <r>
    <x v="939"/>
  </r>
  <r>
    <x v="940"/>
  </r>
  <r>
    <x v="941"/>
  </r>
  <r>
    <x v="942"/>
  </r>
  <r>
    <x v="943"/>
  </r>
  <r>
    <x v="944"/>
  </r>
  <r>
    <x v="945"/>
  </r>
  <r>
    <x v="946"/>
  </r>
  <r>
    <x v="947"/>
  </r>
  <r>
    <x v="948"/>
  </r>
  <r>
    <x v="949"/>
  </r>
  <r>
    <x v="950"/>
  </r>
  <r>
    <x v="951"/>
  </r>
  <r>
    <x v="952"/>
  </r>
  <r>
    <x v="953"/>
  </r>
  <r>
    <x v="954"/>
  </r>
  <r>
    <x v="955"/>
  </r>
  <r>
    <x v="956"/>
  </r>
  <r>
    <x v="957"/>
  </r>
  <r>
    <x v="958"/>
  </r>
  <r>
    <x v="959"/>
  </r>
  <r>
    <x v="960"/>
  </r>
  <r>
    <x v="961"/>
  </r>
  <r>
    <x v="962"/>
  </r>
  <r>
    <x v="963"/>
  </r>
  <r>
    <x v="964"/>
  </r>
  <r>
    <x v="965"/>
  </r>
  <r>
    <x v="966"/>
  </r>
  <r>
    <x v="967"/>
  </r>
  <r>
    <x v="968"/>
  </r>
  <r>
    <x v="969"/>
  </r>
  <r>
    <x v="970"/>
  </r>
  <r>
    <x v="971"/>
  </r>
  <r>
    <x v="972"/>
  </r>
  <r>
    <x v="973"/>
  </r>
  <r>
    <x v="974"/>
  </r>
  <r>
    <x v="975"/>
  </r>
  <r>
    <x v="976"/>
  </r>
  <r>
    <x v="977"/>
  </r>
  <r>
    <x v="978"/>
  </r>
  <r>
    <x v="979"/>
  </r>
  <r>
    <x v="980"/>
  </r>
  <r>
    <x v="981"/>
  </r>
  <r>
    <x v="982"/>
  </r>
  <r>
    <x v="983"/>
  </r>
  <r>
    <x v="984"/>
  </r>
  <r>
    <x v="985"/>
  </r>
  <r>
    <x v="986"/>
  </r>
  <r>
    <x v="987"/>
  </r>
  <r>
    <x v="988"/>
  </r>
  <r>
    <x v="989"/>
  </r>
  <r>
    <x v="990"/>
  </r>
  <r>
    <x v="991"/>
  </r>
  <r>
    <x v="992"/>
  </r>
  <r>
    <x v="993"/>
  </r>
  <r>
    <x v="994"/>
  </r>
  <r>
    <x v="995"/>
  </r>
  <r>
    <x v="996"/>
  </r>
  <r>
    <x v="997"/>
  </r>
  <r>
    <x v="998"/>
  </r>
  <r>
    <x v="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X values">
  <location ref="D14:E24" firstHeaderRow="1" firstDataRow="1" firstDataCol="1"/>
  <pivotFields count="2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Var of Y" fld="1" subtotal="var" baseField="0" baseItem="2" numFmtId="2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outline="0" axis="axisValues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b Range for t">
  <location ref="V1:W42" firstHeaderRow="1" firstDataRow="1" firstDataCol="1"/>
  <pivotFields count="1">
    <pivotField axis="axisRow" dataField="1" showAll="0" defaultSubtota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</pivotFields>
  <rowFields count="1">
    <field x="0"/>
  </rowFields>
  <rowItems count="4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Count of Prob of t" fld="0" subtotal="count" baseField="0" baseItem="8"/>
  </dataFields>
  <formats count="2">
    <format dxfId="5">
      <pivotArea dataOnly="0" labelOnly="1" outline="0" axis="axisValues" fieldPosition="0"/>
    </format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V1:W42" firstHeaderRow="1" firstDataRow="1" firstDataCol="1"/>
  <pivotFields count="1">
    <pivotField axis="axisRow" dataField="1" showAll="0" defaultSubtota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</pivotFields>
  <rowFields count="1">
    <field x="0"/>
  </rowFields>
  <rowItems count="4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Count of Prob of t" fld="0" subtotal="count" baseField="0" baseItem="1"/>
  </dataFields>
  <formats count="2">
    <format dxfId="3">
      <pivotArea dataOnly="0" labelOnly="1" outline="0" axis="axisValues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V1:W42" firstHeaderRow="1" firstDataRow="1" firstDataCol="1"/>
  <pivotFields count="1">
    <pivotField axis="axisRow" dataField="1" showAll="0" defaultSubtota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</pivotField>
  </pivotFields>
  <rowFields count="1">
    <field x="0"/>
  </rowFields>
  <rowItems count="4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Count of Prob of t" fld="0" subtotal="count" baseField="0" baseItem="1"/>
  </dataFields>
  <formats count="2"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tabSelected="1" workbookViewId="0">
      <selection activeCell="R16" sqref="R16"/>
    </sheetView>
  </sheetViews>
  <sheetFormatPr defaultRowHeight="15" x14ac:dyDescent="0.25"/>
  <cols>
    <col min="1" max="1" width="12.7109375" bestFit="1" customWidth="1"/>
    <col min="5" max="5" width="12.42578125" bestFit="1" customWidth="1"/>
    <col min="6" max="6" width="12.7109375" bestFit="1" customWidth="1"/>
  </cols>
  <sheetData>
    <row r="1" spans="1:6" ht="30" x14ac:dyDescent="0.25">
      <c r="A1" s="17" t="s">
        <v>25</v>
      </c>
      <c r="B1" s="17" t="s">
        <v>1</v>
      </c>
      <c r="C1" s="17" t="s">
        <v>192</v>
      </c>
      <c r="D1" s="17" t="s">
        <v>24</v>
      </c>
      <c r="E1" s="16" t="s">
        <v>23</v>
      </c>
      <c r="F1" s="16" t="s">
        <v>22</v>
      </c>
    </row>
    <row r="2" spans="1:6" x14ac:dyDescent="0.25">
      <c r="A2">
        <v>4</v>
      </c>
      <c r="B2">
        <v>2</v>
      </c>
      <c r="C2">
        <f t="array" ref="C2:C19">TREND(A2:A19,B2:B19)</f>
        <v>5.6190476190476186</v>
      </c>
      <c r="D2">
        <f>A2-C2</f>
        <v>-1.6190476190476186</v>
      </c>
    </row>
    <row r="3" spans="1:6" x14ac:dyDescent="0.25">
      <c r="A3">
        <v>6</v>
      </c>
      <c r="B3">
        <v>2</v>
      </c>
      <c r="C3">
        <v>5.6190476190476186</v>
      </c>
      <c r="D3">
        <f>A3-C3</f>
        <v>0.38095238095238138</v>
      </c>
      <c r="E3" s="2">
        <f>AVERAGE(D2:D4)+C3</f>
        <v>5</v>
      </c>
      <c r="F3">
        <f>AVERAGE(D2:D4)</f>
        <v>-0.61904761904761862</v>
      </c>
    </row>
    <row r="4" spans="1:6" x14ac:dyDescent="0.25">
      <c r="A4">
        <v>5</v>
      </c>
      <c r="B4">
        <v>2</v>
      </c>
      <c r="C4">
        <v>5.6190476190476186</v>
      </c>
      <c r="D4">
        <f>A4-C4</f>
        <v>-0.61904761904761862</v>
      </c>
      <c r="E4" s="2"/>
    </row>
    <row r="5" spans="1:6" x14ac:dyDescent="0.25">
      <c r="A5">
        <v>7</v>
      </c>
      <c r="B5">
        <v>4</v>
      </c>
      <c r="C5">
        <v>8.6380952380952376</v>
      </c>
      <c r="D5">
        <f>A5-C5</f>
        <v>-1.6380952380952376</v>
      </c>
      <c r="E5" s="2"/>
    </row>
    <row r="6" spans="1:6" x14ac:dyDescent="0.25">
      <c r="A6">
        <v>10</v>
      </c>
      <c r="B6">
        <v>4</v>
      </c>
      <c r="C6">
        <v>8.6380952380952376</v>
      </c>
      <c r="D6">
        <f>A6-C6</f>
        <v>1.3619047619047624</v>
      </c>
      <c r="E6" s="2">
        <f>AVERAGE(D5:D7)+C6</f>
        <v>9</v>
      </c>
      <c r="F6">
        <f>AVERAGE(D5:D7)</f>
        <v>0.3619047619047624</v>
      </c>
    </row>
    <row r="7" spans="1:6" x14ac:dyDescent="0.25">
      <c r="A7">
        <v>10</v>
      </c>
      <c r="B7">
        <v>4</v>
      </c>
      <c r="C7">
        <v>8.6380952380952376</v>
      </c>
      <c r="D7">
        <f>A7-C7</f>
        <v>1.3619047619047624</v>
      </c>
      <c r="E7" s="2"/>
    </row>
    <row r="8" spans="1:6" x14ac:dyDescent="0.25">
      <c r="A8">
        <v>11</v>
      </c>
      <c r="B8">
        <v>6</v>
      </c>
      <c r="C8">
        <v>11.657142857142857</v>
      </c>
      <c r="D8">
        <f>A8-C8</f>
        <v>-0.65714285714285658</v>
      </c>
      <c r="E8" s="2"/>
    </row>
    <row r="9" spans="1:6" x14ac:dyDescent="0.25">
      <c r="A9">
        <v>11</v>
      </c>
      <c r="B9">
        <v>6</v>
      </c>
      <c r="C9">
        <v>11.657142857142857</v>
      </c>
      <c r="D9">
        <f>A9-C9</f>
        <v>-0.65714285714285658</v>
      </c>
      <c r="E9" s="2">
        <f>AVERAGE(D8:D10)+C9</f>
        <v>11.666666666666666</v>
      </c>
      <c r="F9">
        <f>AVERAGE(D8:D10)</f>
        <v>9.5238095238100815E-3</v>
      </c>
    </row>
    <row r="10" spans="1:6" x14ac:dyDescent="0.25">
      <c r="A10">
        <v>13</v>
      </c>
      <c r="B10">
        <v>6</v>
      </c>
      <c r="C10">
        <v>11.657142857142857</v>
      </c>
      <c r="D10">
        <f>A10-C10</f>
        <v>1.3428571428571434</v>
      </c>
      <c r="E10" s="2"/>
    </row>
    <row r="11" spans="1:6" x14ac:dyDescent="0.25">
      <c r="A11">
        <v>14</v>
      </c>
      <c r="B11">
        <v>8</v>
      </c>
      <c r="C11">
        <v>14.676190476190476</v>
      </c>
      <c r="D11">
        <f>A11-C11</f>
        <v>-0.67619047619047556</v>
      </c>
      <c r="E11" s="2"/>
    </row>
    <row r="12" spans="1:6" x14ac:dyDescent="0.25">
      <c r="A12">
        <v>16</v>
      </c>
      <c r="B12">
        <v>8</v>
      </c>
      <c r="C12">
        <v>14.676190476190476</v>
      </c>
      <c r="D12">
        <f>A12-C12</f>
        <v>1.3238095238095244</v>
      </c>
      <c r="E12" s="2">
        <f>AVERAGE(D11:D13)+C12</f>
        <v>15.333333333333334</v>
      </c>
      <c r="F12">
        <f>AVERAGE(D11:D13)</f>
        <v>0.65714285714285781</v>
      </c>
    </row>
    <row r="13" spans="1:6" x14ac:dyDescent="0.25">
      <c r="A13">
        <v>16</v>
      </c>
      <c r="B13">
        <v>8</v>
      </c>
      <c r="C13">
        <v>14.676190476190476</v>
      </c>
      <c r="D13">
        <f>A13-C13</f>
        <v>1.3238095238095244</v>
      </c>
      <c r="E13" s="2"/>
    </row>
    <row r="14" spans="1:6" x14ac:dyDescent="0.25">
      <c r="A14">
        <v>17</v>
      </c>
      <c r="B14">
        <v>10</v>
      </c>
      <c r="C14">
        <v>17.695238095238096</v>
      </c>
      <c r="D14">
        <f>A14-C14</f>
        <v>-0.69523809523809632</v>
      </c>
      <c r="E14" s="2"/>
    </row>
    <row r="15" spans="1:6" x14ac:dyDescent="0.25">
      <c r="A15">
        <v>18</v>
      </c>
      <c r="B15">
        <v>10</v>
      </c>
      <c r="C15">
        <v>17.695238095238096</v>
      </c>
      <c r="D15">
        <f>A15-C15</f>
        <v>0.30476190476190368</v>
      </c>
      <c r="E15" s="2">
        <f>AVERAGE(D14:D16)+C15</f>
        <v>18</v>
      </c>
      <c r="F15">
        <f>AVERAGE(D14:D16)</f>
        <v>0.30476190476190368</v>
      </c>
    </row>
    <row r="16" spans="1:6" x14ac:dyDescent="0.25">
      <c r="A16">
        <v>19</v>
      </c>
      <c r="B16">
        <v>10</v>
      </c>
      <c r="C16">
        <v>17.695238095238096</v>
      </c>
      <c r="D16">
        <f>A16-C16</f>
        <v>1.3047619047619037</v>
      </c>
      <c r="E16" s="2"/>
    </row>
    <row r="17" spans="1:6" x14ac:dyDescent="0.25">
      <c r="A17">
        <v>19</v>
      </c>
      <c r="B17">
        <v>12</v>
      </c>
      <c r="C17">
        <v>20.714285714285715</v>
      </c>
      <c r="D17">
        <f>A17-C17</f>
        <v>-1.7142857142857153</v>
      </c>
      <c r="E17" s="2"/>
    </row>
    <row r="18" spans="1:6" x14ac:dyDescent="0.25">
      <c r="A18">
        <v>20</v>
      </c>
      <c r="B18">
        <v>12</v>
      </c>
      <c r="C18">
        <v>20.714285714285715</v>
      </c>
      <c r="D18">
        <f>A18-C18</f>
        <v>-0.7142857142857153</v>
      </c>
      <c r="E18" s="2">
        <f>AVERAGE(D17:D19)+C18</f>
        <v>20</v>
      </c>
      <c r="F18">
        <f>AVERAGE(D17:D19)</f>
        <v>-0.7142857142857153</v>
      </c>
    </row>
    <row r="19" spans="1:6" x14ac:dyDescent="0.25">
      <c r="A19">
        <v>21</v>
      </c>
      <c r="B19">
        <v>12</v>
      </c>
      <c r="C19">
        <v>20.714285714285715</v>
      </c>
      <c r="D19">
        <f>A19-C19</f>
        <v>0.2857142857142847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44"/>
  <sheetViews>
    <sheetView workbookViewId="0">
      <selection activeCell="M21" sqref="M21"/>
    </sheetView>
  </sheetViews>
  <sheetFormatPr defaultRowHeight="15" x14ac:dyDescent="0.25"/>
  <sheetData>
    <row r="1" spans="1:9" x14ac:dyDescent="0.25">
      <c r="A1" t="s">
        <v>50</v>
      </c>
    </row>
    <row r="2" spans="1:9" ht="15.75" thickBot="1" x14ac:dyDescent="0.3"/>
    <row r="3" spans="1:9" x14ac:dyDescent="0.25">
      <c r="A3" s="34" t="s">
        <v>49</v>
      </c>
      <c r="B3" s="34"/>
    </row>
    <row r="4" spans="1:9" x14ac:dyDescent="0.25">
      <c r="A4" s="32" t="s">
        <v>48</v>
      </c>
      <c r="B4" s="32">
        <v>0.71216747570062755</v>
      </c>
    </row>
    <row r="5" spans="1:9" x14ac:dyDescent="0.25">
      <c r="A5" s="32" t="s">
        <v>47</v>
      </c>
      <c r="B5" s="32">
        <v>0.5071825134458039</v>
      </c>
    </row>
    <row r="6" spans="1:9" x14ac:dyDescent="0.25">
      <c r="A6" s="32" t="s">
        <v>46</v>
      </c>
      <c r="B6" s="32">
        <v>0.47980376419279303</v>
      </c>
    </row>
    <row r="7" spans="1:9" x14ac:dyDescent="0.25">
      <c r="A7" s="32" t="s">
        <v>36</v>
      </c>
      <c r="B7" s="32">
        <v>17.835703480190258</v>
      </c>
    </row>
    <row r="8" spans="1:9" ht="15.75" thickBot="1" x14ac:dyDescent="0.3">
      <c r="A8" s="31" t="s">
        <v>25</v>
      </c>
      <c r="B8" s="31">
        <v>20</v>
      </c>
    </row>
    <row r="10" spans="1:9" ht="15.75" thickBot="1" x14ac:dyDescent="0.3">
      <c r="A10" t="s">
        <v>45</v>
      </c>
    </row>
    <row r="11" spans="1:9" x14ac:dyDescent="0.25">
      <c r="A11" s="33"/>
      <c r="B11" s="33" t="s">
        <v>10</v>
      </c>
      <c r="C11" s="33" t="s">
        <v>44</v>
      </c>
      <c r="D11" s="33" t="s">
        <v>43</v>
      </c>
      <c r="E11" s="33" t="s">
        <v>42</v>
      </c>
      <c r="F11" s="33" t="s">
        <v>41</v>
      </c>
    </row>
    <row r="12" spans="1:9" x14ac:dyDescent="0.25">
      <c r="A12" s="32" t="s">
        <v>40</v>
      </c>
      <c r="B12" s="32">
        <v>1</v>
      </c>
      <c r="C12" s="32">
        <v>5892.9282646011225</v>
      </c>
      <c r="D12" s="32">
        <v>5892.9282646011225</v>
      </c>
      <c r="E12" s="32">
        <v>18.524677981410274</v>
      </c>
      <c r="F12" s="32">
        <v>4.2726233925178989E-4</v>
      </c>
    </row>
    <row r="13" spans="1:9" x14ac:dyDescent="0.25">
      <c r="A13" s="32" t="s">
        <v>39</v>
      </c>
      <c r="B13" s="32">
        <v>18</v>
      </c>
      <c r="C13" s="32">
        <v>5726.0217353988764</v>
      </c>
      <c r="D13" s="32">
        <v>318.11231863327089</v>
      </c>
      <c r="E13" s="32"/>
      <c r="F13" s="32"/>
    </row>
    <row r="14" spans="1:9" ht="15.75" thickBot="1" x14ac:dyDescent="0.3">
      <c r="A14" s="31" t="s">
        <v>38</v>
      </c>
      <c r="B14" s="31">
        <v>19</v>
      </c>
      <c r="C14" s="31">
        <v>11618.949999999999</v>
      </c>
      <c r="D14" s="31"/>
      <c r="E14" s="31"/>
      <c r="F14" s="31"/>
    </row>
    <row r="15" spans="1:9" ht="15.75" thickBot="1" x14ac:dyDescent="0.3"/>
    <row r="16" spans="1:9" x14ac:dyDescent="0.25">
      <c r="A16" s="33"/>
      <c r="B16" s="33" t="s">
        <v>37</v>
      </c>
      <c r="C16" s="33" t="s">
        <v>36</v>
      </c>
      <c r="D16" s="33" t="s">
        <v>35</v>
      </c>
      <c r="E16" s="33" t="s">
        <v>34</v>
      </c>
      <c r="F16" s="33" t="s">
        <v>33</v>
      </c>
      <c r="G16" s="33" t="s">
        <v>32</v>
      </c>
      <c r="H16" s="33" t="s">
        <v>31</v>
      </c>
      <c r="I16" s="33" t="s">
        <v>30</v>
      </c>
    </row>
    <row r="17" spans="1:9" x14ac:dyDescent="0.25">
      <c r="A17" s="32" t="s">
        <v>29</v>
      </c>
      <c r="B17" s="32">
        <v>11.154508003261384</v>
      </c>
      <c r="C17" s="32">
        <v>8.5181006923514495</v>
      </c>
      <c r="D17" s="32">
        <v>1.3095064740520397</v>
      </c>
      <c r="E17" s="32">
        <v>0.20683217237402865</v>
      </c>
      <c r="F17" s="32">
        <v>-6.7413574822922193</v>
      </c>
      <c r="G17" s="32">
        <v>29.050373488814987</v>
      </c>
      <c r="H17" s="32">
        <v>-6.7413574822922193</v>
      </c>
      <c r="I17" s="32">
        <v>29.050373488814987</v>
      </c>
    </row>
    <row r="18" spans="1:9" ht="15.75" thickBot="1" x14ac:dyDescent="0.3">
      <c r="A18" s="31" t="s">
        <v>28</v>
      </c>
      <c r="B18" s="31">
        <v>0.64920825644766766</v>
      </c>
      <c r="C18" s="31">
        <v>0.15083728294260745</v>
      </c>
      <c r="D18" s="31">
        <v>4.3040304345357834</v>
      </c>
      <c r="E18" s="31">
        <v>4.2726233925178864E-4</v>
      </c>
      <c r="F18" s="31">
        <v>0.3323108842234701</v>
      </c>
      <c r="G18" s="31">
        <v>0.96610562867186522</v>
      </c>
      <c r="H18" s="31">
        <v>0.3323108842234701</v>
      </c>
      <c r="I18" s="31">
        <v>0.96610562867186522</v>
      </c>
    </row>
    <row r="22" spans="1:9" x14ac:dyDescent="0.25">
      <c r="A22" t="s">
        <v>27</v>
      </c>
    </row>
    <row r="23" spans="1:9" ht="15.75" thickBot="1" x14ac:dyDescent="0.3"/>
    <row r="24" spans="1:9" x14ac:dyDescent="0.25">
      <c r="A24" s="33" t="s">
        <v>26</v>
      </c>
      <c r="B24" s="33" t="s">
        <v>0</v>
      </c>
    </row>
    <row r="25" spans="1:9" x14ac:dyDescent="0.25">
      <c r="A25" s="32">
        <v>2.5</v>
      </c>
      <c r="B25" s="32">
        <v>5</v>
      </c>
    </row>
    <row r="26" spans="1:9" x14ac:dyDescent="0.25">
      <c r="A26" s="32">
        <v>7.5</v>
      </c>
      <c r="B26" s="32">
        <v>13</v>
      </c>
    </row>
    <row r="27" spans="1:9" x14ac:dyDescent="0.25">
      <c r="A27" s="32">
        <v>12.5</v>
      </c>
      <c r="B27" s="32">
        <v>18</v>
      </c>
    </row>
    <row r="28" spans="1:9" x14ac:dyDescent="0.25">
      <c r="A28" s="32">
        <v>17.5</v>
      </c>
      <c r="B28" s="32">
        <v>19</v>
      </c>
    </row>
    <row r="29" spans="1:9" x14ac:dyDescent="0.25">
      <c r="A29" s="32">
        <v>22.5</v>
      </c>
      <c r="B29" s="32">
        <v>19</v>
      </c>
    </row>
    <row r="30" spans="1:9" x14ac:dyDescent="0.25">
      <c r="A30" s="32">
        <v>27.5</v>
      </c>
      <c r="B30" s="32">
        <v>23</v>
      </c>
    </row>
    <row r="31" spans="1:9" x14ac:dyDescent="0.25">
      <c r="A31" s="32">
        <v>32.5</v>
      </c>
      <c r="B31" s="32">
        <v>32</v>
      </c>
    </row>
    <row r="32" spans="1:9" x14ac:dyDescent="0.25">
      <c r="A32" s="32">
        <v>37.5</v>
      </c>
      <c r="B32" s="32">
        <v>34</v>
      </c>
    </row>
    <row r="33" spans="1:2" x14ac:dyDescent="0.25">
      <c r="A33" s="32">
        <v>42.5</v>
      </c>
      <c r="B33" s="32">
        <v>35</v>
      </c>
    </row>
    <row r="34" spans="1:2" x14ac:dyDescent="0.25">
      <c r="A34" s="32">
        <v>47.5</v>
      </c>
      <c r="B34" s="32">
        <v>38</v>
      </c>
    </row>
    <row r="35" spans="1:2" x14ac:dyDescent="0.25">
      <c r="A35" s="32">
        <v>52.5</v>
      </c>
      <c r="B35" s="32">
        <v>43</v>
      </c>
    </row>
    <row r="36" spans="1:2" x14ac:dyDescent="0.25">
      <c r="A36" s="32">
        <v>57.5</v>
      </c>
      <c r="B36" s="32">
        <v>44</v>
      </c>
    </row>
    <row r="37" spans="1:2" x14ac:dyDescent="0.25">
      <c r="A37" s="32">
        <v>62.5</v>
      </c>
      <c r="B37" s="32">
        <v>48</v>
      </c>
    </row>
    <row r="38" spans="1:2" x14ac:dyDescent="0.25">
      <c r="A38" s="32">
        <v>67.5</v>
      </c>
      <c r="B38" s="32">
        <v>54</v>
      </c>
    </row>
    <row r="39" spans="1:2" x14ac:dyDescent="0.25">
      <c r="A39" s="32">
        <v>72.5</v>
      </c>
      <c r="B39" s="32">
        <v>63</v>
      </c>
    </row>
    <row r="40" spans="1:2" x14ac:dyDescent="0.25">
      <c r="A40" s="32">
        <v>77.5</v>
      </c>
      <c r="B40" s="32">
        <v>64</v>
      </c>
    </row>
    <row r="41" spans="1:2" x14ac:dyDescent="0.25">
      <c r="A41" s="32">
        <v>82.5</v>
      </c>
      <c r="B41" s="32">
        <v>65</v>
      </c>
    </row>
    <row r="42" spans="1:2" x14ac:dyDescent="0.25">
      <c r="A42" s="32">
        <v>87.5</v>
      </c>
      <c r="B42" s="32">
        <v>79</v>
      </c>
    </row>
    <row r="43" spans="1:2" x14ac:dyDescent="0.25">
      <c r="A43" s="32">
        <v>92.5</v>
      </c>
      <c r="B43" s="32">
        <v>81</v>
      </c>
    </row>
    <row r="44" spans="1:2" ht="15.75" thickBot="1" x14ac:dyDescent="0.3">
      <c r="A44" s="31">
        <v>97.5</v>
      </c>
      <c r="B44" s="31">
        <v>94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4"/>
  <sheetViews>
    <sheetView workbookViewId="0">
      <selection activeCell="G4" sqref="G4"/>
    </sheetView>
  </sheetViews>
  <sheetFormatPr defaultRowHeight="15" x14ac:dyDescent="0.25"/>
  <sheetData>
    <row r="1" spans="1:9" x14ac:dyDescent="0.25">
      <c r="A1" t="s">
        <v>50</v>
      </c>
    </row>
    <row r="2" spans="1:9" ht="15.75" thickBot="1" x14ac:dyDescent="0.3"/>
    <row r="3" spans="1:9" x14ac:dyDescent="0.25">
      <c r="A3" s="34" t="s">
        <v>49</v>
      </c>
      <c r="B3" s="34"/>
    </row>
    <row r="4" spans="1:9" x14ac:dyDescent="0.25">
      <c r="A4" s="32" t="s">
        <v>48</v>
      </c>
      <c r="B4" s="32">
        <v>0.51260945124655444</v>
      </c>
    </row>
    <row r="5" spans="1:9" x14ac:dyDescent="0.25">
      <c r="A5" s="32" t="s">
        <v>47</v>
      </c>
      <c r="B5" s="32">
        <v>0.26276844950729367</v>
      </c>
    </row>
    <row r="6" spans="1:9" x14ac:dyDescent="0.25">
      <c r="A6" s="32" t="s">
        <v>46</v>
      </c>
      <c r="B6" s="32">
        <v>0.23643875127541131</v>
      </c>
    </row>
    <row r="7" spans="1:9" x14ac:dyDescent="0.25">
      <c r="A7" s="32" t="s">
        <v>36</v>
      </c>
      <c r="B7" s="32">
        <v>0.44437904624218927</v>
      </c>
    </row>
    <row r="8" spans="1:9" ht="15.75" thickBot="1" x14ac:dyDescent="0.3">
      <c r="A8" s="31" t="s">
        <v>25</v>
      </c>
      <c r="B8" s="31">
        <v>30</v>
      </c>
    </row>
    <row r="10" spans="1:9" ht="15.75" thickBot="1" x14ac:dyDescent="0.3">
      <c r="A10" t="s">
        <v>45</v>
      </c>
    </row>
    <row r="11" spans="1:9" x14ac:dyDescent="0.25">
      <c r="A11" s="33"/>
      <c r="B11" s="33" t="s">
        <v>10</v>
      </c>
      <c r="C11" s="33" t="s">
        <v>44</v>
      </c>
      <c r="D11" s="33" t="s">
        <v>43</v>
      </c>
      <c r="E11" s="33" t="s">
        <v>42</v>
      </c>
      <c r="F11" s="33" t="s">
        <v>41</v>
      </c>
    </row>
    <row r="12" spans="1:9" x14ac:dyDescent="0.25">
      <c r="A12" s="32" t="s">
        <v>40</v>
      </c>
      <c r="B12" s="32">
        <v>1</v>
      </c>
      <c r="C12" s="32">
        <v>1.9707633713047024</v>
      </c>
      <c r="D12" s="32">
        <v>1.9707633713047024</v>
      </c>
      <c r="E12" s="32">
        <v>9.9799263627377979</v>
      </c>
      <c r="F12" s="32">
        <v>3.7755797647465545E-3</v>
      </c>
    </row>
    <row r="13" spans="1:9" x14ac:dyDescent="0.25">
      <c r="A13" s="32" t="s">
        <v>39</v>
      </c>
      <c r="B13" s="32">
        <v>28</v>
      </c>
      <c r="C13" s="32">
        <v>5.5292366286952976</v>
      </c>
      <c r="D13" s="32">
        <v>0.19747273673911778</v>
      </c>
      <c r="E13" s="32"/>
      <c r="F13" s="32"/>
    </row>
    <row r="14" spans="1:9" ht="15.75" thickBot="1" x14ac:dyDescent="0.3">
      <c r="A14" s="31" t="s">
        <v>38</v>
      </c>
      <c r="B14" s="31">
        <v>29</v>
      </c>
      <c r="C14" s="31">
        <v>7.5</v>
      </c>
      <c r="D14" s="31"/>
      <c r="E14" s="31"/>
      <c r="F14" s="31"/>
    </row>
    <row r="15" spans="1:9" ht="15.75" thickBot="1" x14ac:dyDescent="0.3"/>
    <row r="16" spans="1:9" x14ac:dyDescent="0.25">
      <c r="A16" s="33"/>
      <c r="B16" s="33" t="s">
        <v>37</v>
      </c>
      <c r="C16" s="33" t="s">
        <v>36</v>
      </c>
      <c r="D16" s="33" t="s">
        <v>35</v>
      </c>
      <c r="E16" s="33" t="s">
        <v>34</v>
      </c>
      <c r="F16" s="33" t="s">
        <v>33</v>
      </c>
      <c r="G16" s="33" t="s">
        <v>32</v>
      </c>
      <c r="H16" s="33" t="s">
        <v>31</v>
      </c>
      <c r="I16" s="33" t="s">
        <v>30</v>
      </c>
    </row>
    <row r="17" spans="1:9" x14ac:dyDescent="0.25">
      <c r="A17" s="32" t="s">
        <v>29</v>
      </c>
      <c r="B17" s="32">
        <v>-1.0572756389244502</v>
      </c>
      <c r="C17" s="32">
        <v>0.49958077679924467</v>
      </c>
      <c r="D17" s="32">
        <v>-2.1163257035194407</v>
      </c>
      <c r="E17" s="32">
        <v>4.3338385575339679E-2</v>
      </c>
      <c r="F17" s="32">
        <v>-2.0806204700236393</v>
      </c>
      <c r="G17" s="32">
        <v>-3.3930807825261367E-2</v>
      </c>
      <c r="H17" s="32">
        <v>-2.0806204700236393</v>
      </c>
      <c r="I17" s="32">
        <v>-3.3930807825261367E-2</v>
      </c>
    </row>
    <row r="18" spans="1:9" ht="15.75" thickBot="1" x14ac:dyDescent="0.3">
      <c r="A18" s="31" t="s">
        <v>28</v>
      </c>
      <c r="B18" s="31">
        <v>2.1197150179632755E-2</v>
      </c>
      <c r="C18" s="31">
        <v>6.709865400514459E-3</v>
      </c>
      <c r="D18" s="31">
        <v>3.1591021450307371</v>
      </c>
      <c r="E18" s="31">
        <v>3.7755797647465498E-3</v>
      </c>
      <c r="F18" s="31">
        <v>7.4526139727341279E-3</v>
      </c>
      <c r="G18" s="31">
        <v>3.4941686386531383E-2</v>
      </c>
      <c r="H18" s="31">
        <v>7.4526139727341279E-3</v>
      </c>
      <c r="I18" s="31">
        <v>3.4941686386531383E-2</v>
      </c>
    </row>
    <row r="22" spans="1:9" x14ac:dyDescent="0.25">
      <c r="A22" t="s">
        <v>27</v>
      </c>
    </row>
    <row r="23" spans="1:9" ht="15.75" thickBot="1" x14ac:dyDescent="0.3"/>
    <row r="24" spans="1:9" x14ac:dyDescent="0.25">
      <c r="A24" s="33" t="s">
        <v>26</v>
      </c>
      <c r="B24" s="33" t="s">
        <v>0</v>
      </c>
    </row>
    <row r="25" spans="1:9" x14ac:dyDescent="0.25">
      <c r="A25" s="32">
        <v>1.6666666666666667</v>
      </c>
      <c r="B25" s="32">
        <v>0</v>
      </c>
    </row>
    <row r="26" spans="1:9" x14ac:dyDescent="0.25">
      <c r="A26" s="32">
        <v>5</v>
      </c>
      <c r="B26" s="32">
        <v>0</v>
      </c>
    </row>
    <row r="27" spans="1:9" x14ac:dyDescent="0.25">
      <c r="A27" s="32">
        <v>8.3333333333333339</v>
      </c>
      <c r="B27" s="32">
        <v>0</v>
      </c>
    </row>
    <row r="28" spans="1:9" x14ac:dyDescent="0.25">
      <c r="A28" s="32">
        <v>11.666666666666666</v>
      </c>
      <c r="B28" s="32">
        <v>0</v>
      </c>
    </row>
    <row r="29" spans="1:9" x14ac:dyDescent="0.25">
      <c r="A29" s="32">
        <v>15</v>
      </c>
      <c r="B29" s="32">
        <v>0</v>
      </c>
    </row>
    <row r="30" spans="1:9" x14ac:dyDescent="0.25">
      <c r="A30" s="32">
        <v>18.333333333333336</v>
      </c>
      <c r="B30" s="32">
        <v>0</v>
      </c>
    </row>
    <row r="31" spans="1:9" x14ac:dyDescent="0.25">
      <c r="A31" s="32">
        <v>21.666666666666668</v>
      </c>
      <c r="B31" s="32">
        <v>0</v>
      </c>
    </row>
    <row r="32" spans="1:9" x14ac:dyDescent="0.25">
      <c r="A32" s="32">
        <v>25.000000000000004</v>
      </c>
      <c r="B32" s="32">
        <v>0</v>
      </c>
    </row>
    <row r="33" spans="1:2" x14ac:dyDescent="0.25">
      <c r="A33" s="32">
        <v>28.333333333333336</v>
      </c>
      <c r="B33" s="32">
        <v>0</v>
      </c>
    </row>
    <row r="34" spans="1:2" x14ac:dyDescent="0.25">
      <c r="A34" s="32">
        <v>31.666666666666668</v>
      </c>
      <c r="B34" s="32">
        <v>0</v>
      </c>
    </row>
    <row r="35" spans="1:2" x14ac:dyDescent="0.25">
      <c r="A35" s="32">
        <v>35</v>
      </c>
      <c r="B35" s="32">
        <v>0</v>
      </c>
    </row>
    <row r="36" spans="1:2" x14ac:dyDescent="0.25">
      <c r="A36" s="32">
        <v>38.333333333333336</v>
      </c>
      <c r="B36" s="32">
        <v>0</v>
      </c>
    </row>
    <row r="37" spans="1:2" x14ac:dyDescent="0.25">
      <c r="A37" s="32">
        <v>41.666666666666664</v>
      </c>
      <c r="B37" s="32">
        <v>0</v>
      </c>
    </row>
    <row r="38" spans="1:2" x14ac:dyDescent="0.25">
      <c r="A38" s="32">
        <v>45</v>
      </c>
      <c r="B38" s="32">
        <v>0</v>
      </c>
    </row>
    <row r="39" spans="1:2" x14ac:dyDescent="0.25">
      <c r="A39" s="32">
        <v>48.333333333333336</v>
      </c>
      <c r="B39" s="32">
        <v>0</v>
      </c>
    </row>
    <row r="40" spans="1:2" x14ac:dyDescent="0.25">
      <c r="A40" s="32">
        <v>51.666666666666664</v>
      </c>
      <c r="B40" s="32">
        <v>1</v>
      </c>
    </row>
    <row r="41" spans="1:2" x14ac:dyDescent="0.25">
      <c r="A41" s="32">
        <v>55</v>
      </c>
      <c r="B41" s="32">
        <v>1</v>
      </c>
    </row>
    <row r="42" spans="1:2" x14ac:dyDescent="0.25">
      <c r="A42" s="32">
        <v>58.333333333333336</v>
      </c>
      <c r="B42" s="32">
        <v>1</v>
      </c>
    </row>
    <row r="43" spans="1:2" x14ac:dyDescent="0.25">
      <c r="A43" s="32">
        <v>61.666666666666664</v>
      </c>
      <c r="B43" s="32">
        <v>1</v>
      </c>
    </row>
    <row r="44" spans="1:2" x14ac:dyDescent="0.25">
      <c r="A44" s="32">
        <v>65</v>
      </c>
      <c r="B44" s="32">
        <v>1</v>
      </c>
    </row>
    <row r="45" spans="1:2" x14ac:dyDescent="0.25">
      <c r="A45" s="32">
        <v>68.333333333333343</v>
      </c>
      <c r="B45" s="32">
        <v>1</v>
      </c>
    </row>
    <row r="46" spans="1:2" x14ac:dyDescent="0.25">
      <c r="A46" s="32">
        <v>71.666666666666671</v>
      </c>
      <c r="B46" s="32">
        <v>1</v>
      </c>
    </row>
    <row r="47" spans="1:2" x14ac:dyDescent="0.25">
      <c r="A47" s="32">
        <v>75.000000000000014</v>
      </c>
      <c r="B47" s="32">
        <v>1</v>
      </c>
    </row>
    <row r="48" spans="1:2" x14ac:dyDescent="0.25">
      <c r="A48" s="32">
        <v>78.333333333333343</v>
      </c>
      <c r="B48" s="32">
        <v>1</v>
      </c>
    </row>
    <row r="49" spans="1:2" x14ac:dyDescent="0.25">
      <c r="A49" s="32">
        <v>81.666666666666671</v>
      </c>
      <c r="B49" s="32">
        <v>1</v>
      </c>
    </row>
    <row r="50" spans="1:2" x14ac:dyDescent="0.25">
      <c r="A50" s="32">
        <v>85.000000000000014</v>
      </c>
      <c r="B50" s="32">
        <v>1</v>
      </c>
    </row>
    <row r="51" spans="1:2" x14ac:dyDescent="0.25">
      <c r="A51" s="32">
        <v>88.333333333333343</v>
      </c>
      <c r="B51" s="32">
        <v>1</v>
      </c>
    </row>
    <row r="52" spans="1:2" x14ac:dyDescent="0.25">
      <c r="A52" s="32">
        <v>91.666666666666671</v>
      </c>
      <c r="B52" s="32">
        <v>1</v>
      </c>
    </row>
    <row r="53" spans="1:2" x14ac:dyDescent="0.25">
      <c r="A53" s="32">
        <v>95.000000000000014</v>
      </c>
      <c r="B53" s="32">
        <v>1</v>
      </c>
    </row>
    <row r="54" spans="1:2" ht="15.75" thickBot="1" x14ac:dyDescent="0.3">
      <c r="A54" s="31">
        <v>98.333333333333343</v>
      </c>
      <c r="B54" s="31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1"/>
  <sheetViews>
    <sheetView workbookViewId="0">
      <selection activeCell="G8" sqref="G8"/>
    </sheetView>
  </sheetViews>
  <sheetFormatPr defaultRowHeight="15" x14ac:dyDescent="0.25"/>
  <cols>
    <col min="1" max="1" width="5.7109375" style="2" customWidth="1"/>
    <col min="2" max="2" width="6.28515625" style="2" customWidth="1"/>
    <col min="3" max="3" width="7.85546875" customWidth="1"/>
    <col min="4" max="4" width="9.5703125" bestFit="1" customWidth="1"/>
    <col min="6" max="6" width="5" customWidth="1"/>
    <col min="7" max="7" width="10.28515625" customWidth="1"/>
    <col min="8" max="8" width="19" customWidth="1"/>
  </cols>
  <sheetData>
    <row r="1" spans="1:8" ht="15.75" thickBot="1" x14ac:dyDescent="0.3">
      <c r="A1" s="2" t="s">
        <v>1</v>
      </c>
      <c r="B1" s="2" t="s">
        <v>0</v>
      </c>
      <c r="D1" s="5" t="s">
        <v>2</v>
      </c>
      <c r="E1" s="5"/>
    </row>
    <row r="2" spans="1:8" x14ac:dyDescent="0.25">
      <c r="A2" s="2">
        <v>31.743384346846163</v>
      </c>
      <c r="B2" s="2">
        <v>27.1</v>
      </c>
      <c r="C2" s="1"/>
      <c r="D2" s="6">
        <f t="array" ref="D2:E6">LINEST(B2:B151,A2:A151,,TRUE)</f>
        <v>0.24477428025550874</v>
      </c>
      <c r="E2" s="8">
        <v>21.481441663081114</v>
      </c>
      <c r="G2" s="2"/>
    </row>
    <row r="3" spans="1:8" x14ac:dyDescent="0.25">
      <c r="A3" s="2">
        <v>34.958109731816343</v>
      </c>
      <c r="B3" s="2">
        <v>30</v>
      </c>
      <c r="D3" s="7">
        <v>1.247532369295277E-2</v>
      </c>
      <c r="E3" s="9">
        <v>0.302709624453392</v>
      </c>
    </row>
    <row r="4" spans="1:8" x14ac:dyDescent="0.25">
      <c r="A4" s="2">
        <v>4.8788158513547364</v>
      </c>
      <c r="B4" s="2">
        <v>24.2</v>
      </c>
      <c r="D4" s="7">
        <v>0.72231130065499838</v>
      </c>
      <c r="E4" s="9">
        <v>1.7361289461990963</v>
      </c>
      <c r="G4" s="1" t="s">
        <v>3</v>
      </c>
    </row>
    <row r="5" spans="1:8" x14ac:dyDescent="0.25">
      <c r="A5" s="2">
        <v>10.184696735037013</v>
      </c>
      <c r="B5" s="2">
        <v>25.1</v>
      </c>
      <c r="D5" s="7">
        <v>384.97091436956231</v>
      </c>
      <c r="E5" s="4">
        <v>148</v>
      </c>
    </row>
    <row r="6" spans="1:8" ht="15.75" thickBot="1" x14ac:dyDescent="0.3">
      <c r="A6" s="2">
        <v>38.342945902172758</v>
      </c>
      <c r="B6" s="2">
        <v>32.6</v>
      </c>
      <c r="D6" s="14">
        <v>1160.3576630944351</v>
      </c>
      <c r="E6" s="15">
        <v>446.09327023889688</v>
      </c>
    </row>
    <row r="7" spans="1:8" x14ac:dyDescent="0.25">
      <c r="A7" s="2">
        <v>6.5814040018442155</v>
      </c>
      <c r="B7" s="2">
        <v>24.8</v>
      </c>
    </row>
    <row r="8" spans="1:8" x14ac:dyDescent="0.25">
      <c r="A8" s="2">
        <v>28.284771240437824</v>
      </c>
      <c r="B8" s="2">
        <v>30.1</v>
      </c>
      <c r="F8" s="10" t="s">
        <v>5</v>
      </c>
      <c r="G8" s="13">
        <f>D2/D3</f>
        <v>19.620675685856565</v>
      </c>
      <c r="H8" s="1" t="s">
        <v>6</v>
      </c>
    </row>
    <row r="9" spans="1:8" x14ac:dyDescent="0.25">
      <c r="A9" s="2">
        <v>31.164693079298132</v>
      </c>
      <c r="B9" s="2">
        <v>29</v>
      </c>
      <c r="F9" s="10" t="s">
        <v>4</v>
      </c>
      <c r="G9" s="3">
        <f>_xlfn.T.DIST.2T(G8,E5)</f>
        <v>5.1158113377668236E-43</v>
      </c>
      <c r="H9" s="1" t="s">
        <v>7</v>
      </c>
    </row>
    <row r="10" spans="1:8" x14ac:dyDescent="0.25">
      <c r="A10" s="2">
        <v>17.271495271870787</v>
      </c>
      <c r="B10" s="2">
        <v>22.6</v>
      </c>
    </row>
    <row r="11" spans="1:8" x14ac:dyDescent="0.25">
      <c r="A11" s="2">
        <v>33.878182165045516</v>
      </c>
      <c r="B11" s="2">
        <v>31.6</v>
      </c>
    </row>
    <row r="12" spans="1:8" x14ac:dyDescent="0.25">
      <c r="A12" s="2">
        <v>6.0630189708386162</v>
      </c>
      <c r="B12" s="2">
        <v>21</v>
      </c>
    </row>
    <row r="13" spans="1:8" x14ac:dyDescent="0.25">
      <c r="A13" s="2">
        <v>38.320979210423772</v>
      </c>
      <c r="B13" s="2">
        <v>31.1</v>
      </c>
    </row>
    <row r="14" spans="1:8" x14ac:dyDescent="0.25">
      <c r="A14" s="2">
        <v>14.960279099451533</v>
      </c>
      <c r="B14" s="2">
        <v>26.1</v>
      </c>
    </row>
    <row r="15" spans="1:8" x14ac:dyDescent="0.25">
      <c r="A15" s="2">
        <v>36.19954262997679</v>
      </c>
      <c r="B15" s="2">
        <v>32.5</v>
      </c>
    </row>
    <row r="16" spans="1:8" x14ac:dyDescent="0.25">
      <c r="A16" s="2">
        <v>29.306919152932224</v>
      </c>
      <c r="B16" s="2">
        <v>30.9</v>
      </c>
    </row>
    <row r="17" spans="1:2" x14ac:dyDescent="0.25">
      <c r="A17" s="2">
        <v>16.574828988803326</v>
      </c>
      <c r="B17" s="2">
        <v>28.2</v>
      </c>
    </row>
    <row r="18" spans="1:2" x14ac:dyDescent="0.25">
      <c r="A18" s="2">
        <v>21.17437927257232</v>
      </c>
      <c r="B18" s="2">
        <v>29.8</v>
      </c>
    </row>
    <row r="19" spans="1:2" x14ac:dyDescent="0.25">
      <c r="A19" s="2">
        <v>31.752312918192192</v>
      </c>
      <c r="B19" s="2">
        <v>27.4</v>
      </c>
    </row>
    <row r="20" spans="1:2" x14ac:dyDescent="0.25">
      <c r="A20" s="2">
        <v>0.90330737072500611</v>
      </c>
      <c r="B20" s="2">
        <v>22.5</v>
      </c>
    </row>
    <row r="21" spans="1:2" x14ac:dyDescent="0.25">
      <c r="A21" s="2">
        <v>16.49472514336242</v>
      </c>
      <c r="B21" s="2">
        <v>23.8</v>
      </c>
    </row>
    <row r="22" spans="1:2" x14ac:dyDescent="0.25">
      <c r="A22" s="2">
        <v>6.5303096972835428</v>
      </c>
      <c r="B22" s="2">
        <v>26.9</v>
      </c>
    </row>
    <row r="23" spans="1:2" x14ac:dyDescent="0.25">
      <c r="A23" s="2">
        <v>39.875001289106812</v>
      </c>
      <c r="B23" s="2">
        <v>30.7</v>
      </c>
    </row>
    <row r="24" spans="1:2" x14ac:dyDescent="0.25">
      <c r="A24" s="2">
        <v>10.875141439812918</v>
      </c>
      <c r="B24" s="2">
        <v>23.1</v>
      </c>
    </row>
    <row r="25" spans="1:2" x14ac:dyDescent="0.25">
      <c r="A25" s="2">
        <v>9.7521642503504644</v>
      </c>
      <c r="B25" s="2">
        <v>22.7</v>
      </c>
    </row>
    <row r="26" spans="1:2" x14ac:dyDescent="0.25">
      <c r="A26" s="2">
        <v>29.35564701217438</v>
      </c>
      <c r="B26" s="2">
        <v>31</v>
      </c>
    </row>
    <row r="27" spans="1:2" x14ac:dyDescent="0.25">
      <c r="A27" s="2">
        <v>2.3208642885674813</v>
      </c>
      <c r="B27" s="2">
        <v>25.1</v>
      </c>
    </row>
    <row r="28" spans="1:2" x14ac:dyDescent="0.25">
      <c r="A28" s="2">
        <v>23.915315620949627</v>
      </c>
      <c r="B28" s="2">
        <v>29.6</v>
      </c>
    </row>
    <row r="29" spans="1:2" x14ac:dyDescent="0.25">
      <c r="A29" s="2">
        <v>14.992939997172702</v>
      </c>
      <c r="B29" s="2">
        <v>27.8</v>
      </c>
    </row>
    <row r="30" spans="1:2" x14ac:dyDescent="0.25">
      <c r="A30" s="2">
        <v>29.340678029340651</v>
      </c>
      <c r="B30" s="2">
        <v>28.4</v>
      </c>
    </row>
    <row r="31" spans="1:2" x14ac:dyDescent="0.25">
      <c r="A31" s="2">
        <v>24.444621769466185</v>
      </c>
      <c r="B31" s="2">
        <v>28.4</v>
      </c>
    </row>
    <row r="32" spans="1:2" x14ac:dyDescent="0.25">
      <c r="A32" s="2">
        <v>25.052549139835605</v>
      </c>
      <c r="B32" s="2">
        <v>25.7</v>
      </c>
    </row>
    <row r="33" spans="1:2" x14ac:dyDescent="0.25">
      <c r="A33" s="2">
        <v>22.633926479493205</v>
      </c>
      <c r="B33" s="2">
        <v>24.2</v>
      </c>
    </row>
    <row r="34" spans="1:2" x14ac:dyDescent="0.25">
      <c r="A34" s="2">
        <v>6.8943417058207901</v>
      </c>
      <c r="B34" s="2">
        <v>22.9</v>
      </c>
    </row>
    <row r="35" spans="1:2" x14ac:dyDescent="0.25">
      <c r="A35" s="2">
        <v>21.100363291421043</v>
      </c>
      <c r="B35" s="2">
        <v>25.4</v>
      </c>
    </row>
    <row r="36" spans="1:2" x14ac:dyDescent="0.25">
      <c r="A36" s="2">
        <v>4.5860989634410165</v>
      </c>
      <c r="B36" s="2">
        <v>23.5</v>
      </c>
    </row>
    <row r="37" spans="1:2" x14ac:dyDescent="0.25">
      <c r="A37" s="2">
        <v>34.520496769446098</v>
      </c>
      <c r="B37" s="2">
        <v>29.5</v>
      </c>
    </row>
    <row r="38" spans="1:2" x14ac:dyDescent="0.25">
      <c r="A38" s="2">
        <v>9.4202964726715432</v>
      </c>
      <c r="B38" s="2">
        <v>24.2</v>
      </c>
    </row>
    <row r="39" spans="1:2" x14ac:dyDescent="0.25">
      <c r="A39" s="2">
        <v>5.8846668410032965</v>
      </c>
      <c r="B39" s="2">
        <v>23.4</v>
      </c>
    </row>
    <row r="40" spans="1:2" x14ac:dyDescent="0.25">
      <c r="A40" s="2">
        <v>32.532842816420299</v>
      </c>
      <c r="B40" s="2">
        <v>32.1</v>
      </c>
    </row>
    <row r="41" spans="1:2" x14ac:dyDescent="0.25">
      <c r="A41" s="2">
        <v>35.743148621639506</v>
      </c>
      <c r="B41" s="2">
        <v>29.1</v>
      </c>
    </row>
    <row r="42" spans="1:2" x14ac:dyDescent="0.25">
      <c r="A42" s="2">
        <v>19.596832989729709</v>
      </c>
      <c r="B42" s="2">
        <v>24</v>
      </c>
    </row>
    <row r="43" spans="1:2" x14ac:dyDescent="0.25">
      <c r="A43" s="2">
        <v>23.509803179249449</v>
      </c>
      <c r="B43" s="2">
        <v>29.7</v>
      </c>
    </row>
    <row r="44" spans="1:2" x14ac:dyDescent="0.25">
      <c r="A44" s="2">
        <v>15.786794897142977</v>
      </c>
      <c r="B44" s="2">
        <v>25.4</v>
      </c>
    </row>
    <row r="45" spans="1:2" x14ac:dyDescent="0.25">
      <c r="A45" s="2">
        <v>37.26143233596077</v>
      </c>
      <c r="B45" s="2">
        <v>32.799999999999997</v>
      </c>
    </row>
    <row r="46" spans="1:2" x14ac:dyDescent="0.25">
      <c r="A46" s="2">
        <v>38.865160100219647</v>
      </c>
      <c r="B46" s="2">
        <v>29.9</v>
      </c>
    </row>
    <row r="47" spans="1:2" x14ac:dyDescent="0.25">
      <c r="A47" s="2">
        <v>13.759602866722332</v>
      </c>
      <c r="B47" s="2">
        <v>26.1</v>
      </c>
    </row>
    <row r="48" spans="1:2" x14ac:dyDescent="0.25">
      <c r="A48" s="2">
        <v>7.69857871827893</v>
      </c>
      <c r="B48" s="2">
        <v>22.7</v>
      </c>
    </row>
    <row r="49" spans="1:2" x14ac:dyDescent="0.25">
      <c r="A49" s="2">
        <v>39.682422699709534</v>
      </c>
      <c r="B49" s="2">
        <v>31.8</v>
      </c>
    </row>
    <row r="50" spans="1:2" x14ac:dyDescent="0.25">
      <c r="A50" s="2">
        <v>20.070856467761864</v>
      </c>
      <c r="B50" s="2">
        <v>29.7</v>
      </c>
    </row>
    <row r="51" spans="1:2" x14ac:dyDescent="0.25">
      <c r="A51" s="2">
        <v>11.187068619692365</v>
      </c>
      <c r="B51" s="2">
        <v>23.3</v>
      </c>
    </row>
    <row r="52" spans="1:2" x14ac:dyDescent="0.25">
      <c r="A52" s="2">
        <v>35.45910483116716</v>
      </c>
      <c r="B52" s="2">
        <v>30.7</v>
      </c>
    </row>
    <row r="53" spans="1:2" x14ac:dyDescent="0.25">
      <c r="A53" s="2">
        <v>1.2250175378008166</v>
      </c>
      <c r="B53" s="2">
        <v>22.1</v>
      </c>
    </row>
    <row r="54" spans="1:2" x14ac:dyDescent="0.25">
      <c r="A54" s="2">
        <v>36.260486828857765</v>
      </c>
      <c r="B54" s="2">
        <v>30.3</v>
      </c>
    </row>
    <row r="55" spans="1:2" x14ac:dyDescent="0.25">
      <c r="A55" s="2">
        <v>29.723636159491914</v>
      </c>
      <c r="B55" s="2">
        <v>28.8</v>
      </c>
    </row>
    <row r="56" spans="1:2" x14ac:dyDescent="0.25">
      <c r="A56" s="2">
        <v>33.597764423718715</v>
      </c>
      <c r="B56" s="2">
        <v>28</v>
      </c>
    </row>
    <row r="57" spans="1:2" x14ac:dyDescent="0.25">
      <c r="A57" s="2">
        <v>8.9268169567904678</v>
      </c>
      <c r="B57" s="2">
        <v>25.3</v>
      </c>
    </row>
    <row r="58" spans="1:2" x14ac:dyDescent="0.25">
      <c r="A58" s="2">
        <v>21.963672681381897</v>
      </c>
      <c r="B58" s="2">
        <v>25.9</v>
      </c>
    </row>
    <row r="59" spans="1:2" x14ac:dyDescent="0.25">
      <c r="A59" s="2">
        <v>6.6252071068834617</v>
      </c>
      <c r="B59" s="2">
        <v>23</v>
      </c>
    </row>
    <row r="60" spans="1:2" x14ac:dyDescent="0.25">
      <c r="A60" s="2">
        <v>0.55391348400353646</v>
      </c>
      <c r="B60" s="2">
        <v>22.1</v>
      </c>
    </row>
    <row r="61" spans="1:2" x14ac:dyDescent="0.25">
      <c r="A61" s="2">
        <v>18.748792460750039</v>
      </c>
      <c r="B61" s="2">
        <v>23.4</v>
      </c>
    </row>
    <row r="62" spans="1:2" x14ac:dyDescent="0.25">
      <c r="A62" s="2">
        <v>23.736555960907417</v>
      </c>
      <c r="B62" s="2">
        <v>27.7</v>
      </c>
    </row>
    <row r="63" spans="1:2" x14ac:dyDescent="0.25">
      <c r="A63" s="2">
        <v>17.713013322979023</v>
      </c>
      <c r="B63" s="2">
        <v>26.4</v>
      </c>
    </row>
    <row r="64" spans="1:2" x14ac:dyDescent="0.25">
      <c r="A64" s="2">
        <v>27.03259920003682</v>
      </c>
      <c r="B64" s="2">
        <v>26.7</v>
      </c>
    </row>
    <row r="65" spans="1:2" x14ac:dyDescent="0.25">
      <c r="A65" s="2">
        <v>33.34424378889608</v>
      </c>
      <c r="B65" s="2">
        <v>31.9</v>
      </c>
    </row>
    <row r="66" spans="1:2" x14ac:dyDescent="0.25">
      <c r="A66" s="2">
        <v>7.2226711407728406</v>
      </c>
      <c r="B66" s="2">
        <v>20.6</v>
      </c>
    </row>
    <row r="67" spans="1:2" x14ac:dyDescent="0.25">
      <c r="A67" s="2">
        <v>35.058218965177716</v>
      </c>
      <c r="B67" s="2">
        <v>28.5</v>
      </c>
    </row>
    <row r="68" spans="1:2" x14ac:dyDescent="0.25">
      <c r="A68" s="2">
        <v>36.813688321406318</v>
      </c>
      <c r="B68" s="2">
        <v>32.1</v>
      </c>
    </row>
    <row r="69" spans="1:2" x14ac:dyDescent="0.25">
      <c r="A69" s="2">
        <v>7.9744392333354108</v>
      </c>
      <c r="B69" s="2">
        <v>23.1</v>
      </c>
    </row>
    <row r="70" spans="1:2" x14ac:dyDescent="0.25">
      <c r="A70" s="2">
        <v>7.9012319498919581</v>
      </c>
      <c r="B70" s="2">
        <v>22.2</v>
      </c>
    </row>
    <row r="71" spans="1:2" x14ac:dyDescent="0.25">
      <c r="A71" s="2">
        <v>32.119622989351569</v>
      </c>
      <c r="B71" s="2">
        <v>28.1</v>
      </c>
    </row>
    <row r="72" spans="1:2" x14ac:dyDescent="0.25">
      <c r="A72" s="2">
        <v>19.542953740012166</v>
      </c>
      <c r="B72" s="2">
        <v>25.7</v>
      </c>
    </row>
    <row r="73" spans="1:2" x14ac:dyDescent="0.25">
      <c r="A73" s="2">
        <v>16.686036766732055</v>
      </c>
      <c r="B73" s="2">
        <v>25.2</v>
      </c>
    </row>
    <row r="74" spans="1:2" x14ac:dyDescent="0.25">
      <c r="A74" s="2">
        <v>37.430007271620383</v>
      </c>
      <c r="B74" s="2">
        <v>29.9</v>
      </c>
    </row>
    <row r="75" spans="1:2" x14ac:dyDescent="0.25">
      <c r="A75" s="2">
        <v>39.207497961769768</v>
      </c>
      <c r="B75" s="2">
        <v>31.3</v>
      </c>
    </row>
    <row r="76" spans="1:2" x14ac:dyDescent="0.25">
      <c r="A76" s="2">
        <v>18.963605261484172</v>
      </c>
      <c r="B76" s="2">
        <v>26.3</v>
      </c>
    </row>
    <row r="77" spans="1:2" x14ac:dyDescent="0.25">
      <c r="A77" s="2">
        <v>23.783526984112548</v>
      </c>
      <c r="B77" s="2">
        <v>28</v>
      </c>
    </row>
    <row r="78" spans="1:2" x14ac:dyDescent="0.25">
      <c r="A78" s="2">
        <v>30.316569994588797</v>
      </c>
      <c r="B78" s="2">
        <v>29.4</v>
      </c>
    </row>
    <row r="79" spans="1:2" x14ac:dyDescent="0.25">
      <c r="A79" s="2">
        <v>3.5609875829443371</v>
      </c>
      <c r="B79" s="2">
        <v>21</v>
      </c>
    </row>
    <row r="80" spans="1:2" x14ac:dyDescent="0.25">
      <c r="A80" s="2">
        <v>26.928129932764364</v>
      </c>
      <c r="B80" s="2">
        <v>28.8</v>
      </c>
    </row>
    <row r="81" spans="1:2" x14ac:dyDescent="0.25">
      <c r="A81" s="2">
        <v>17.583079473986025</v>
      </c>
      <c r="B81" s="2">
        <v>25.1</v>
      </c>
    </row>
    <row r="82" spans="1:2" x14ac:dyDescent="0.25">
      <c r="A82" s="2">
        <v>25.219379264679461</v>
      </c>
      <c r="B82" s="2">
        <v>25.7</v>
      </c>
    </row>
    <row r="83" spans="1:2" x14ac:dyDescent="0.25">
      <c r="A83" s="2">
        <v>14.658599350083662</v>
      </c>
      <c r="B83" s="2">
        <v>24.4</v>
      </c>
    </row>
    <row r="84" spans="1:2" x14ac:dyDescent="0.25">
      <c r="A84" s="2">
        <v>25.316671759200638</v>
      </c>
      <c r="B84" s="2">
        <v>27.3</v>
      </c>
    </row>
    <row r="85" spans="1:2" x14ac:dyDescent="0.25">
      <c r="A85" s="2">
        <v>16.747616338634334</v>
      </c>
      <c r="B85" s="2">
        <v>21.6</v>
      </c>
    </row>
    <row r="86" spans="1:2" x14ac:dyDescent="0.25">
      <c r="A86" s="2">
        <v>22.264147347078097</v>
      </c>
      <c r="B86" s="2">
        <v>28.6</v>
      </c>
    </row>
    <row r="87" spans="1:2" x14ac:dyDescent="0.25">
      <c r="A87" s="2">
        <v>32.191982995563357</v>
      </c>
      <c r="B87" s="2">
        <v>31.4</v>
      </c>
    </row>
    <row r="88" spans="1:2" x14ac:dyDescent="0.25">
      <c r="A88" s="2">
        <v>9.9671074419762427</v>
      </c>
      <c r="B88" s="2">
        <v>23</v>
      </c>
    </row>
    <row r="89" spans="1:2" x14ac:dyDescent="0.25">
      <c r="A89" s="2">
        <v>38.001032049993086</v>
      </c>
      <c r="B89" s="2">
        <v>30.8</v>
      </c>
    </row>
    <row r="90" spans="1:2" x14ac:dyDescent="0.25">
      <c r="A90" s="2">
        <v>13.019798918229188</v>
      </c>
      <c r="B90" s="2">
        <v>23</v>
      </c>
    </row>
    <row r="91" spans="1:2" x14ac:dyDescent="0.25">
      <c r="A91" s="2">
        <v>24.41903705463784</v>
      </c>
      <c r="B91" s="2">
        <v>30.3</v>
      </c>
    </row>
    <row r="92" spans="1:2" x14ac:dyDescent="0.25">
      <c r="A92" s="2">
        <v>24.941213100121548</v>
      </c>
      <c r="B92" s="2">
        <v>25.3</v>
      </c>
    </row>
    <row r="93" spans="1:2" x14ac:dyDescent="0.25">
      <c r="A93" s="2">
        <v>17.511825153706351</v>
      </c>
      <c r="B93" s="2">
        <v>27</v>
      </c>
    </row>
    <row r="94" spans="1:2" x14ac:dyDescent="0.25">
      <c r="A94" s="2">
        <v>6.0893620843799656</v>
      </c>
      <c r="B94" s="2">
        <v>24.8</v>
      </c>
    </row>
    <row r="95" spans="1:2" x14ac:dyDescent="0.25">
      <c r="A95" s="2">
        <v>8.39899643856727</v>
      </c>
      <c r="B95" s="2">
        <v>23.3</v>
      </c>
    </row>
    <row r="96" spans="1:2" x14ac:dyDescent="0.25">
      <c r="A96" s="2">
        <v>39.472784818667883</v>
      </c>
      <c r="B96" s="2">
        <v>30.9</v>
      </c>
    </row>
    <row r="97" spans="1:2" x14ac:dyDescent="0.25">
      <c r="A97" s="2">
        <v>32.17269989198607</v>
      </c>
      <c r="B97" s="2">
        <v>29.1</v>
      </c>
    </row>
    <row r="98" spans="1:2" x14ac:dyDescent="0.25">
      <c r="A98" s="2">
        <v>38.789491122313514</v>
      </c>
      <c r="B98" s="2">
        <v>32.1</v>
      </c>
    </row>
    <row r="99" spans="1:2" x14ac:dyDescent="0.25">
      <c r="A99" s="2">
        <v>16.168625584028547</v>
      </c>
      <c r="B99" s="2">
        <v>23.2</v>
      </c>
    </row>
    <row r="100" spans="1:2" x14ac:dyDescent="0.25">
      <c r="A100" s="2">
        <v>5.649338973416258</v>
      </c>
      <c r="B100" s="2">
        <v>20.9</v>
      </c>
    </row>
    <row r="101" spans="1:2" x14ac:dyDescent="0.25">
      <c r="A101" s="2">
        <v>19.719154996140485</v>
      </c>
      <c r="B101" s="2">
        <v>28.8</v>
      </c>
    </row>
    <row r="102" spans="1:2" x14ac:dyDescent="0.25">
      <c r="A102" s="2">
        <v>29.294530220802336</v>
      </c>
      <c r="B102" s="2">
        <v>26.5</v>
      </c>
    </row>
    <row r="103" spans="1:2" x14ac:dyDescent="0.25">
      <c r="A103" s="2">
        <v>35.906344680769124</v>
      </c>
      <c r="B103" s="2">
        <v>30.3</v>
      </c>
    </row>
    <row r="104" spans="1:2" x14ac:dyDescent="0.25">
      <c r="A104" s="2">
        <v>31.430046686838242</v>
      </c>
      <c r="B104" s="2">
        <v>28.3</v>
      </c>
    </row>
    <row r="105" spans="1:2" x14ac:dyDescent="0.25">
      <c r="A105" s="2">
        <v>19.31769322840864</v>
      </c>
      <c r="B105" s="2">
        <v>27.8</v>
      </c>
    </row>
    <row r="106" spans="1:2" x14ac:dyDescent="0.25">
      <c r="A106" s="2">
        <v>24.652885103051926</v>
      </c>
      <c r="B106" s="2">
        <v>31.1</v>
      </c>
    </row>
    <row r="107" spans="1:2" x14ac:dyDescent="0.25">
      <c r="A107" s="2">
        <v>3.8080266623487535</v>
      </c>
      <c r="B107" s="2">
        <v>22.1</v>
      </c>
    </row>
    <row r="108" spans="1:2" x14ac:dyDescent="0.25">
      <c r="A108" s="2">
        <v>38.641569179331825</v>
      </c>
      <c r="B108" s="2">
        <v>31.1</v>
      </c>
    </row>
    <row r="109" spans="1:2" x14ac:dyDescent="0.25">
      <c r="A109" s="2">
        <v>12.978652516050438</v>
      </c>
      <c r="B109" s="2">
        <v>21.2</v>
      </c>
    </row>
    <row r="110" spans="1:2" x14ac:dyDescent="0.25">
      <c r="A110" s="2">
        <v>23.138558097068884</v>
      </c>
      <c r="B110" s="2">
        <v>26.1</v>
      </c>
    </row>
    <row r="111" spans="1:2" x14ac:dyDescent="0.25">
      <c r="A111" s="2">
        <v>16.207618406060558</v>
      </c>
      <c r="B111" s="2">
        <v>27.3</v>
      </c>
    </row>
    <row r="112" spans="1:2" x14ac:dyDescent="0.25">
      <c r="A112" s="2">
        <v>15.07497436080936</v>
      </c>
      <c r="B112" s="2">
        <v>22.9</v>
      </c>
    </row>
    <row r="113" spans="1:2" x14ac:dyDescent="0.25">
      <c r="A113" s="2">
        <v>4.4174846282480651</v>
      </c>
      <c r="B113" s="2">
        <v>21</v>
      </c>
    </row>
    <row r="114" spans="1:2" x14ac:dyDescent="0.25">
      <c r="A114" s="2">
        <v>7.8903614077268402</v>
      </c>
      <c r="B114" s="2">
        <v>25.5</v>
      </c>
    </row>
    <row r="115" spans="1:2" x14ac:dyDescent="0.25">
      <c r="A115" s="2">
        <v>4.5499146455769024</v>
      </c>
      <c r="B115" s="2">
        <v>22</v>
      </c>
    </row>
    <row r="116" spans="1:2" x14ac:dyDescent="0.25">
      <c r="A116" s="2">
        <v>37.399184716998107</v>
      </c>
      <c r="B116" s="2">
        <v>30.8</v>
      </c>
    </row>
    <row r="117" spans="1:2" x14ac:dyDescent="0.25">
      <c r="A117" s="2">
        <v>7.5349025076543308</v>
      </c>
      <c r="B117" s="2">
        <v>22.9</v>
      </c>
    </row>
    <row r="118" spans="1:2" x14ac:dyDescent="0.25">
      <c r="A118" s="2">
        <v>37.485647489870331</v>
      </c>
      <c r="B118" s="2">
        <v>29</v>
      </c>
    </row>
    <row r="119" spans="1:2" x14ac:dyDescent="0.25">
      <c r="A119" s="2">
        <v>31.873407228068871</v>
      </c>
      <c r="B119" s="2">
        <v>29.2</v>
      </c>
    </row>
    <row r="120" spans="1:2" x14ac:dyDescent="0.25">
      <c r="A120" s="2">
        <v>22.794143334910331</v>
      </c>
      <c r="B120" s="2">
        <v>26</v>
      </c>
    </row>
    <row r="121" spans="1:2" x14ac:dyDescent="0.25">
      <c r="A121" s="2">
        <v>39.104216659933989</v>
      </c>
      <c r="B121" s="2">
        <v>30.4</v>
      </c>
    </row>
    <row r="122" spans="1:2" x14ac:dyDescent="0.25">
      <c r="A122" s="2">
        <v>23.18853406301055</v>
      </c>
      <c r="B122" s="2">
        <v>27.9</v>
      </c>
    </row>
    <row r="123" spans="1:2" x14ac:dyDescent="0.25">
      <c r="A123" s="2">
        <v>33.164552520110433</v>
      </c>
      <c r="B123" s="2">
        <v>31.5</v>
      </c>
    </row>
    <row r="124" spans="1:2" x14ac:dyDescent="0.25">
      <c r="A124" s="2">
        <v>39.445790200174415</v>
      </c>
      <c r="B124" s="2">
        <v>27.6</v>
      </c>
    </row>
    <row r="125" spans="1:2" x14ac:dyDescent="0.25">
      <c r="A125" s="2">
        <v>26.773738187125385</v>
      </c>
      <c r="B125" s="2">
        <v>25.1</v>
      </c>
    </row>
    <row r="126" spans="1:2" x14ac:dyDescent="0.25">
      <c r="A126" s="2">
        <v>6.0743197005829286</v>
      </c>
      <c r="B126" s="2">
        <v>22.2</v>
      </c>
    </row>
    <row r="127" spans="1:2" x14ac:dyDescent="0.25">
      <c r="A127" s="2">
        <v>17.940142655427916</v>
      </c>
      <c r="B127" s="2">
        <v>28.1</v>
      </c>
    </row>
    <row r="128" spans="1:2" x14ac:dyDescent="0.25">
      <c r="A128" s="2">
        <v>30.369539880141364</v>
      </c>
      <c r="B128" s="2">
        <v>29.1</v>
      </c>
    </row>
    <row r="129" spans="1:2" x14ac:dyDescent="0.25">
      <c r="A129" s="2">
        <v>27.500714396353715</v>
      </c>
      <c r="B129" s="2">
        <v>25.8</v>
      </c>
    </row>
    <row r="130" spans="1:2" x14ac:dyDescent="0.25">
      <c r="A130" s="2">
        <v>10.855502881977316</v>
      </c>
      <c r="B130" s="2">
        <v>25.6</v>
      </c>
    </row>
    <row r="131" spans="1:2" x14ac:dyDescent="0.25">
      <c r="A131" s="2">
        <v>7.4499837795201218</v>
      </c>
      <c r="B131" s="2">
        <v>24.9</v>
      </c>
    </row>
    <row r="132" spans="1:2" x14ac:dyDescent="0.25">
      <c r="A132" s="2">
        <v>12.425665838843557</v>
      </c>
      <c r="B132" s="2">
        <v>21.1</v>
      </c>
    </row>
    <row r="133" spans="1:2" x14ac:dyDescent="0.25">
      <c r="A133" s="2">
        <v>1.07556802908372</v>
      </c>
      <c r="B133" s="2">
        <v>21</v>
      </c>
    </row>
    <row r="134" spans="1:2" x14ac:dyDescent="0.25">
      <c r="A134" s="2">
        <v>14.661255969006874</v>
      </c>
      <c r="B134" s="2">
        <v>24.3</v>
      </c>
    </row>
    <row r="135" spans="1:2" x14ac:dyDescent="0.25">
      <c r="A135" s="2">
        <v>17.408303452779105</v>
      </c>
      <c r="B135" s="2">
        <v>22.9</v>
      </c>
    </row>
    <row r="136" spans="1:2" x14ac:dyDescent="0.25">
      <c r="A136" s="2">
        <v>26.358498283278358</v>
      </c>
      <c r="B136" s="2">
        <v>25.2</v>
      </c>
    </row>
    <row r="137" spans="1:2" x14ac:dyDescent="0.25">
      <c r="A137" s="2">
        <v>5.029461988014936</v>
      </c>
      <c r="B137" s="2">
        <v>21.7</v>
      </c>
    </row>
    <row r="138" spans="1:2" x14ac:dyDescent="0.25">
      <c r="A138" s="2">
        <v>35.805912329670008</v>
      </c>
      <c r="B138" s="2">
        <v>28.4</v>
      </c>
    </row>
    <row r="139" spans="1:2" x14ac:dyDescent="0.25">
      <c r="A139" s="2">
        <v>18.208266709366491</v>
      </c>
      <c r="B139" s="2">
        <v>28.6</v>
      </c>
    </row>
    <row r="140" spans="1:2" x14ac:dyDescent="0.25">
      <c r="A140" s="2">
        <v>15.426895817049267</v>
      </c>
      <c r="B140" s="2">
        <v>26.5</v>
      </c>
    </row>
    <row r="141" spans="1:2" x14ac:dyDescent="0.25">
      <c r="A141" s="2">
        <v>37.483246969307913</v>
      </c>
      <c r="B141" s="2">
        <v>30.2</v>
      </c>
    </row>
    <row r="142" spans="1:2" x14ac:dyDescent="0.25">
      <c r="A142" s="2">
        <v>13.568887629069719</v>
      </c>
      <c r="B142" s="2">
        <v>26.7</v>
      </c>
    </row>
    <row r="143" spans="1:2" x14ac:dyDescent="0.25">
      <c r="A143" s="2">
        <v>30.733133275527138</v>
      </c>
      <c r="B143" s="2">
        <v>29.5</v>
      </c>
    </row>
    <row r="144" spans="1:2" x14ac:dyDescent="0.25">
      <c r="A144" s="2">
        <v>26.548496260857878</v>
      </c>
      <c r="B144" s="2">
        <v>26.8</v>
      </c>
    </row>
    <row r="145" spans="1:2" x14ac:dyDescent="0.25">
      <c r="A145" s="2">
        <v>25.557170514567421</v>
      </c>
      <c r="B145" s="2">
        <v>25.9</v>
      </c>
    </row>
    <row r="146" spans="1:2" x14ac:dyDescent="0.25">
      <c r="A146" s="2">
        <v>13.739960709923658</v>
      </c>
      <c r="B146" s="2">
        <v>24.7</v>
      </c>
    </row>
    <row r="147" spans="1:2" x14ac:dyDescent="0.25">
      <c r="A147" s="2">
        <v>18.165378714174377</v>
      </c>
      <c r="B147" s="2">
        <v>29.5</v>
      </c>
    </row>
    <row r="148" spans="1:2" x14ac:dyDescent="0.25">
      <c r="A148" s="2">
        <v>29.269881075322669</v>
      </c>
      <c r="B148" s="2">
        <v>29</v>
      </c>
    </row>
    <row r="149" spans="1:2" x14ac:dyDescent="0.25">
      <c r="A149" s="2">
        <v>9.6023563891624697</v>
      </c>
      <c r="B149" s="2">
        <v>21.6</v>
      </c>
    </row>
    <row r="150" spans="1:2" x14ac:dyDescent="0.25">
      <c r="A150" s="2">
        <v>19.330152347215829</v>
      </c>
      <c r="B150" s="2">
        <v>28.2</v>
      </c>
    </row>
    <row r="151" spans="1:2" x14ac:dyDescent="0.25">
      <c r="A151" s="2">
        <v>26.3455906142107</v>
      </c>
      <c r="B151" s="2">
        <v>29.7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1"/>
  <sheetViews>
    <sheetView workbookViewId="0">
      <selection activeCell="G9" sqref="G9"/>
    </sheetView>
  </sheetViews>
  <sheetFormatPr defaultRowHeight="15" x14ac:dyDescent="0.25"/>
  <cols>
    <col min="1" max="1" width="5.7109375" style="2" customWidth="1"/>
    <col min="2" max="2" width="6.28515625" style="2" customWidth="1"/>
    <col min="3" max="3" width="7.85546875" customWidth="1"/>
    <col min="4" max="4" width="9.5703125" bestFit="1" customWidth="1"/>
    <col min="5" max="5" width="10" customWidth="1"/>
    <col min="6" max="6" width="5" customWidth="1"/>
    <col min="7" max="7" width="10.28515625" customWidth="1"/>
    <col min="8" max="8" width="19" customWidth="1"/>
    <col min="10" max="10" width="9.5703125" bestFit="1" customWidth="1"/>
    <col min="11" max="11" width="11.5703125" bestFit="1" customWidth="1"/>
  </cols>
  <sheetData>
    <row r="1" spans="1:10" ht="15.75" thickBot="1" x14ac:dyDescent="0.3">
      <c r="A1" s="2" t="s">
        <v>1</v>
      </c>
      <c r="B1" s="2" t="s">
        <v>0</v>
      </c>
      <c r="D1" s="5" t="s">
        <v>2</v>
      </c>
      <c r="E1" s="5"/>
    </row>
    <row r="2" spans="1:10" x14ac:dyDescent="0.25">
      <c r="A2" s="2">
        <v>0.55391348400353646</v>
      </c>
      <c r="B2" s="2">
        <v>24.565352111237299</v>
      </c>
      <c r="D2" s="6">
        <f t="array" ref="D2:E6">LINEST(B2:B151,A2:A151,,TRUE)</f>
        <v>0.24474954732077742</v>
      </c>
      <c r="E2" s="8">
        <v>21.481813985485065</v>
      </c>
      <c r="G2" s="2"/>
    </row>
    <row r="3" spans="1:10" x14ac:dyDescent="0.25">
      <c r="A3" s="2">
        <v>0.90330737072500611</v>
      </c>
      <c r="B3" s="2">
        <v>26.324156029088691</v>
      </c>
      <c r="D3" s="7">
        <v>7.4894052934309785E-2</v>
      </c>
      <c r="E3" s="9">
        <v>1.817279550858</v>
      </c>
    </row>
    <row r="4" spans="1:10" x14ac:dyDescent="0.25">
      <c r="A4" s="2">
        <v>1.07556802908372</v>
      </c>
      <c r="B4" s="2">
        <v>17.069926214382601</v>
      </c>
      <c r="D4" s="7">
        <v>6.7302070485699472E-2</v>
      </c>
      <c r="E4" s="9">
        <v>10.422634025189524</v>
      </c>
      <c r="G4" s="1" t="s">
        <v>3</v>
      </c>
    </row>
    <row r="5" spans="1:10" x14ac:dyDescent="0.25">
      <c r="A5" s="2">
        <v>1.2250175378008166</v>
      </c>
      <c r="B5" s="2">
        <v>23.843287843408291</v>
      </c>
      <c r="D5" s="7">
        <v>10.679455927462525</v>
      </c>
      <c r="E5" s="4">
        <v>148</v>
      </c>
    </row>
    <row r="6" spans="1:10" ht="15.75" thickBot="1" x14ac:dyDescent="0.3">
      <c r="A6" s="2">
        <v>2.3208642885674813</v>
      </c>
      <c r="B6" s="2">
        <v>40.4039699504319</v>
      </c>
      <c r="D6" s="14">
        <v>1160.1231809389974</v>
      </c>
      <c r="E6" s="15">
        <v>16077.432403409683</v>
      </c>
    </row>
    <row r="7" spans="1:10" x14ac:dyDescent="0.25">
      <c r="A7" s="2">
        <v>3.5609875829443371</v>
      </c>
      <c r="B7" s="2">
        <v>14.0961816143316</v>
      </c>
    </row>
    <row r="8" spans="1:10" x14ac:dyDescent="0.25">
      <c r="A8" s="2">
        <v>3.8080266623487535</v>
      </c>
      <c r="B8" s="2">
        <v>20.415443653466099</v>
      </c>
      <c r="F8" s="10" t="s">
        <v>5</v>
      </c>
      <c r="G8" s="13">
        <f>D2/D3</f>
        <v>3.267943684867066</v>
      </c>
      <c r="H8" s="1" t="s">
        <v>6</v>
      </c>
    </row>
    <row r="9" spans="1:10" x14ac:dyDescent="0.25">
      <c r="A9" s="2">
        <v>4.4174846282480651</v>
      </c>
      <c r="B9" s="2">
        <v>13.2823079718241</v>
      </c>
      <c r="F9" s="10" t="s">
        <v>4</v>
      </c>
      <c r="G9" s="12">
        <f>_xlfn.T.DIST.2T(G8,E5)</f>
        <v>1.3468706359468779E-3</v>
      </c>
      <c r="H9" s="1" t="s">
        <v>7</v>
      </c>
    </row>
    <row r="10" spans="1:10" x14ac:dyDescent="0.25">
      <c r="A10" s="2">
        <v>4.5499146455769024</v>
      </c>
      <c r="B10" s="2">
        <v>18.758767252157199</v>
      </c>
    </row>
    <row r="11" spans="1:10" x14ac:dyDescent="0.25">
      <c r="A11" s="2">
        <v>4.5860989634410165</v>
      </c>
      <c r="B11" s="2">
        <v>28.075722304113469</v>
      </c>
    </row>
    <row r="12" spans="1:10" x14ac:dyDescent="0.25">
      <c r="A12" s="2">
        <v>4.8788158513547364</v>
      </c>
      <c r="B12" s="2">
        <v>31.530093299999127</v>
      </c>
      <c r="J12" s="85"/>
    </row>
    <row r="13" spans="1:10" x14ac:dyDescent="0.25">
      <c r="A13" s="2">
        <v>5.029461988014936</v>
      </c>
      <c r="B13" s="2">
        <v>16.399158530923899</v>
      </c>
    </row>
    <row r="14" spans="1:10" x14ac:dyDescent="0.25">
      <c r="A14" s="2">
        <v>5.649338973416258</v>
      </c>
      <c r="B14" s="2">
        <v>10.8901135057953</v>
      </c>
    </row>
    <row r="15" spans="1:10" x14ac:dyDescent="0.25">
      <c r="A15" s="2">
        <v>5.8846668410032965</v>
      </c>
      <c r="B15" s="2">
        <v>25.840975824701001</v>
      </c>
      <c r="J15" s="13"/>
    </row>
    <row r="16" spans="1:10" x14ac:dyDescent="0.25">
      <c r="A16" s="2">
        <v>6.0630189708386162</v>
      </c>
      <c r="B16" s="2">
        <v>11.366298915855495</v>
      </c>
    </row>
    <row r="17" spans="1:2" x14ac:dyDescent="0.25">
      <c r="A17" s="2">
        <v>6.0743197005829286</v>
      </c>
      <c r="B17" s="2">
        <v>18.585777098117202</v>
      </c>
    </row>
    <row r="18" spans="1:2" x14ac:dyDescent="0.25">
      <c r="A18" s="2">
        <v>6.0893620843799656</v>
      </c>
      <c r="B18" s="2">
        <v>33.936853179705409</v>
      </c>
    </row>
    <row r="19" spans="1:2" x14ac:dyDescent="0.25">
      <c r="A19" s="2">
        <v>6.5303096972835428</v>
      </c>
      <c r="B19" s="2">
        <v>46.0221332681093</v>
      </c>
    </row>
    <row r="20" spans="1:2" x14ac:dyDescent="0.25">
      <c r="A20" s="2">
        <v>6.5814040018442155</v>
      </c>
      <c r="B20" s="2">
        <v>33.608188053072404</v>
      </c>
    </row>
    <row r="21" spans="1:2" x14ac:dyDescent="0.25">
      <c r="A21" s="2">
        <v>6.6252071068834617</v>
      </c>
      <c r="B21" s="2">
        <v>22.6180909651242</v>
      </c>
    </row>
    <row r="22" spans="1:2" x14ac:dyDescent="0.25">
      <c r="A22" s="2">
        <v>6.8943417058207901</v>
      </c>
      <c r="B22" s="2">
        <v>21.523233084657001</v>
      </c>
    </row>
    <row r="23" spans="1:2" x14ac:dyDescent="0.25">
      <c r="A23" s="2">
        <v>7.2226711407728406</v>
      </c>
      <c r="B23" s="2">
        <v>7.4098296819132869</v>
      </c>
    </row>
    <row r="24" spans="1:2" x14ac:dyDescent="0.25">
      <c r="A24" s="2">
        <v>7.4499837795201218</v>
      </c>
      <c r="B24" s="2">
        <v>32.579415050807</v>
      </c>
    </row>
    <row r="25" spans="1:2" x14ac:dyDescent="0.25">
      <c r="A25" s="2">
        <v>7.5349025076543308</v>
      </c>
      <c r="B25" s="2">
        <v>20.694519605926185</v>
      </c>
    </row>
    <row r="26" spans="1:2" x14ac:dyDescent="0.25">
      <c r="A26" s="2">
        <v>7.69857871827893</v>
      </c>
      <c r="B26" s="2">
        <v>19.376714901838159</v>
      </c>
    </row>
    <row r="27" spans="1:2" x14ac:dyDescent="0.25">
      <c r="A27" s="2">
        <v>7.8903614077268402</v>
      </c>
      <c r="B27" s="2">
        <v>36.003226578320763</v>
      </c>
    </row>
    <row r="28" spans="1:2" x14ac:dyDescent="0.25">
      <c r="A28" s="2">
        <v>7.9012319498919581</v>
      </c>
      <c r="B28" s="2">
        <v>16.341966100408953</v>
      </c>
    </row>
    <row r="29" spans="1:2" x14ac:dyDescent="0.25">
      <c r="A29" s="2">
        <v>7.9744392333354108</v>
      </c>
      <c r="B29" s="2">
        <v>21.496583224636776</v>
      </c>
    </row>
    <row r="30" spans="1:2" x14ac:dyDescent="0.25">
      <c r="A30" s="2">
        <v>8.39899643856727</v>
      </c>
      <c r="B30" s="2">
        <v>21.969145091691182</v>
      </c>
    </row>
    <row r="31" spans="1:2" x14ac:dyDescent="0.25">
      <c r="A31" s="2">
        <v>8.9268169567904678</v>
      </c>
      <c r="B31" s="2">
        <v>33.330511288971707</v>
      </c>
    </row>
    <row r="32" spans="1:2" x14ac:dyDescent="0.25">
      <c r="A32" s="2">
        <v>9.4202964726715432</v>
      </c>
      <c r="B32" s="2">
        <v>26.061674222504099</v>
      </c>
    </row>
    <row r="33" spans="1:2" x14ac:dyDescent="0.25">
      <c r="A33" s="2">
        <v>9.6023563891624697</v>
      </c>
      <c r="B33" s="2">
        <v>10.408320643989372</v>
      </c>
    </row>
    <row r="34" spans="1:2" x14ac:dyDescent="0.25">
      <c r="A34" s="2">
        <v>9.7521642503504644</v>
      </c>
      <c r="B34" s="2">
        <v>16.964989220400689</v>
      </c>
    </row>
    <row r="35" spans="1:2" x14ac:dyDescent="0.25">
      <c r="A35" s="2">
        <v>9.9671074419762427</v>
      </c>
      <c r="B35" s="2">
        <v>18.197022859801024</v>
      </c>
    </row>
    <row r="36" spans="1:2" x14ac:dyDescent="0.25">
      <c r="A36" s="2">
        <v>10.184696735037013</v>
      </c>
      <c r="B36" s="2">
        <v>30.811202979150998</v>
      </c>
    </row>
    <row r="37" spans="1:2" x14ac:dyDescent="0.25">
      <c r="A37" s="2">
        <v>10.855502881977316</v>
      </c>
      <c r="B37" s="2">
        <v>32.859278580609612</v>
      </c>
    </row>
    <row r="38" spans="1:2" x14ac:dyDescent="0.25">
      <c r="A38" s="2">
        <v>10.875141439812918</v>
      </c>
      <c r="B38" s="2">
        <v>18.045534578007285</v>
      </c>
    </row>
    <row r="39" spans="1:2" x14ac:dyDescent="0.25">
      <c r="A39" s="2">
        <v>11.187068619692365</v>
      </c>
      <c r="B39" s="2">
        <v>18.471223198721503</v>
      </c>
    </row>
    <row r="40" spans="1:2" x14ac:dyDescent="0.25">
      <c r="A40" s="2">
        <v>12.425665838843557</v>
      </c>
      <c r="B40" s="2">
        <v>3.8447447461057358</v>
      </c>
    </row>
    <row r="41" spans="1:2" x14ac:dyDescent="0.25">
      <c r="A41" s="2">
        <v>12.978652516050438</v>
      </c>
      <c r="B41" s="2">
        <v>4.1758808832529617</v>
      </c>
    </row>
    <row r="42" spans="1:2" x14ac:dyDescent="0.25">
      <c r="A42" s="2">
        <v>13.019798918229188</v>
      </c>
      <c r="B42" s="2">
        <v>14.788507805177364</v>
      </c>
    </row>
    <row r="43" spans="1:2" x14ac:dyDescent="0.25">
      <c r="A43" s="2">
        <v>13.568887629069719</v>
      </c>
      <c r="B43" s="2">
        <v>35.986361296172518</v>
      </c>
    </row>
    <row r="44" spans="1:2" x14ac:dyDescent="0.25">
      <c r="A44" s="2">
        <v>13.739960709923658</v>
      </c>
      <c r="B44" s="2">
        <v>24.270399038872853</v>
      </c>
    </row>
    <row r="45" spans="1:2" x14ac:dyDescent="0.25">
      <c r="A45" s="2">
        <v>13.759602866722332</v>
      </c>
      <c r="B45" s="2">
        <v>32.108486335409999</v>
      </c>
    </row>
    <row r="46" spans="1:2" x14ac:dyDescent="0.25">
      <c r="A46" s="2">
        <v>14.658599350083662</v>
      </c>
      <c r="B46" s="2">
        <v>20.959902788785467</v>
      </c>
    </row>
    <row r="47" spans="1:2" x14ac:dyDescent="0.25">
      <c r="A47" s="2">
        <v>14.661255969006874</v>
      </c>
      <c r="B47" s="2">
        <v>20.2845676787225</v>
      </c>
    </row>
    <row r="48" spans="1:2" x14ac:dyDescent="0.25">
      <c r="A48" s="2">
        <v>14.960279099451533</v>
      </c>
      <c r="B48" s="2">
        <v>31.114402486754955</v>
      </c>
    </row>
    <row r="49" spans="1:2" x14ac:dyDescent="0.25">
      <c r="A49" s="2">
        <v>14.992939997172702</v>
      </c>
      <c r="B49" s="2">
        <v>40.93723768498549</v>
      </c>
    </row>
    <row r="50" spans="1:2" x14ac:dyDescent="0.25">
      <c r="A50" s="2">
        <v>15.07497436080936</v>
      </c>
      <c r="B50" s="2">
        <v>11.491143484997625</v>
      </c>
    </row>
    <row r="51" spans="1:2" x14ac:dyDescent="0.25">
      <c r="A51" s="2">
        <v>15.426895817049267</v>
      </c>
      <c r="B51" s="2">
        <v>32.860281347783548</v>
      </c>
    </row>
    <row r="52" spans="1:2" x14ac:dyDescent="0.25">
      <c r="A52" s="2">
        <v>15.786794897142977</v>
      </c>
      <c r="B52" s="2">
        <v>25.657728263591373</v>
      </c>
    </row>
    <row r="53" spans="1:2" x14ac:dyDescent="0.25">
      <c r="A53" s="2">
        <v>16.168625584028547</v>
      </c>
      <c r="B53" s="2">
        <v>12.143923135575974</v>
      </c>
    </row>
    <row r="54" spans="1:2" x14ac:dyDescent="0.25">
      <c r="A54" s="2">
        <v>16.207618406060558</v>
      </c>
      <c r="B54" s="2">
        <v>36.803434901228727</v>
      </c>
    </row>
    <row r="55" spans="1:2" x14ac:dyDescent="0.25">
      <c r="A55" s="2">
        <v>16.49472514336242</v>
      </c>
      <c r="B55" s="2">
        <v>15.284080363549641</v>
      </c>
    </row>
    <row r="56" spans="1:2" x14ac:dyDescent="0.25">
      <c r="A56" s="2">
        <v>16.574828988803326</v>
      </c>
      <c r="B56" s="2">
        <v>41.382184264239115</v>
      </c>
    </row>
    <row r="57" spans="1:2" x14ac:dyDescent="0.25">
      <c r="A57" s="2">
        <v>16.686036766732055</v>
      </c>
      <c r="B57" s="2">
        <v>23.266806818708744</v>
      </c>
    </row>
    <row r="58" spans="1:2" x14ac:dyDescent="0.25">
      <c r="A58" s="2">
        <v>16.747616338634334</v>
      </c>
      <c r="B58" s="2">
        <v>1.543744793089914</v>
      </c>
    </row>
    <row r="59" spans="1:2" x14ac:dyDescent="0.25">
      <c r="A59" s="2">
        <v>17.271495271870787</v>
      </c>
      <c r="B59" s="2">
        <v>7.0973638741336629</v>
      </c>
    </row>
    <row r="60" spans="1:2" x14ac:dyDescent="0.25">
      <c r="A60" s="2">
        <v>17.408303452779105</v>
      </c>
      <c r="B60" s="2">
        <v>8.650902589430796</v>
      </c>
    </row>
    <row r="61" spans="1:2" x14ac:dyDescent="0.25">
      <c r="A61" s="2">
        <v>17.511825153706351</v>
      </c>
      <c r="B61" s="2">
        <v>33.448512572406251</v>
      </c>
    </row>
    <row r="62" spans="1:2" x14ac:dyDescent="0.25">
      <c r="A62" s="2">
        <v>17.583079473986025</v>
      </c>
      <c r="B62" s="2">
        <v>21.722819091840201</v>
      </c>
    </row>
    <row r="63" spans="1:2" x14ac:dyDescent="0.25">
      <c r="A63" s="2">
        <v>17.713013322979023</v>
      </c>
      <c r="B63" s="2">
        <v>29.262798062016859</v>
      </c>
    </row>
    <row r="64" spans="1:2" x14ac:dyDescent="0.25">
      <c r="A64" s="2">
        <v>17.940142655427916</v>
      </c>
      <c r="B64" s="2">
        <v>39.487544427914003</v>
      </c>
    </row>
    <row r="65" spans="1:2" x14ac:dyDescent="0.25">
      <c r="A65" s="2">
        <v>18.165378714174377</v>
      </c>
      <c r="B65" s="2">
        <v>47.578705356597659</v>
      </c>
    </row>
    <row r="66" spans="1:2" x14ac:dyDescent="0.25">
      <c r="A66" s="2">
        <v>18.208266709366491</v>
      </c>
      <c r="B66" s="2">
        <v>41.922889652671529</v>
      </c>
    </row>
    <row r="67" spans="1:2" x14ac:dyDescent="0.25">
      <c r="A67" s="2">
        <v>18.748792460750039</v>
      </c>
      <c r="B67" s="2">
        <v>9.9695360124282253</v>
      </c>
    </row>
    <row r="68" spans="1:2" x14ac:dyDescent="0.25">
      <c r="A68" s="2">
        <v>18.963605261484172</v>
      </c>
      <c r="B68" s="2">
        <v>27.301610480432718</v>
      </c>
    </row>
    <row r="69" spans="1:2" x14ac:dyDescent="0.25">
      <c r="A69" s="2">
        <v>19.31769322840864</v>
      </c>
      <c r="B69" s="2">
        <v>35.810363220202909</v>
      </c>
    </row>
    <row r="70" spans="1:2" x14ac:dyDescent="0.25">
      <c r="A70" s="2">
        <v>19.330152347215829</v>
      </c>
      <c r="B70" s="2">
        <v>38.414303415933226</v>
      </c>
    </row>
    <row r="71" spans="1:2" x14ac:dyDescent="0.25">
      <c r="A71" s="2">
        <v>19.542953740012166</v>
      </c>
      <c r="B71" s="2">
        <v>22.781939857853626</v>
      </c>
    </row>
    <row r="72" spans="1:2" x14ac:dyDescent="0.25">
      <c r="A72" s="2">
        <v>19.596832989729709</v>
      </c>
      <c r="B72" s="2">
        <v>12.851671548832694</v>
      </c>
    </row>
    <row r="73" spans="1:2" x14ac:dyDescent="0.25">
      <c r="A73" s="2">
        <v>19.719154996140485</v>
      </c>
      <c r="B73" s="2">
        <v>41.292303533885431</v>
      </c>
    </row>
    <row r="74" spans="1:2" x14ac:dyDescent="0.25">
      <c r="A74" s="2">
        <v>20.070856467761864</v>
      </c>
      <c r="B74" s="2">
        <v>46.507745827278768</v>
      </c>
    </row>
    <row r="75" spans="1:2" x14ac:dyDescent="0.25">
      <c r="A75" s="2">
        <v>21.100363291421043</v>
      </c>
      <c r="B75" s="2">
        <v>19.077866403352839</v>
      </c>
    </row>
    <row r="76" spans="1:2" x14ac:dyDescent="0.25">
      <c r="A76" s="2">
        <v>21.17437927257232</v>
      </c>
      <c r="B76" s="2">
        <v>45.321032456262998</v>
      </c>
    </row>
    <row r="77" spans="1:2" x14ac:dyDescent="0.25">
      <c r="A77" s="2">
        <v>21.963672681381897</v>
      </c>
      <c r="B77" s="2">
        <v>21.024280979448342</v>
      </c>
    </row>
    <row r="78" spans="1:2" x14ac:dyDescent="0.25">
      <c r="A78" s="2">
        <v>22.264147347078097</v>
      </c>
      <c r="B78" s="2">
        <v>36.918750301430904</v>
      </c>
    </row>
    <row r="79" spans="1:2" x14ac:dyDescent="0.25">
      <c r="A79" s="2">
        <v>22.633926479493205</v>
      </c>
      <c r="B79" s="2">
        <v>10.030785422600001</v>
      </c>
    </row>
    <row r="80" spans="1:2" x14ac:dyDescent="0.25">
      <c r="A80" s="2">
        <v>22.794143334910331</v>
      </c>
      <c r="B80" s="2">
        <v>20.411917746197901</v>
      </c>
    </row>
    <row r="81" spans="1:2" x14ac:dyDescent="0.25">
      <c r="A81" s="2">
        <v>23.138558097068884</v>
      </c>
      <c r="B81" s="2">
        <v>21.134877135126604</v>
      </c>
    </row>
    <row r="82" spans="1:2" x14ac:dyDescent="0.25">
      <c r="A82" s="2">
        <v>23.18853406301055</v>
      </c>
      <c r="B82" s="2">
        <v>31.826908647116834</v>
      </c>
    </row>
    <row r="83" spans="1:2" x14ac:dyDescent="0.25">
      <c r="A83" s="2">
        <v>23.509803179249449</v>
      </c>
      <c r="B83" s="2">
        <v>42.032869205926282</v>
      </c>
    </row>
    <row r="84" spans="1:2" x14ac:dyDescent="0.25">
      <c r="A84" s="2">
        <v>23.736555960907417</v>
      </c>
      <c r="B84" s="2">
        <v>29.510420224593499</v>
      </c>
    </row>
    <row r="85" spans="1:2" x14ac:dyDescent="0.25">
      <c r="A85" s="2">
        <v>23.783526984112548</v>
      </c>
      <c r="B85" s="2">
        <v>31.281605945957335</v>
      </c>
    </row>
    <row r="86" spans="1:2" x14ac:dyDescent="0.25">
      <c r="A86" s="2">
        <v>23.915315620949627</v>
      </c>
      <c r="B86" s="2">
        <v>40.698673167738541</v>
      </c>
    </row>
    <row r="87" spans="1:2" x14ac:dyDescent="0.25">
      <c r="A87" s="2">
        <v>24.41903705463784</v>
      </c>
      <c r="B87" s="2">
        <v>44.519779964686052</v>
      </c>
    </row>
    <row r="88" spans="1:2" x14ac:dyDescent="0.25">
      <c r="A88" s="2">
        <v>24.444621769466185</v>
      </c>
      <c r="B88" s="2">
        <v>33.21223076435804</v>
      </c>
    </row>
    <row r="89" spans="1:2" x14ac:dyDescent="0.25">
      <c r="A89" s="2">
        <v>24.652885103051926</v>
      </c>
      <c r="B89" s="2">
        <v>49.026957241503972</v>
      </c>
    </row>
    <row r="90" spans="1:2" x14ac:dyDescent="0.25">
      <c r="A90" s="2">
        <v>24.941213100121548</v>
      </c>
      <c r="B90" s="2">
        <v>14.065056548756949</v>
      </c>
    </row>
    <row r="91" spans="1:2" x14ac:dyDescent="0.25">
      <c r="A91" s="2">
        <v>25.052549139835605</v>
      </c>
      <c r="B91" s="2">
        <v>16.183257052582032</v>
      </c>
    </row>
    <row r="92" spans="1:2" x14ac:dyDescent="0.25">
      <c r="A92" s="2">
        <v>25.219379264679461</v>
      </c>
      <c r="B92" s="2">
        <v>15.886135074920936</v>
      </c>
    </row>
    <row r="93" spans="1:2" x14ac:dyDescent="0.25">
      <c r="A93" s="2">
        <v>25.316671759200638</v>
      </c>
      <c r="B93" s="2">
        <v>25.300728213710059</v>
      </c>
    </row>
    <row r="94" spans="1:2" x14ac:dyDescent="0.25">
      <c r="A94" s="2">
        <v>25.557170514567421</v>
      </c>
      <c r="B94" s="2">
        <v>16.82568496845473</v>
      </c>
    </row>
    <row r="95" spans="1:2" x14ac:dyDescent="0.25">
      <c r="A95" s="2">
        <v>26.3455906142107</v>
      </c>
      <c r="B95" s="2">
        <v>38.720245585915002</v>
      </c>
    </row>
    <row r="96" spans="1:2" x14ac:dyDescent="0.25">
      <c r="A96" s="2">
        <v>26.358498283278358</v>
      </c>
      <c r="B96" s="2">
        <v>11.456160953575804</v>
      </c>
    </row>
    <row r="97" spans="1:2" x14ac:dyDescent="0.25">
      <c r="A97" s="2">
        <v>26.548496260857878</v>
      </c>
      <c r="B97" s="2">
        <v>21.195407467334505</v>
      </c>
    </row>
    <row r="98" spans="1:2" x14ac:dyDescent="0.25">
      <c r="A98" s="2">
        <v>26.773738187125385</v>
      </c>
      <c r="B98" s="2">
        <v>10.582573355306991</v>
      </c>
    </row>
    <row r="99" spans="1:2" x14ac:dyDescent="0.25">
      <c r="A99" s="2">
        <v>26.928129932764364</v>
      </c>
      <c r="B99" s="2">
        <v>32.737447992128516</v>
      </c>
    </row>
    <row r="100" spans="1:2" x14ac:dyDescent="0.25">
      <c r="A100" s="2">
        <v>27.03259920003682</v>
      </c>
      <c r="B100" s="2">
        <v>19.77263306337295</v>
      </c>
    </row>
    <row r="101" spans="1:2" x14ac:dyDescent="0.25">
      <c r="A101" s="2">
        <v>27.500714396353715</v>
      </c>
      <c r="B101" s="2">
        <v>13.833189392294706</v>
      </c>
    </row>
    <row r="102" spans="1:2" x14ac:dyDescent="0.25">
      <c r="A102" s="2">
        <v>28.284771240437824</v>
      </c>
      <c r="B102" s="2">
        <v>38.359358944021501</v>
      </c>
    </row>
    <row r="103" spans="1:2" x14ac:dyDescent="0.25">
      <c r="A103" s="2">
        <v>29.269881075322669</v>
      </c>
      <c r="B103" s="2">
        <v>30.914992346952566</v>
      </c>
    </row>
    <row r="104" spans="1:2" x14ac:dyDescent="0.25">
      <c r="A104" s="2">
        <v>29.294530220802336</v>
      </c>
      <c r="B104" s="2">
        <v>15.553581243213401</v>
      </c>
    </row>
    <row r="105" spans="1:2" x14ac:dyDescent="0.25">
      <c r="A105" s="2">
        <v>29.306919152932224</v>
      </c>
      <c r="B105" s="2">
        <v>42.280677621808962</v>
      </c>
    </row>
    <row r="106" spans="1:2" x14ac:dyDescent="0.25">
      <c r="A106" s="2">
        <v>29.340678029340651</v>
      </c>
      <c r="B106" s="2">
        <v>27.28232263292071</v>
      </c>
    </row>
    <row r="107" spans="1:2" x14ac:dyDescent="0.25">
      <c r="A107" s="2">
        <v>29.35564701217438</v>
      </c>
      <c r="B107" s="2">
        <v>42.658722836166788</v>
      </c>
    </row>
    <row r="108" spans="1:2" x14ac:dyDescent="0.25">
      <c r="A108" s="2">
        <v>29.723636159491914</v>
      </c>
      <c r="B108" s="2">
        <v>29.091715658543301</v>
      </c>
    </row>
    <row r="109" spans="1:2" x14ac:dyDescent="0.25">
      <c r="A109" s="2">
        <v>30.316569994588797</v>
      </c>
      <c r="B109" s="2">
        <v>31.647731510021586</v>
      </c>
    </row>
    <row r="110" spans="1:2" x14ac:dyDescent="0.25">
      <c r="A110" s="2">
        <v>30.369539880141364</v>
      </c>
      <c r="B110" s="2">
        <v>30.307962538248894</v>
      </c>
    </row>
    <row r="111" spans="1:2" x14ac:dyDescent="0.25">
      <c r="A111" s="2">
        <v>30.733133275527138</v>
      </c>
      <c r="B111" s="2">
        <v>31.770718094264467</v>
      </c>
    </row>
    <row r="112" spans="1:2" x14ac:dyDescent="0.25">
      <c r="A112" s="2">
        <v>31.164693079298132</v>
      </c>
      <c r="B112" s="2">
        <v>28.2924442097314</v>
      </c>
    </row>
    <row r="113" spans="1:2" x14ac:dyDescent="0.25">
      <c r="A113" s="2">
        <v>31.430046686838242</v>
      </c>
      <c r="B113" s="2">
        <v>23.951211692627499</v>
      </c>
    </row>
    <row r="114" spans="1:2" x14ac:dyDescent="0.25">
      <c r="A114" s="2">
        <v>31.743384346846163</v>
      </c>
      <c r="B114" s="2">
        <v>16.072662827357092</v>
      </c>
    </row>
    <row r="115" spans="1:2" x14ac:dyDescent="0.25">
      <c r="A115" s="2">
        <v>31.752312918192192</v>
      </c>
      <c r="B115" s="2">
        <v>18.280895401812742</v>
      </c>
    </row>
    <row r="116" spans="1:2" x14ac:dyDescent="0.25">
      <c r="A116" s="2">
        <v>31.873407228068871</v>
      </c>
      <c r="B116" s="2">
        <v>28.4916846035531</v>
      </c>
    </row>
    <row r="117" spans="1:2" x14ac:dyDescent="0.25">
      <c r="A117" s="2">
        <v>32.119622989351569</v>
      </c>
      <c r="B117" s="2">
        <v>21.930885176230113</v>
      </c>
    </row>
    <row r="118" spans="1:2" x14ac:dyDescent="0.25">
      <c r="A118" s="2">
        <v>32.17269989198607</v>
      </c>
      <c r="B118" s="2">
        <v>27.5294241911235</v>
      </c>
    </row>
    <row r="119" spans="1:2" x14ac:dyDescent="0.25">
      <c r="A119" s="2">
        <v>32.191982995563357</v>
      </c>
      <c r="B119" s="2">
        <v>41.715063086589119</v>
      </c>
    </row>
    <row r="120" spans="1:2" x14ac:dyDescent="0.25">
      <c r="A120" s="2">
        <v>32.532842816420299</v>
      </c>
      <c r="B120" s="2">
        <v>45.133822762714964</v>
      </c>
    </row>
    <row r="121" spans="1:2" x14ac:dyDescent="0.25">
      <c r="A121" s="2">
        <v>33.164552520110433</v>
      </c>
      <c r="B121" s="2">
        <v>40.808152140331423</v>
      </c>
    </row>
    <row r="122" spans="1:2" x14ac:dyDescent="0.25">
      <c r="A122" s="2">
        <v>33.34424378889608</v>
      </c>
      <c r="B122" s="2">
        <v>43.054964628387403</v>
      </c>
    </row>
    <row r="123" spans="1:2" x14ac:dyDescent="0.25">
      <c r="A123" s="2">
        <v>33.597764423718715</v>
      </c>
      <c r="B123" s="2">
        <v>19.436977656453642</v>
      </c>
    </row>
    <row r="124" spans="1:2" x14ac:dyDescent="0.25">
      <c r="A124" s="2">
        <v>33.878182165045516</v>
      </c>
      <c r="B124" s="2">
        <v>40.917125707950653</v>
      </c>
    </row>
    <row r="125" spans="1:2" x14ac:dyDescent="0.25">
      <c r="A125" s="2">
        <v>34.520496769446098</v>
      </c>
      <c r="B125" s="2">
        <v>27.207310613904198</v>
      </c>
    </row>
    <row r="126" spans="1:2" x14ac:dyDescent="0.25">
      <c r="A126" s="2">
        <v>34.958109731816343</v>
      </c>
      <c r="B126" s="2">
        <v>29.914064286028399</v>
      </c>
    </row>
    <row r="127" spans="1:2" x14ac:dyDescent="0.25">
      <c r="A127" s="2">
        <v>35.058218965177716</v>
      </c>
      <c r="B127" s="2">
        <v>20.893358328317071</v>
      </c>
    </row>
    <row r="128" spans="1:2" x14ac:dyDescent="0.25">
      <c r="A128" s="2">
        <v>35.45910483116716</v>
      </c>
      <c r="B128" s="2">
        <v>33.214392893230347</v>
      </c>
    </row>
    <row r="129" spans="1:2" x14ac:dyDescent="0.25">
      <c r="A129" s="2">
        <v>35.743148621639506</v>
      </c>
      <c r="B129" s="2">
        <v>23.20576622123049</v>
      </c>
    </row>
    <row r="130" spans="1:2" x14ac:dyDescent="0.25">
      <c r="A130" s="2">
        <v>35.805912329670008</v>
      </c>
      <c r="B130" s="2">
        <v>19.010549065762788</v>
      </c>
    </row>
    <row r="131" spans="1:2" x14ac:dyDescent="0.25">
      <c r="A131" s="2">
        <v>35.906344680769124</v>
      </c>
      <c r="B131" s="2">
        <v>30.3611036397125</v>
      </c>
    </row>
    <row r="132" spans="1:2" x14ac:dyDescent="0.25">
      <c r="A132" s="2">
        <v>36.19954262997679</v>
      </c>
      <c r="B132" s="2">
        <v>43.115658393718142</v>
      </c>
    </row>
    <row r="133" spans="1:2" x14ac:dyDescent="0.25">
      <c r="A133" s="2">
        <v>36.260486828857765</v>
      </c>
      <c r="B133" s="2">
        <v>29.990454546231501</v>
      </c>
    </row>
    <row r="134" spans="1:2" x14ac:dyDescent="0.25">
      <c r="A134" s="2">
        <v>36.813688321406318</v>
      </c>
      <c r="B134" s="2">
        <v>40.143327131152098</v>
      </c>
    </row>
    <row r="135" spans="1:2" x14ac:dyDescent="0.25">
      <c r="A135" s="2">
        <v>37.26143233596077</v>
      </c>
      <c r="B135" s="2">
        <v>43.877788538104767</v>
      </c>
    </row>
    <row r="136" spans="1:2" x14ac:dyDescent="0.25">
      <c r="A136" s="2">
        <v>37.399184716998107</v>
      </c>
      <c r="B136" s="2">
        <v>31.81077381692198</v>
      </c>
    </row>
    <row r="137" spans="1:2" x14ac:dyDescent="0.25">
      <c r="A137" s="2">
        <v>37.430007271620383</v>
      </c>
      <c r="B137" s="2">
        <v>26.198746096075102</v>
      </c>
    </row>
    <row r="138" spans="1:2" x14ac:dyDescent="0.25">
      <c r="A138" s="2">
        <v>37.483246969307913</v>
      </c>
      <c r="B138" s="2">
        <v>27.774173563917614</v>
      </c>
    </row>
    <row r="139" spans="1:2" x14ac:dyDescent="0.25">
      <c r="A139" s="2">
        <v>37.485647489870331</v>
      </c>
      <c r="B139" s="2">
        <v>20.912884006171101</v>
      </c>
    </row>
    <row r="140" spans="1:2" x14ac:dyDescent="0.25">
      <c r="A140" s="2">
        <v>38.001032049993086</v>
      </c>
      <c r="B140" s="2">
        <v>30.587755677834579</v>
      </c>
    </row>
    <row r="141" spans="1:2" x14ac:dyDescent="0.25">
      <c r="A141" s="2">
        <v>38.320979210423772</v>
      </c>
      <c r="B141" s="2">
        <v>31.998290250331443</v>
      </c>
    </row>
    <row r="142" spans="1:2" x14ac:dyDescent="0.25">
      <c r="A142" s="2">
        <v>38.342945902172758</v>
      </c>
      <c r="B142" s="2">
        <v>41.100744570409717</v>
      </c>
    </row>
    <row r="143" spans="1:2" x14ac:dyDescent="0.25">
      <c r="A143" s="2">
        <v>38.641569179331825</v>
      </c>
      <c r="B143" s="2">
        <v>32.121467278818002</v>
      </c>
    </row>
    <row r="144" spans="1:2" x14ac:dyDescent="0.25">
      <c r="A144" s="2">
        <v>38.789491122313514</v>
      </c>
      <c r="B144" s="2">
        <v>37.960560507367155</v>
      </c>
    </row>
    <row r="145" spans="1:2" x14ac:dyDescent="0.25">
      <c r="A145" s="2">
        <v>38.865160100219647</v>
      </c>
      <c r="B145" s="2">
        <v>24.643301508386173</v>
      </c>
    </row>
    <row r="146" spans="1:2" x14ac:dyDescent="0.25">
      <c r="A146" s="2">
        <v>39.104216659933989</v>
      </c>
      <c r="B146" s="2">
        <v>27.282573374745802</v>
      </c>
    </row>
    <row r="147" spans="1:2" x14ac:dyDescent="0.25">
      <c r="A147" s="2">
        <v>39.207497961769768</v>
      </c>
      <c r="B147" s="2">
        <v>32.587967979649768</v>
      </c>
    </row>
    <row r="148" spans="1:2" x14ac:dyDescent="0.25">
      <c r="A148" s="2">
        <v>39.445790200174415</v>
      </c>
      <c r="B148" s="2">
        <v>9.6668721784448</v>
      </c>
    </row>
    <row r="149" spans="1:2" x14ac:dyDescent="0.25">
      <c r="A149" s="2">
        <v>39.472784818667883</v>
      </c>
      <c r="B149" s="2">
        <v>29.645773202152228</v>
      </c>
    </row>
    <row r="150" spans="1:2" x14ac:dyDescent="0.25">
      <c r="A150" s="2">
        <v>39.682422699709534</v>
      </c>
      <c r="B150" s="2">
        <v>35.013253927403703</v>
      </c>
    </row>
    <row r="151" spans="1:2" x14ac:dyDescent="0.25">
      <c r="A151" s="2">
        <v>39.875001289106812</v>
      </c>
      <c r="B151" s="2">
        <v>27.884807785998618</v>
      </c>
    </row>
  </sheetData>
  <sortState ref="A2:B151">
    <sortCondition ref="A2:A151"/>
    <sortCondition ref="B2:B151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51"/>
  <sheetViews>
    <sheetView workbookViewId="0">
      <selection activeCell="H23" sqref="H23"/>
    </sheetView>
  </sheetViews>
  <sheetFormatPr defaultRowHeight="15" x14ac:dyDescent="0.25"/>
  <sheetData>
    <row r="1" spans="1:7" x14ac:dyDescent="0.25">
      <c r="F1">
        <v>1</v>
      </c>
      <c r="G1">
        <v>148</v>
      </c>
    </row>
    <row r="2" spans="1:7" x14ac:dyDescent="0.25">
      <c r="A2">
        <v>0.1</v>
      </c>
      <c r="B2">
        <f t="shared" ref="B2:B51" si="0">_xlfn.F.DIST(A2,$F$1,$G$1,FALSE)</f>
        <v>1.1976292737306378</v>
      </c>
      <c r="C2">
        <f>B2/SUM($B$2:$B$51)</f>
        <v>0.15135151206302599</v>
      </c>
    </row>
    <row r="3" spans="1:7" x14ac:dyDescent="0.25">
      <c r="A3">
        <v>0.2</v>
      </c>
      <c r="B3">
        <f t="shared" si="0"/>
        <v>0.80531927433293671</v>
      </c>
      <c r="C3">
        <f t="shared" ref="C3:C51" si="1">B3/SUM($B$2:$B$51)</f>
        <v>0.10177297143389852</v>
      </c>
    </row>
    <row r="4" spans="1:7" x14ac:dyDescent="0.25">
      <c r="A4">
        <v>0.3</v>
      </c>
      <c r="B4">
        <f t="shared" si="0"/>
        <v>0.62531361370287375</v>
      </c>
      <c r="C4">
        <f t="shared" si="1"/>
        <v>7.9024588846858063E-2</v>
      </c>
    </row>
    <row r="5" spans="1:7" x14ac:dyDescent="0.25">
      <c r="A5">
        <v>0.4</v>
      </c>
      <c r="B5">
        <f t="shared" si="0"/>
        <v>0.51501353979119613</v>
      </c>
      <c r="C5">
        <f t="shared" si="1"/>
        <v>6.5085314537711006E-2</v>
      </c>
    </row>
    <row r="6" spans="1:7" x14ac:dyDescent="0.25">
      <c r="A6">
        <v>0.5</v>
      </c>
      <c r="B6">
        <f t="shared" si="0"/>
        <v>0.43809516832778195</v>
      </c>
      <c r="C6">
        <f t="shared" si="1"/>
        <v>5.536468388700129E-2</v>
      </c>
    </row>
    <row r="7" spans="1:7" x14ac:dyDescent="0.25">
      <c r="A7">
        <v>0.6</v>
      </c>
      <c r="B7">
        <f t="shared" si="0"/>
        <v>0.38036218667549609</v>
      </c>
      <c r="C7">
        <f t="shared" si="1"/>
        <v>4.8068624696863557E-2</v>
      </c>
    </row>
    <row r="8" spans="1:7" x14ac:dyDescent="0.25">
      <c r="A8">
        <v>0.7</v>
      </c>
      <c r="B8">
        <f t="shared" si="0"/>
        <v>0.33493311447641277</v>
      </c>
      <c r="C8">
        <f t="shared" si="1"/>
        <v>4.2327483494182763E-2</v>
      </c>
    </row>
    <row r="9" spans="1:7" x14ac:dyDescent="0.25">
      <c r="A9">
        <v>0.8</v>
      </c>
      <c r="B9">
        <f t="shared" si="0"/>
        <v>0.2979963153403774</v>
      </c>
      <c r="C9">
        <f t="shared" si="1"/>
        <v>3.7659561189150169E-2</v>
      </c>
    </row>
    <row r="10" spans="1:7" x14ac:dyDescent="0.25">
      <c r="A10">
        <v>0.9</v>
      </c>
      <c r="B10">
        <f t="shared" si="0"/>
        <v>0.26723788473335047</v>
      </c>
      <c r="C10">
        <f t="shared" si="1"/>
        <v>3.3772435946663633E-2</v>
      </c>
    </row>
    <row r="11" spans="1:7" x14ac:dyDescent="0.25">
      <c r="A11">
        <v>1</v>
      </c>
      <c r="B11">
        <f t="shared" si="0"/>
        <v>0.24115555264285671</v>
      </c>
      <c r="C11">
        <f t="shared" si="1"/>
        <v>3.0476256998290593E-2</v>
      </c>
    </row>
    <row r="12" spans="1:7" x14ac:dyDescent="0.25">
      <c r="A12">
        <v>1.1000000000000001</v>
      </c>
      <c r="B12">
        <f t="shared" si="0"/>
        <v>0.21872251093591527</v>
      </c>
      <c r="C12">
        <f t="shared" si="1"/>
        <v>2.7641260512322807E-2</v>
      </c>
    </row>
    <row r="13" spans="1:7" x14ac:dyDescent="0.25">
      <c r="A13">
        <v>1.2</v>
      </c>
      <c r="B13">
        <f t="shared" si="0"/>
        <v>0.19920778936629413</v>
      </c>
      <c r="C13">
        <f t="shared" si="1"/>
        <v>2.5175069444822725E-2</v>
      </c>
    </row>
    <row r="14" spans="1:7" x14ac:dyDescent="0.25">
      <c r="A14">
        <v>1.3</v>
      </c>
      <c r="B14">
        <f t="shared" si="0"/>
        <v>0.18207357142988051</v>
      </c>
      <c r="C14">
        <f t="shared" si="1"/>
        <v>2.3009716735452591E-2</v>
      </c>
    </row>
    <row r="15" spans="1:7" x14ac:dyDescent="0.25">
      <c r="A15">
        <v>1.4</v>
      </c>
      <c r="B15">
        <f t="shared" si="0"/>
        <v>0.16691321897580977</v>
      </c>
      <c r="C15">
        <f t="shared" si="1"/>
        <v>2.1093813110130814E-2</v>
      </c>
    </row>
    <row r="16" spans="1:7" x14ac:dyDescent="0.25">
      <c r="A16">
        <v>1.5</v>
      </c>
      <c r="B16">
        <f t="shared" si="0"/>
        <v>0.15341215835061944</v>
      </c>
      <c r="C16">
        <f t="shared" si="1"/>
        <v>1.9387604031162756E-2</v>
      </c>
    </row>
    <row r="17" spans="1:3" x14ac:dyDescent="0.25">
      <c r="A17">
        <v>1.6</v>
      </c>
      <c r="B17">
        <f t="shared" si="0"/>
        <v>0.14132225336469056</v>
      </c>
      <c r="C17">
        <f t="shared" si="1"/>
        <v>1.7859731057067264E-2</v>
      </c>
    </row>
    <row r="18" spans="1:3" x14ac:dyDescent="0.25">
      <c r="A18">
        <v>1.7</v>
      </c>
      <c r="B18">
        <f t="shared" si="0"/>
        <v>0.13044447119577215</v>
      </c>
      <c r="C18">
        <f t="shared" si="1"/>
        <v>1.648504123003126E-2</v>
      </c>
    </row>
    <row r="19" spans="1:3" x14ac:dyDescent="0.25">
      <c r="A19">
        <v>1.8</v>
      </c>
      <c r="B19">
        <f t="shared" si="0"/>
        <v>0.12061683119752024</v>
      </c>
      <c r="C19">
        <f t="shared" si="1"/>
        <v>1.5243064095393315E-2</v>
      </c>
    </row>
    <row r="20" spans="1:3" x14ac:dyDescent="0.25">
      <c r="A20">
        <v>1.9</v>
      </c>
      <c r="B20">
        <f t="shared" si="0"/>
        <v>0.11170582364455889</v>
      </c>
      <c r="C20">
        <f t="shared" si="1"/>
        <v>1.4116927237578762E-2</v>
      </c>
    </row>
    <row r="21" spans="1:3" x14ac:dyDescent="0.25">
      <c r="A21">
        <v>2</v>
      </c>
      <c r="B21">
        <f t="shared" si="0"/>
        <v>0.1036001693437358</v>
      </c>
      <c r="C21">
        <f t="shared" si="1"/>
        <v>1.3092567645174819E-2</v>
      </c>
    </row>
    <row r="22" spans="1:3" x14ac:dyDescent="0.25">
      <c r="A22">
        <v>2.1</v>
      </c>
      <c r="B22">
        <f t="shared" si="0"/>
        <v>9.6206196075418055E-2</v>
      </c>
      <c r="C22">
        <f t="shared" si="1"/>
        <v>1.2158147404404067E-2</v>
      </c>
    </row>
    <row r="23" spans="1:3" x14ac:dyDescent="0.25">
      <c r="A23">
        <v>2.2000000000000002</v>
      </c>
      <c r="B23">
        <f t="shared" si="0"/>
        <v>8.9444355403892908E-2</v>
      </c>
      <c r="C23">
        <f t="shared" si="1"/>
        <v>1.1303613507802958E-2</v>
      </c>
    </row>
    <row r="24" spans="1:3" x14ac:dyDescent="0.25">
      <c r="A24">
        <v>2.2999999999999998</v>
      </c>
      <c r="B24">
        <f t="shared" si="0"/>
        <v>8.3246559015516738E-2</v>
      </c>
      <c r="C24">
        <f t="shared" si="1"/>
        <v>1.0520361231480866E-2</v>
      </c>
    </row>
    <row r="25" spans="1:3" x14ac:dyDescent="0.25">
      <c r="A25">
        <v>2.4</v>
      </c>
      <c r="B25">
        <f t="shared" si="0"/>
        <v>7.7554114031543012E-2</v>
      </c>
      <c r="C25">
        <f t="shared" si="1"/>
        <v>9.8009732083606266E-3</v>
      </c>
    </row>
    <row r="26" spans="1:3" x14ac:dyDescent="0.25">
      <c r="A26">
        <v>2.5</v>
      </c>
      <c r="B26">
        <f t="shared" si="0"/>
        <v>7.2316102835952967E-2</v>
      </c>
      <c r="C26">
        <f t="shared" si="1"/>
        <v>9.1390146774155013E-3</v>
      </c>
    </row>
    <row r="27" spans="1:3" x14ac:dyDescent="0.25">
      <c r="A27">
        <v>2.6</v>
      </c>
      <c r="B27">
        <f t="shared" si="0"/>
        <v>6.7488097405867906E-2</v>
      </c>
      <c r="C27">
        <f t="shared" si="1"/>
        <v>8.5288710059806417E-3</v>
      </c>
    </row>
    <row r="28" spans="1:3" x14ac:dyDescent="0.25">
      <c r="A28">
        <v>2.7</v>
      </c>
      <c r="B28">
        <f t="shared" si="0"/>
        <v>6.3031128576085518E-2</v>
      </c>
      <c r="C28">
        <f t="shared" si="1"/>
        <v>7.9656174296013297E-3</v>
      </c>
    </row>
    <row r="29" spans="1:3" x14ac:dyDescent="0.25">
      <c r="A29">
        <v>2.8</v>
      </c>
      <c r="B29">
        <f t="shared" si="0"/>
        <v>5.8910851873665959E-2</v>
      </c>
      <c r="C29">
        <f t="shared" si="1"/>
        <v>7.4449136336038413E-3</v>
      </c>
    </row>
    <row r="30" spans="1:3" x14ac:dyDescent="0.25">
      <c r="A30">
        <v>2.9</v>
      </c>
      <c r="B30">
        <f t="shared" si="0"/>
        <v>5.5096866555609816E-2</v>
      </c>
      <c r="C30">
        <f t="shared" si="1"/>
        <v>6.9629176958493919E-3</v>
      </c>
    </row>
    <row r="31" spans="1:3" x14ac:dyDescent="0.25">
      <c r="A31">
        <v>3</v>
      </c>
      <c r="B31">
        <f t="shared" si="0"/>
        <v>5.1562155240164928E-2</v>
      </c>
      <c r="C31">
        <f t="shared" si="1"/>
        <v>6.516215269619958E-3</v>
      </c>
    </row>
    <row r="32" spans="1:3" x14ac:dyDescent="0.25">
      <c r="A32">
        <v>3.1</v>
      </c>
      <c r="B32">
        <f t="shared" si="0"/>
        <v>4.8282619339725337E-2</v>
      </c>
      <c r="C32">
        <f t="shared" si="1"/>
        <v>6.1017608735192928E-3</v>
      </c>
    </row>
    <row r="33" spans="1:5" x14ac:dyDescent="0.25">
      <c r="A33">
        <v>3.2</v>
      </c>
      <c r="B33">
        <f t="shared" si="0"/>
        <v>4.5236691252999658E-2</v>
      </c>
      <c r="C33">
        <f t="shared" si="1"/>
        <v>5.7168288818979377E-3</v>
      </c>
    </row>
    <row r="34" spans="1:5" x14ac:dyDescent="0.25">
      <c r="A34">
        <v>3.3</v>
      </c>
      <c r="B34">
        <f t="shared" si="0"/>
        <v>4.2405008550592739E-2</v>
      </c>
      <c r="C34">
        <f t="shared" si="1"/>
        <v>5.3589723497534198E-3</v>
      </c>
    </row>
    <row r="35" spans="1:5" x14ac:dyDescent="0.25">
      <c r="A35">
        <v>3.4</v>
      </c>
      <c r="B35">
        <f t="shared" si="0"/>
        <v>3.9770138602151686E-2</v>
      </c>
      <c r="C35">
        <f t="shared" si="1"/>
        <v>5.0259882122300134E-3</v>
      </c>
    </row>
    <row r="36" spans="1:5" x14ac:dyDescent="0.25">
      <c r="A36">
        <v>3.5</v>
      </c>
      <c r="B36">
        <f t="shared" si="0"/>
        <v>3.7316344532331507E-2</v>
      </c>
      <c r="C36">
        <f t="shared" si="1"/>
        <v>4.715887707086466E-3</v>
      </c>
    </row>
    <row r="37" spans="1:5" x14ac:dyDescent="0.25">
      <c r="A37">
        <v>3.6</v>
      </c>
      <c r="B37">
        <f t="shared" si="0"/>
        <v>3.5029385260788151E-2</v>
      </c>
      <c r="C37">
        <f t="shared" si="1"/>
        <v>4.4268711045643621E-3</v>
      </c>
    </row>
    <row r="38" spans="1:5" x14ac:dyDescent="0.25">
      <c r="A38">
        <v>3.7</v>
      </c>
      <c r="B38">
        <f t="shared" si="0"/>
        <v>3.2896343824212179E-2</v>
      </c>
      <c r="C38">
        <f t="shared" si="1"/>
        <v>4.1573060114256377E-3</v>
      </c>
    </row>
    <row r="39" spans="1:5" x14ac:dyDescent="0.25">
      <c r="A39">
        <v>3.8</v>
      </c>
      <c r="B39">
        <f t="shared" si="0"/>
        <v>3.09054793018134E-2</v>
      </c>
      <c r="C39">
        <f t="shared" si="1"/>
        <v>3.9057086578981382E-3</v>
      </c>
    </row>
    <row r="40" spans="1:5" x14ac:dyDescent="0.25">
      <c r="A40">
        <v>3.9</v>
      </c>
      <c r="B40">
        <f t="shared" si="0"/>
        <v>2.9046098547001166E-2</v>
      </c>
      <c r="C40">
        <f t="shared" si="1"/>
        <v>3.6707276876475586E-3</v>
      </c>
      <c r="D40">
        <f t="shared" ref="D40:D51" si="2">_xlfn.F.DIST(A40,$F$1,$G$1,TRUE)</f>
        <v>0.94985325334435577</v>
      </c>
      <c r="E40">
        <f t="shared" ref="E40:E50" si="3">B40/SUM($B$1:$B$51)</f>
        <v>3.6707276876475586E-3</v>
      </c>
    </row>
    <row r="41" spans="1:5" x14ac:dyDescent="0.25">
      <c r="A41">
        <v>4</v>
      </c>
      <c r="B41">
        <f t="shared" si="0"/>
        <v>2.7308444624380084E-2</v>
      </c>
      <c r="C41">
        <f t="shared" si="1"/>
        <v>3.4511300588991314E-3</v>
      </c>
      <c r="D41">
        <f t="shared" si="2"/>
        <v>0.95267000448432959</v>
      </c>
      <c r="E41">
        <f t="shared" si="3"/>
        <v>3.4511300588991314E-3</v>
      </c>
    </row>
    <row r="42" spans="1:5" x14ac:dyDescent="0.25">
      <c r="A42">
        <v>4.0999999999999996</v>
      </c>
      <c r="B42">
        <f t="shared" si="0"/>
        <v>2.5683599405134216E-2</v>
      </c>
      <c r="C42">
        <f t="shared" si="1"/>
        <v>3.2457887348388177E-3</v>
      </c>
      <c r="D42">
        <f t="shared" si="2"/>
        <v>0.95531870172352773</v>
      </c>
      <c r="E42">
        <f t="shared" si="3"/>
        <v>3.2457887348388177E-3</v>
      </c>
    </row>
    <row r="43" spans="1:5" x14ac:dyDescent="0.25">
      <c r="A43">
        <v>4.2</v>
      </c>
      <c r="B43">
        <f t="shared" si="0"/>
        <v>2.4163398217350703E-2</v>
      </c>
      <c r="C43">
        <f t="shared" si="1"/>
        <v>3.0536718974686653E-3</v>
      </c>
      <c r="D43">
        <f t="shared" si="2"/>
        <v>0.95781021174710912</v>
      </c>
      <c r="E43">
        <f t="shared" si="3"/>
        <v>3.0536718974686653E-3</v>
      </c>
    </row>
    <row r="44" spans="1:5" x14ac:dyDescent="0.25">
      <c r="A44">
        <v>4.3</v>
      </c>
      <c r="B44">
        <f t="shared" si="0"/>
        <v>2.2740354805023656E-2</v>
      </c>
      <c r="C44">
        <f t="shared" si="1"/>
        <v>2.8738334642312122E-3</v>
      </c>
      <c r="D44">
        <f t="shared" si="2"/>
        <v>0.96015461928026669</v>
      </c>
      <c r="E44">
        <f t="shared" si="3"/>
        <v>2.8738334642312122E-3</v>
      </c>
    </row>
    <row r="45" spans="1:5" x14ac:dyDescent="0.25">
      <c r="A45">
        <v>4.4000000000000004</v>
      </c>
      <c r="B45">
        <f t="shared" si="0"/>
        <v>2.1407595138826275E-2</v>
      </c>
      <c r="C45">
        <f t="shared" si="1"/>
        <v>2.7054047232843237E-3</v>
      </c>
      <c r="D45">
        <f t="shared" si="2"/>
        <v>0.96236129155200179</v>
      </c>
      <c r="E45">
        <f t="shared" si="3"/>
        <v>2.7054047232843237E-3</v>
      </c>
    </row>
    <row r="46" spans="1:5" x14ac:dyDescent="0.25">
      <c r="A46">
        <v>4.5</v>
      </c>
      <c r="B46">
        <f t="shared" si="0"/>
        <v>2.0158798857413514E-2</v>
      </c>
      <c r="C46">
        <f t="shared" si="1"/>
        <v>2.5475869330914168E-3</v>
      </c>
      <c r="D46">
        <f t="shared" si="2"/>
        <v>0.96443893653082302</v>
      </c>
      <c r="E46">
        <f t="shared" si="3"/>
        <v>2.5475869330914168E-3</v>
      </c>
    </row>
    <row r="47" spans="1:5" x14ac:dyDescent="0.25">
      <c r="A47">
        <v>4.5999999999999996</v>
      </c>
      <c r="B47">
        <f t="shared" si="0"/>
        <v>1.8988147310974562E-2</v>
      </c>
      <c r="C47">
        <f t="shared" si="1"/>
        <v>2.3996447563771348E-3</v>
      </c>
      <c r="D47">
        <f t="shared" si="2"/>
        <v>0.96639565564254459</v>
      </c>
      <c r="E47">
        <f t="shared" si="3"/>
        <v>2.3996447563771348E-3</v>
      </c>
    </row>
    <row r="48" spans="1:5" x14ac:dyDescent="0.25">
      <c r="A48">
        <v>4.7</v>
      </c>
      <c r="B48">
        <f t="shared" si="0"/>
        <v>1.789027733752329E-2</v>
      </c>
      <c r="C48">
        <f t="shared" si="1"/>
        <v>2.260900418563114E-3</v>
      </c>
      <c r="D48">
        <f t="shared" si="2"/>
        <v>0.96823899158573901</v>
      </c>
      <c r="E48">
        <f t="shared" si="3"/>
        <v>2.260900418563114E-3</v>
      </c>
    </row>
    <row r="49" spans="1:5" x14ac:dyDescent="0.25">
      <c r="A49">
        <v>4.8</v>
      </c>
      <c r="B49">
        <f t="shared" si="0"/>
        <v>1.6860240033670856E-2</v>
      </c>
      <c r="C49">
        <f t="shared" si="1"/>
        <v>2.1307284973860669E-3</v>
      </c>
      <c r="D49">
        <f t="shared" si="2"/>
        <v>0.96997597178021322</v>
      </c>
      <c r="E49">
        <f t="shared" si="3"/>
        <v>2.1307284973860669E-3</v>
      </c>
    </row>
    <row r="50" spans="1:5" x14ac:dyDescent="0.25">
      <c r="A50">
        <v>4.9000000000000004</v>
      </c>
      <c r="B50">
        <f t="shared" si="0"/>
        <v>1.5893463890627381E-2</v>
      </c>
      <c r="C50">
        <f t="shared" si="1"/>
        <v>2.0085512641757502E-3</v>
      </c>
      <c r="D50">
        <f t="shared" si="2"/>
        <v>0.971613147915658</v>
      </c>
      <c r="E50">
        <f t="shared" si="3"/>
        <v>2.0085512641757502E-3</v>
      </c>
    </row>
    <row r="51" spans="1:5" x14ac:dyDescent="0.25">
      <c r="A51">
        <v>5</v>
      </c>
      <c r="B51">
        <f t="shared" si="0"/>
        <v>1.4985721757094067E-2</v>
      </c>
      <c r="C51">
        <f t="shared" si="1"/>
        <v>1.8938345087597629E-3</v>
      </c>
      <c r="D51">
        <f t="shared" si="2"/>
        <v>0.97315663200939695</v>
      </c>
      <c r="E51">
        <f>B51/SUM($B$1:$B$51)</f>
        <v>1.8938345087597629E-3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selection activeCell="G8" sqref="G8"/>
    </sheetView>
  </sheetViews>
  <sheetFormatPr defaultRowHeight="15" x14ac:dyDescent="0.25"/>
  <cols>
    <col min="2" max="2" width="10.7109375" customWidth="1"/>
    <col min="3" max="3" width="15.140625" customWidth="1"/>
    <col min="4" max="4" width="9.5703125" bestFit="1" customWidth="1"/>
    <col min="5" max="5" width="9.28515625" bestFit="1" customWidth="1"/>
    <col min="6" max="6" width="9.5703125" bestFit="1" customWidth="1"/>
    <col min="7" max="7" width="10.5703125" bestFit="1" customWidth="1"/>
    <col min="8" max="8" width="14.42578125" bestFit="1" customWidth="1"/>
  </cols>
  <sheetData>
    <row r="1" spans="1:8" ht="45" x14ac:dyDescent="0.25">
      <c r="B1" s="16" t="s">
        <v>8</v>
      </c>
      <c r="C1" s="16" t="s">
        <v>9</v>
      </c>
      <c r="D1" s="16" t="s">
        <v>10</v>
      </c>
      <c r="E1" s="16" t="s">
        <v>5</v>
      </c>
      <c r="F1" s="17" t="s">
        <v>11</v>
      </c>
      <c r="G1" s="17" t="s">
        <v>12</v>
      </c>
      <c r="H1" s="17" t="s">
        <v>13</v>
      </c>
    </row>
    <row r="3" spans="1:8" x14ac:dyDescent="0.25">
      <c r="B3" s="3">
        <v>0.24474954732077742</v>
      </c>
      <c r="C3" s="3">
        <v>7.4894052934309785E-2</v>
      </c>
      <c r="D3">
        <v>148</v>
      </c>
      <c r="E3" s="13">
        <f>B3/C3</f>
        <v>3.267943684867066</v>
      </c>
      <c r="F3" s="11">
        <f>_xlfn.T.DIST(E3,D3,TRUE)</f>
        <v>0.99932656468202652</v>
      </c>
      <c r="G3" s="11">
        <f>1-F3</f>
        <v>6.7343531797348088E-4</v>
      </c>
      <c r="H3" s="11">
        <f>2*G3</f>
        <v>1.3468706359469618E-3</v>
      </c>
    </row>
    <row r="4" spans="1:8" x14ac:dyDescent="0.25">
      <c r="A4" s="18"/>
      <c r="B4" s="18"/>
      <c r="C4" s="18"/>
      <c r="D4" s="18"/>
      <c r="E4" s="18"/>
      <c r="F4" s="18"/>
      <c r="G4" s="18"/>
      <c r="H4" s="18"/>
    </row>
    <row r="5" spans="1:8" x14ac:dyDescent="0.25">
      <c r="A5" s="18"/>
      <c r="B5" s="18"/>
      <c r="C5" s="18"/>
      <c r="D5" s="18"/>
      <c r="E5" s="18"/>
      <c r="F5" s="18"/>
      <c r="G5" s="18"/>
      <c r="H5" s="18"/>
    </row>
    <row r="6" spans="1:8" ht="30" x14ac:dyDescent="0.25">
      <c r="B6" s="16" t="s">
        <v>14</v>
      </c>
      <c r="C6" s="16" t="s">
        <v>15</v>
      </c>
      <c r="D6" s="16" t="s">
        <v>10</v>
      </c>
      <c r="E6" s="16" t="s">
        <v>16</v>
      </c>
      <c r="F6" s="17" t="s">
        <v>17</v>
      </c>
      <c r="G6" s="17" t="s">
        <v>18</v>
      </c>
    </row>
    <row r="8" spans="1:8" x14ac:dyDescent="0.25">
      <c r="B8" s="13">
        <f>'Fig 6.5'!D6</f>
        <v>1160.1231809389974</v>
      </c>
      <c r="C8" s="13">
        <f>'Fig 6.5'!E6</f>
        <v>16077.432403409683</v>
      </c>
      <c r="D8">
        <v>148</v>
      </c>
      <c r="E8" s="3">
        <f>B8/(C8/D8)</f>
        <v>10.679455927462525</v>
      </c>
      <c r="F8">
        <f>_xlfn.F.DIST(E8,1,D8,TRUE)</f>
        <v>0.99865312936405315</v>
      </c>
      <c r="G8" s="11">
        <f>1-F8</f>
        <v>1.3468706359468507E-3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48"/>
  <sheetViews>
    <sheetView workbookViewId="0">
      <selection activeCell="E1" sqref="E1"/>
    </sheetView>
  </sheetViews>
  <sheetFormatPr defaultRowHeight="15" x14ac:dyDescent="0.25"/>
  <cols>
    <col min="2" max="2" width="9.140625" style="3"/>
    <col min="3" max="3" width="11.140625" customWidth="1"/>
    <col min="4" max="4" width="10.42578125" customWidth="1"/>
    <col min="5" max="5" width="11.42578125" customWidth="1"/>
    <col min="6" max="6" width="9.42578125" bestFit="1" customWidth="1"/>
    <col min="7" max="7" width="12" bestFit="1" customWidth="1"/>
    <col min="8" max="8" width="12.140625" bestFit="1" customWidth="1"/>
  </cols>
  <sheetData>
    <row r="1" spans="1:14" ht="63.75" customHeight="1" x14ac:dyDescent="0.25">
      <c r="A1" s="86" t="s">
        <v>180</v>
      </c>
      <c r="B1" s="89" t="s">
        <v>181</v>
      </c>
      <c r="C1" s="86" t="s">
        <v>182</v>
      </c>
      <c r="D1" s="86" t="s">
        <v>183</v>
      </c>
      <c r="E1" s="86" t="s">
        <v>184</v>
      </c>
    </row>
    <row r="2" spans="1:14" x14ac:dyDescent="0.25">
      <c r="A2">
        <v>0</v>
      </c>
      <c r="B2" s="3">
        <f>B3-5</f>
        <v>37.223999999999997</v>
      </c>
      <c r="C2" s="13">
        <f t="shared" ref="C2:C3" si="0">TREND($A$2:$A$43,$B$2:$B$43,B2)</f>
        <v>-0.15625983742974991</v>
      </c>
      <c r="D2" s="13">
        <f>EXP($G$11+$H$11*B2)/(1+EXP($G$11+$H$11*B2))</f>
        <v>6.2763209867699567E-3</v>
      </c>
      <c r="E2" s="13">
        <f t="shared" ref="E2:E6" si="1">(-1)*(A2*LN(D2)+(1-A2)*LN(1-D2))</f>
        <v>6.2960998919369578E-3</v>
      </c>
      <c r="F2" s="3"/>
      <c r="G2" s="3"/>
      <c r="H2" s="3"/>
      <c r="M2" s="13"/>
      <c r="N2" s="13"/>
    </row>
    <row r="3" spans="1:14" x14ac:dyDescent="0.25">
      <c r="A3">
        <v>0</v>
      </c>
      <c r="B3" s="3">
        <f>B4-5</f>
        <v>42.223999999999997</v>
      </c>
      <c r="C3" s="13">
        <f>TREND($A$2:$A$48,$B$2:$B$48,B3)</f>
        <v>-9.9348636804744872E-2</v>
      </c>
      <c r="D3" s="13">
        <f>EXP($G$11+$H$11*B3)/(1+EXP($G$11+$H$11*B3))</f>
        <v>9.065822263675468E-3</v>
      </c>
      <c r="E3" s="13">
        <f t="shared" si="1"/>
        <v>9.1071669021299886E-3</v>
      </c>
      <c r="F3" s="3"/>
      <c r="G3" s="3"/>
      <c r="H3" s="3"/>
      <c r="M3" s="13"/>
      <c r="N3" s="13"/>
    </row>
    <row r="4" spans="1:14" x14ac:dyDescent="0.25">
      <c r="A4">
        <v>0</v>
      </c>
      <c r="B4" s="3">
        <f>B5-5</f>
        <v>47.223999999999997</v>
      </c>
      <c r="C4" s="13">
        <f>TREND($A$2:$A$43,$B$2:$B$43,B4)</f>
        <v>-6.0422069600537087E-2</v>
      </c>
      <c r="D4" s="13">
        <f>EXP($G$11+$H$11*B4)/(1+EXP($G$11+$H$11*B4))</f>
        <v>1.3078795755005392E-2</v>
      </c>
      <c r="E4" s="13">
        <f t="shared" si="1"/>
        <v>1.3165076327223699E-2</v>
      </c>
      <c r="F4" s="3"/>
      <c r="G4" s="3"/>
      <c r="H4" s="3"/>
      <c r="M4" s="13"/>
      <c r="N4" s="13"/>
    </row>
    <row r="5" spans="1:14" x14ac:dyDescent="0.25">
      <c r="A5">
        <v>0</v>
      </c>
      <c r="B5" s="3">
        <f>B6-5</f>
        <v>52.223999999999997</v>
      </c>
      <c r="C5" s="13">
        <f t="shared" ref="C5:C48" si="2">TREND($A$2:$A$43,$B$2:$B$43,B5)</f>
        <v>-1.2503185685930673E-2</v>
      </c>
      <c r="D5" s="13">
        <f>EXP($G$11+$H$11*B5)/(1+EXP($G$11+$H$11*B5))</f>
        <v>1.8834344099592865E-2</v>
      </c>
      <c r="E5" s="13">
        <f t="shared" si="1"/>
        <v>1.9013969350213485E-2</v>
      </c>
      <c r="F5" s="3"/>
      <c r="G5" s="3"/>
      <c r="H5" s="3"/>
      <c r="M5" s="13"/>
      <c r="N5" s="13"/>
    </row>
    <row r="6" spans="1:14" x14ac:dyDescent="0.25">
      <c r="A6">
        <v>1</v>
      </c>
      <c r="B6" s="3">
        <f>B7-5</f>
        <v>57.223999999999997</v>
      </c>
      <c r="C6" s="13">
        <f t="shared" si="2"/>
        <v>3.541569822867574E-2</v>
      </c>
      <c r="D6" s="13">
        <f>EXP($G$11+$H$11*B6)/(1+EXP($G$11+$H$11*B6))</f>
        <v>2.7053290810030405E-2</v>
      </c>
      <c r="E6" s="13">
        <f t="shared" si="1"/>
        <v>3.6099466245261596</v>
      </c>
      <c r="M6" s="13"/>
      <c r="N6" s="13"/>
    </row>
    <row r="7" spans="1:14" x14ac:dyDescent="0.25">
      <c r="A7">
        <v>0</v>
      </c>
      <c r="B7" s="3">
        <v>62.223999999999997</v>
      </c>
      <c r="C7" s="13">
        <f t="shared" si="2"/>
        <v>8.3334582143282265E-2</v>
      </c>
      <c r="D7" s="13">
        <f t="shared" ref="D7:D44" si="3">EXP($G$11+$H$11*B7)/(1+EXP($G$11+$H$11*B7))</f>
        <v>3.8717299597115992E-2</v>
      </c>
      <c r="E7" s="13">
        <f t="shared" ref="E7:E48" si="4">(-1)*(A7*LN(D7)+(1-A7)*LN(1-D7))</f>
        <v>3.9486740116316879E-2</v>
      </c>
      <c r="H7" t="s">
        <v>185</v>
      </c>
      <c r="M7" s="13"/>
      <c r="N7" s="13"/>
    </row>
    <row r="8" spans="1:14" x14ac:dyDescent="0.25">
      <c r="A8">
        <v>1</v>
      </c>
      <c r="B8" s="3">
        <v>71.891000000000005</v>
      </c>
      <c r="C8" s="13">
        <f t="shared" si="2"/>
        <v>0.17598095230378241</v>
      </c>
      <c r="D8" s="13">
        <f t="shared" si="3"/>
        <v>7.6168435426929165E-2</v>
      </c>
      <c r="E8" s="13">
        <f t="shared" si="4"/>
        <v>2.5748081353502252</v>
      </c>
      <c r="M8" s="13"/>
      <c r="N8" s="13"/>
    </row>
    <row r="9" spans="1:14" ht="15.75" thickBot="1" x14ac:dyDescent="0.3">
      <c r="A9">
        <v>0</v>
      </c>
      <c r="B9" s="3">
        <v>79.015000000000001</v>
      </c>
      <c r="C9" s="13">
        <f t="shared" si="2"/>
        <v>0.24425577810531351</v>
      </c>
      <c r="D9" s="13">
        <f t="shared" si="3"/>
        <v>0.12264268897903541</v>
      </c>
      <c r="E9" s="13">
        <f t="shared" si="4"/>
        <v>0.13084094538743274</v>
      </c>
      <c r="H9" t="s">
        <v>186</v>
      </c>
      <c r="M9" s="13"/>
      <c r="N9" s="13"/>
    </row>
    <row r="10" spans="1:14" x14ac:dyDescent="0.25">
      <c r="A10">
        <v>0</v>
      </c>
      <c r="B10" s="3">
        <v>79.897000000000006</v>
      </c>
      <c r="C10" s="13">
        <f t="shared" si="2"/>
        <v>0.25270866922785018</v>
      </c>
      <c r="D10" s="13">
        <f t="shared" si="3"/>
        <v>0.12985107502286419</v>
      </c>
      <c r="E10" s="13">
        <f t="shared" si="4"/>
        <v>0.13909090384817394</v>
      </c>
      <c r="G10" s="19" t="s">
        <v>187</v>
      </c>
      <c r="H10" s="24" t="s">
        <v>188</v>
      </c>
      <c r="I10" s="24" t="s">
        <v>189</v>
      </c>
      <c r="J10" s="20" t="s">
        <v>190</v>
      </c>
      <c r="M10" s="13"/>
      <c r="N10" s="13"/>
    </row>
    <row r="11" spans="1:14" ht="15.75" thickBot="1" x14ac:dyDescent="0.3">
      <c r="A11">
        <v>0</v>
      </c>
      <c r="B11" s="3">
        <v>80.150999999999996</v>
      </c>
      <c r="C11" s="13">
        <f t="shared" si="2"/>
        <v>0.25514294853071207</v>
      </c>
      <c r="D11" s="13">
        <f t="shared" si="3"/>
        <v>0.13199278149893029</v>
      </c>
      <c r="E11" s="13">
        <f t="shared" si="4"/>
        <v>0.1415552481108947</v>
      </c>
      <c r="G11" s="22">
        <v>-7.8232612372661761</v>
      </c>
      <c r="H11" s="87">
        <v>7.4107727188329878E-2</v>
      </c>
      <c r="I11" s="87"/>
      <c r="J11" s="23"/>
      <c r="M11" s="13"/>
      <c r="N11" s="13"/>
    </row>
    <row r="12" spans="1:14" ht="15.75" thickBot="1" x14ac:dyDescent="0.3">
      <c r="A12">
        <v>0</v>
      </c>
      <c r="B12" s="3">
        <v>82.21</v>
      </c>
      <c r="C12" s="13">
        <f t="shared" si="2"/>
        <v>0.27487594492674705</v>
      </c>
      <c r="D12" s="13">
        <f t="shared" si="3"/>
        <v>0.15047697210565281</v>
      </c>
      <c r="E12" s="13">
        <f t="shared" si="4"/>
        <v>0.16308023065150701</v>
      </c>
      <c r="M12" s="13"/>
      <c r="N12" s="13"/>
    </row>
    <row r="13" spans="1:14" ht="15.75" thickBot="1" x14ac:dyDescent="0.3">
      <c r="A13">
        <v>0</v>
      </c>
      <c r="B13" s="3">
        <v>82.817999999999998</v>
      </c>
      <c r="C13" s="13">
        <f t="shared" si="2"/>
        <v>0.28070288121076314</v>
      </c>
      <c r="D13" s="13">
        <f t="shared" si="3"/>
        <v>0.15632799240689807</v>
      </c>
      <c r="E13" s="13">
        <f t="shared" si="4"/>
        <v>0.16999147651302909</v>
      </c>
      <c r="G13" s="45"/>
      <c r="H13" s="88" t="s">
        <v>191</v>
      </c>
      <c r="I13" s="90">
        <f>SUM(E2:E48)</f>
        <v>22.409302985088207</v>
      </c>
      <c r="M13" s="13"/>
      <c r="N13" s="13"/>
    </row>
    <row r="14" spans="1:14" x14ac:dyDescent="0.25">
      <c r="A14">
        <v>0</v>
      </c>
      <c r="B14" s="3">
        <v>82.914000000000001</v>
      </c>
      <c r="C14" s="13">
        <f t="shared" si="2"/>
        <v>0.28162292378192366</v>
      </c>
      <c r="D14" s="13">
        <f t="shared" si="3"/>
        <v>0.15726859556283898</v>
      </c>
      <c r="E14" s="13">
        <f t="shared" si="4"/>
        <v>0.17110699044850769</v>
      </c>
      <c r="M14" s="13"/>
      <c r="N14" s="13"/>
    </row>
    <row r="15" spans="1:14" x14ac:dyDescent="0.25">
      <c r="A15">
        <v>0</v>
      </c>
      <c r="B15" s="3">
        <v>85.031999999999996</v>
      </c>
      <c r="C15" s="13">
        <f t="shared" si="2"/>
        <v>0.30192136300815087</v>
      </c>
      <c r="D15" s="13">
        <f t="shared" si="3"/>
        <v>0.1792064711831958</v>
      </c>
      <c r="E15" s="13">
        <f t="shared" si="4"/>
        <v>0.19748368859183238</v>
      </c>
      <c r="M15" s="13"/>
      <c r="N15" s="13"/>
    </row>
    <row r="16" spans="1:14" x14ac:dyDescent="0.25">
      <c r="A16">
        <v>1</v>
      </c>
      <c r="B16" s="3">
        <v>85.361000000000004</v>
      </c>
      <c r="C16" s="13">
        <f t="shared" si="2"/>
        <v>0.30507442556973208</v>
      </c>
      <c r="D16" s="13">
        <f t="shared" si="3"/>
        <v>0.18282086498873976</v>
      </c>
      <c r="E16" s="13">
        <f t="shared" si="4"/>
        <v>1.6992484853994276</v>
      </c>
      <c r="M16" s="13"/>
      <c r="N16" s="13"/>
    </row>
    <row r="17" spans="1:14" x14ac:dyDescent="0.25">
      <c r="A17">
        <v>0</v>
      </c>
      <c r="B17" s="3">
        <v>86.013000000000005</v>
      </c>
      <c r="C17" s="13">
        <f t="shared" si="2"/>
        <v>0.31132304803219679</v>
      </c>
      <c r="D17" s="13">
        <f t="shared" si="3"/>
        <v>0.19015038688329217</v>
      </c>
      <c r="E17" s="13">
        <f t="shared" si="4"/>
        <v>0.21090671137200651</v>
      </c>
      <c r="M17" s="13"/>
      <c r="N17" s="13"/>
    </row>
    <row r="18" spans="1:14" x14ac:dyDescent="0.25">
      <c r="A18">
        <v>0</v>
      </c>
      <c r="B18" s="3">
        <v>86.11</v>
      </c>
      <c r="C18" s="13">
        <f t="shared" si="2"/>
        <v>0.31225267438014004</v>
      </c>
      <c r="D18" s="13">
        <f t="shared" si="3"/>
        <v>0.19125982567269531</v>
      </c>
      <c r="E18" s="13">
        <f t="shared" si="4"/>
        <v>0.21227758244972575</v>
      </c>
      <c r="M18" s="13"/>
      <c r="N18" s="13"/>
    </row>
    <row r="19" spans="1:14" x14ac:dyDescent="0.25">
      <c r="A19">
        <v>0</v>
      </c>
      <c r="B19" s="3">
        <v>86.864000000000004</v>
      </c>
      <c r="C19" s="13">
        <f t="shared" si="2"/>
        <v>0.31947884207446275</v>
      </c>
      <c r="D19" s="13">
        <f t="shared" si="3"/>
        <v>0.20005228325894664</v>
      </c>
      <c r="E19" s="13">
        <f t="shared" si="4"/>
        <v>0.22320890752356357</v>
      </c>
      <c r="M19" s="13"/>
      <c r="N19" s="13"/>
    </row>
    <row r="20" spans="1:14" x14ac:dyDescent="0.25">
      <c r="A20">
        <v>0</v>
      </c>
      <c r="B20" s="3">
        <v>86.921999999999997</v>
      </c>
      <c r="C20" s="13">
        <f t="shared" si="2"/>
        <v>0.32003470112787213</v>
      </c>
      <c r="D20" s="13">
        <f t="shared" si="3"/>
        <v>0.20074102469069002</v>
      </c>
      <c r="E20" s="13">
        <f t="shared" si="4"/>
        <v>0.22407026144079051</v>
      </c>
      <c r="M20" s="13"/>
      <c r="N20" s="13"/>
    </row>
    <row r="21" spans="1:14" x14ac:dyDescent="0.25">
      <c r="A21">
        <v>0</v>
      </c>
      <c r="B21" s="3">
        <v>87.656000000000006</v>
      </c>
      <c r="C21" s="13">
        <f t="shared" si="2"/>
        <v>0.32706919328653639</v>
      </c>
      <c r="D21" s="13">
        <f t="shared" si="3"/>
        <v>0.20961058490368659</v>
      </c>
      <c r="E21" s="13">
        <f t="shared" si="4"/>
        <v>0.23522952446973761</v>
      </c>
      <c r="M21" s="13"/>
      <c r="N21" s="13"/>
    </row>
    <row r="22" spans="1:14" x14ac:dyDescent="0.25">
      <c r="A22">
        <v>0</v>
      </c>
      <c r="B22" s="3">
        <v>91.352999999999994</v>
      </c>
      <c r="C22" s="13">
        <f t="shared" si="2"/>
        <v>0.36250041605299632</v>
      </c>
      <c r="D22" s="13">
        <f t="shared" si="3"/>
        <v>0.25859229056910982</v>
      </c>
      <c r="E22" s="13">
        <f t="shared" si="4"/>
        <v>0.2992045898425118</v>
      </c>
      <c r="M22" s="13"/>
      <c r="N22" s="13"/>
    </row>
    <row r="23" spans="1:14" x14ac:dyDescent="0.25">
      <c r="A23">
        <v>0</v>
      </c>
      <c r="B23" s="3">
        <v>93.09</v>
      </c>
      <c r="C23" s="13">
        <f t="shared" si="2"/>
        <v>0.37914743632493064</v>
      </c>
      <c r="D23" s="13">
        <f t="shared" si="3"/>
        <v>0.28402704867989859</v>
      </c>
      <c r="E23" s="13">
        <f t="shared" si="4"/>
        <v>0.33411289022097052</v>
      </c>
      <c r="M23" s="13"/>
      <c r="N23" s="13"/>
    </row>
    <row r="24" spans="1:14" x14ac:dyDescent="0.25">
      <c r="A24">
        <v>0</v>
      </c>
      <c r="B24" s="3">
        <v>93.83</v>
      </c>
      <c r="C24" s="13">
        <f t="shared" si="2"/>
        <v>0.38623943114429238</v>
      </c>
      <c r="D24" s="13">
        <f t="shared" si="3"/>
        <v>0.2953098215666512</v>
      </c>
      <c r="E24" s="13">
        <f t="shared" si="4"/>
        <v>0.34999703597723542</v>
      </c>
      <c r="M24" s="13"/>
      <c r="N24" s="13"/>
    </row>
    <row r="25" spans="1:14" x14ac:dyDescent="0.25">
      <c r="A25">
        <v>1</v>
      </c>
      <c r="B25" s="3">
        <v>95.087000000000003</v>
      </c>
      <c r="C25" s="13">
        <f t="shared" si="2"/>
        <v>0.39828623856042444</v>
      </c>
      <c r="D25" s="13">
        <f t="shared" si="3"/>
        <v>0.31505748903189723</v>
      </c>
      <c r="E25" s="13">
        <f t="shared" si="4"/>
        <v>1.1550001519453248</v>
      </c>
      <c r="M25" s="13"/>
      <c r="N25" s="13"/>
    </row>
    <row r="26" spans="1:14" x14ac:dyDescent="0.25">
      <c r="A26">
        <v>1</v>
      </c>
      <c r="B26" s="3">
        <v>98.216999999999999</v>
      </c>
      <c r="C26" s="13">
        <f t="shared" si="2"/>
        <v>0.42828345989096805</v>
      </c>
      <c r="D26" s="13">
        <f t="shared" si="3"/>
        <v>0.36711290534908059</v>
      </c>
      <c r="E26" s="13">
        <f t="shared" si="4"/>
        <v>1.0020858342373353</v>
      </c>
      <c r="M26" s="13"/>
      <c r="N26" s="13"/>
    </row>
    <row r="27" spans="1:14" x14ac:dyDescent="0.25">
      <c r="A27">
        <v>0</v>
      </c>
      <c r="B27" s="3">
        <v>98.811999999999998</v>
      </c>
      <c r="C27" s="13">
        <f t="shared" si="2"/>
        <v>0.43398580707680623</v>
      </c>
      <c r="D27" s="13">
        <f t="shared" si="3"/>
        <v>0.37741647776849435</v>
      </c>
      <c r="E27" s="13">
        <f t="shared" si="4"/>
        <v>0.47387748738412</v>
      </c>
      <c r="M27" s="13"/>
      <c r="N27" s="13"/>
    </row>
    <row r="28" spans="1:14" x14ac:dyDescent="0.25">
      <c r="A28">
        <v>0</v>
      </c>
      <c r="B28" s="3">
        <v>99.677999999999997</v>
      </c>
      <c r="C28" s="13">
        <f t="shared" si="2"/>
        <v>0.44228535777081601</v>
      </c>
      <c r="D28" s="13">
        <f t="shared" si="3"/>
        <v>0.39261074629285569</v>
      </c>
      <c r="E28" s="13">
        <f t="shared" si="4"/>
        <v>0.49858541881026475</v>
      </c>
      <c r="M28" s="13"/>
      <c r="N28" s="13"/>
    </row>
    <row r="29" spans="1:14" x14ac:dyDescent="0.25">
      <c r="A29">
        <v>1</v>
      </c>
      <c r="B29" s="3">
        <v>101.788</v>
      </c>
      <c r="C29" s="13">
        <f t="shared" si="2"/>
        <v>0.46250712678277994</v>
      </c>
      <c r="D29" s="13">
        <f t="shared" si="3"/>
        <v>0.43045772265031135</v>
      </c>
      <c r="E29" s="13">
        <f t="shared" si="4"/>
        <v>0.84290616516255812</v>
      </c>
      <c r="M29" s="13"/>
      <c r="N29" s="13"/>
    </row>
    <row r="30" spans="1:14" x14ac:dyDescent="0.25">
      <c r="A30">
        <v>0</v>
      </c>
      <c r="B30" s="3">
        <v>105.401</v>
      </c>
      <c r="C30" s="13">
        <f t="shared" si="2"/>
        <v>0.49713331229947466</v>
      </c>
      <c r="D30" s="13">
        <f t="shared" si="3"/>
        <v>0.49694186716219835</v>
      </c>
      <c r="E30" s="13">
        <f t="shared" si="4"/>
        <v>0.68704954331820445</v>
      </c>
      <c r="M30" s="13"/>
      <c r="N30" s="13"/>
    </row>
    <row r="31" spans="1:14" x14ac:dyDescent="0.25">
      <c r="A31">
        <v>1</v>
      </c>
      <c r="B31" s="3">
        <v>106.25</v>
      </c>
      <c r="C31" s="13">
        <f t="shared" si="2"/>
        <v>0.50526993878817483</v>
      </c>
      <c r="D31" s="13">
        <f t="shared" si="3"/>
        <v>0.51266848218509375</v>
      </c>
      <c r="E31" s="13">
        <f t="shared" si="4"/>
        <v>0.66812587626759812</v>
      </c>
      <c r="M31" s="13"/>
      <c r="N31" s="13"/>
    </row>
    <row r="32" spans="1:14" x14ac:dyDescent="0.25">
      <c r="A32">
        <v>0</v>
      </c>
      <c r="B32" s="3">
        <v>106.304</v>
      </c>
      <c r="C32" s="13">
        <f t="shared" si="2"/>
        <v>0.50578746273445263</v>
      </c>
      <c r="D32" s="13">
        <f t="shared" si="3"/>
        <v>0.51366824222970842</v>
      </c>
      <c r="E32" s="13">
        <f t="shared" si="4"/>
        <v>0.72086425880997085</v>
      </c>
      <c r="M32" s="13"/>
      <c r="N32" s="13"/>
    </row>
    <row r="33" spans="1:14" x14ac:dyDescent="0.25">
      <c r="A33">
        <v>0</v>
      </c>
      <c r="B33" s="3">
        <v>107.13500000000001</v>
      </c>
      <c r="C33" s="13">
        <f t="shared" si="2"/>
        <v>0.51375158124106013</v>
      </c>
      <c r="D33" s="13">
        <f t="shared" si="3"/>
        <v>0.52903482660955159</v>
      </c>
      <c r="E33" s="13">
        <f t="shared" si="4"/>
        <v>0.75297112954573409</v>
      </c>
      <c r="M33" s="13"/>
      <c r="N33" s="13"/>
    </row>
    <row r="34" spans="1:14" x14ac:dyDescent="0.25">
      <c r="A34">
        <v>1</v>
      </c>
      <c r="B34" s="3">
        <v>108.887</v>
      </c>
      <c r="C34" s="13">
        <f t="shared" si="2"/>
        <v>0.53054235816473827</v>
      </c>
      <c r="D34" s="13">
        <f t="shared" si="3"/>
        <v>0.56121803394394343</v>
      </c>
      <c r="E34" s="13">
        <f t="shared" si="4"/>
        <v>0.57764579665869087</v>
      </c>
      <c r="M34" s="13"/>
      <c r="N34" s="13"/>
    </row>
    <row r="35" spans="1:14" x14ac:dyDescent="0.25">
      <c r="A35">
        <v>1</v>
      </c>
      <c r="B35" s="3">
        <v>109.55200000000001</v>
      </c>
      <c r="C35" s="13">
        <f t="shared" si="2"/>
        <v>0.53691556972538101</v>
      </c>
      <c r="D35" s="13">
        <f t="shared" si="3"/>
        <v>0.57331481013637708</v>
      </c>
      <c r="E35" s="13">
        <f t="shared" si="4"/>
        <v>0.55632030626632734</v>
      </c>
      <c r="M35" s="13"/>
      <c r="N35" s="13"/>
    </row>
    <row r="36" spans="1:14" x14ac:dyDescent="0.25">
      <c r="A36">
        <v>1</v>
      </c>
      <c r="B36" s="3">
        <v>117.836</v>
      </c>
      <c r="C36" s="13">
        <f t="shared" si="2"/>
        <v>0.61630757659510083</v>
      </c>
      <c r="D36" s="13">
        <f t="shared" si="3"/>
        <v>0.71285626595762419</v>
      </c>
      <c r="E36" s="13">
        <f t="shared" si="4"/>
        <v>0.33847546941220785</v>
      </c>
      <c r="M36" s="13"/>
      <c r="N36" s="13"/>
    </row>
    <row r="37" spans="1:14" x14ac:dyDescent="0.25">
      <c r="A37">
        <v>1</v>
      </c>
      <c r="B37" s="3">
        <v>120.087</v>
      </c>
      <c r="C37" s="13">
        <f t="shared" si="2"/>
        <v>0.63788065813345673</v>
      </c>
      <c r="D37" s="13">
        <f t="shared" si="3"/>
        <v>0.74575777553768019</v>
      </c>
      <c r="E37" s="13">
        <f t="shared" si="4"/>
        <v>0.29335442917474847</v>
      </c>
      <c r="M37" s="13"/>
      <c r="N37" s="13"/>
    </row>
    <row r="38" spans="1:14" x14ac:dyDescent="0.25">
      <c r="A38">
        <v>1</v>
      </c>
      <c r="B38" s="3">
        <v>120.134</v>
      </c>
      <c r="C38" s="13">
        <f t="shared" si="2"/>
        <v>0.63833109564225399</v>
      </c>
      <c r="D38" s="13">
        <f t="shared" si="3"/>
        <v>0.74641760969017878</v>
      </c>
      <c r="E38" s="13">
        <f t="shared" si="4"/>
        <v>0.29247003689480844</v>
      </c>
      <c r="M38" s="13"/>
      <c r="N38" s="13"/>
    </row>
    <row r="39" spans="1:14" x14ac:dyDescent="0.25">
      <c r="A39">
        <v>0</v>
      </c>
      <c r="B39" s="3">
        <v>129.46199999999999</v>
      </c>
      <c r="C39" s="13">
        <f t="shared" si="2"/>
        <v>0.72772856547334352</v>
      </c>
      <c r="D39" s="13">
        <f t="shared" si="3"/>
        <v>0.85456624579649143</v>
      </c>
      <c r="E39" s="13">
        <f t="shared" si="4"/>
        <v>1.9280345936203878</v>
      </c>
      <c r="M39" s="13"/>
      <c r="N39" s="13"/>
    </row>
    <row r="40" spans="1:14" x14ac:dyDescent="0.25">
      <c r="A40">
        <v>1</v>
      </c>
      <c r="B40" s="3">
        <v>133.96299999999999</v>
      </c>
      <c r="C40" s="13">
        <f t="shared" si="2"/>
        <v>0.77086514477327228</v>
      </c>
      <c r="D40" s="13">
        <f t="shared" si="3"/>
        <v>0.8913332213427918</v>
      </c>
      <c r="E40" s="13">
        <f t="shared" si="4"/>
        <v>0.11503693563220481</v>
      </c>
      <c r="M40" s="13"/>
      <c r="N40" s="13"/>
    </row>
    <row r="41" spans="1:14" x14ac:dyDescent="0.25">
      <c r="A41">
        <v>1</v>
      </c>
      <c r="B41" s="3">
        <v>136.386</v>
      </c>
      <c r="C41" s="13">
        <f t="shared" si="2"/>
        <v>0.79408663591829065</v>
      </c>
      <c r="D41" s="13">
        <f t="shared" si="3"/>
        <v>0.90754282938620712</v>
      </c>
      <c r="E41" s="13">
        <f t="shared" si="4"/>
        <v>9.7014519040845501E-2</v>
      </c>
      <c r="M41" s="13"/>
      <c r="N41" s="13"/>
    </row>
    <row r="42" spans="1:14" x14ac:dyDescent="0.25">
      <c r="A42">
        <v>1</v>
      </c>
      <c r="B42" s="3">
        <v>138.012</v>
      </c>
      <c r="C42" s="13">
        <f t="shared" si="2"/>
        <v>0.80966985696732074</v>
      </c>
      <c r="D42" s="13">
        <f t="shared" si="3"/>
        <v>0.91716938311694407</v>
      </c>
      <c r="E42" s="13">
        <f t="shared" si="4"/>
        <v>8.6463109370035679E-2</v>
      </c>
      <c r="M42" s="13"/>
      <c r="N42" s="13"/>
    </row>
    <row r="43" spans="1:14" x14ac:dyDescent="0.25">
      <c r="A43">
        <v>1</v>
      </c>
      <c r="B43" s="3">
        <v>145.22800000000001</v>
      </c>
      <c r="C43" s="13">
        <f t="shared" si="2"/>
        <v>0.87882639023288067</v>
      </c>
      <c r="D43" s="13">
        <f t="shared" si="3"/>
        <v>0.94975322237162951</v>
      </c>
      <c r="E43" s="13">
        <f t="shared" si="4"/>
        <v>5.1553094057162831E-2</v>
      </c>
      <c r="M43" s="13"/>
      <c r="N43" s="13"/>
    </row>
    <row r="44" spans="1:14" x14ac:dyDescent="0.25">
      <c r="A44">
        <v>1</v>
      </c>
      <c r="B44" s="3">
        <f>B43+5</f>
        <v>150.22800000000001</v>
      </c>
      <c r="C44" s="13">
        <f t="shared" si="2"/>
        <v>0.9267452741474872</v>
      </c>
      <c r="D44" s="13">
        <f t="shared" si="3"/>
        <v>0.96476329216756596</v>
      </c>
      <c r="E44" s="13">
        <f t="shared" si="4"/>
        <v>3.5872500823027065E-2</v>
      </c>
    </row>
    <row r="45" spans="1:14" x14ac:dyDescent="0.25">
      <c r="A45">
        <v>1</v>
      </c>
      <c r="B45" s="3">
        <f>B44+5</f>
        <v>155.22800000000001</v>
      </c>
      <c r="C45" s="13">
        <f t="shared" si="2"/>
        <v>0.9746641580620935</v>
      </c>
      <c r="D45" s="13">
        <f>EXP($G$11+$H$11*B45)/(1+EXP($G$11+$H$11*B45))</f>
        <v>0.97540556231190367</v>
      </c>
      <c r="E45" s="13">
        <f t="shared" si="4"/>
        <v>2.4901933126685212E-2</v>
      </c>
    </row>
    <row r="46" spans="1:14" x14ac:dyDescent="0.25">
      <c r="A46">
        <v>1</v>
      </c>
      <c r="B46" s="3">
        <f>B45+5</f>
        <v>160.22800000000001</v>
      </c>
      <c r="C46" s="13">
        <f t="shared" si="2"/>
        <v>1.0225830419766999</v>
      </c>
      <c r="D46" s="13">
        <f>EXP($G$11+$H$11*B46)/(1+EXP($G$11+$H$11*B46))</f>
        <v>0.98289063149342504</v>
      </c>
      <c r="E46" s="13">
        <f t="shared" si="4"/>
        <v>1.7257424950120264E-2</v>
      </c>
    </row>
    <row r="47" spans="1:14" x14ac:dyDescent="0.25">
      <c r="A47">
        <v>1</v>
      </c>
      <c r="B47" s="3">
        <f>B46+5</f>
        <v>165.22800000000001</v>
      </c>
      <c r="C47" s="13">
        <f t="shared" si="2"/>
        <v>1.0705019258913064</v>
      </c>
      <c r="D47" s="13">
        <f>EXP($G$11+$H$11*B47)/(1+EXP($G$11+$H$11*B47))</f>
        <v>0.98812542772620759</v>
      </c>
      <c r="E47" s="13">
        <f t="shared" si="4"/>
        <v>1.1945638151997026E-2</v>
      </c>
    </row>
    <row r="48" spans="1:14" x14ac:dyDescent="0.25">
      <c r="A48">
        <v>1</v>
      </c>
      <c r="B48" s="3">
        <f>B47+5</f>
        <v>170.22800000000001</v>
      </c>
      <c r="C48" s="13">
        <f t="shared" si="2"/>
        <v>1.118420809805913</v>
      </c>
      <c r="D48" s="13">
        <f>EXP($G$11+$H$11*B48)/(1+EXP($G$11+$H$11*B48))</f>
        <v>0.99177198919723542</v>
      </c>
      <c r="E48" s="13">
        <f t="shared" si="4"/>
        <v>8.2620477162929553E-3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48"/>
  <sheetViews>
    <sheetView workbookViewId="0"/>
  </sheetViews>
  <sheetFormatPr defaultRowHeight="15" x14ac:dyDescent="0.25"/>
  <cols>
    <col min="2" max="2" width="9.140625" style="3"/>
    <col min="3" max="3" width="11.140625" customWidth="1"/>
    <col min="4" max="4" width="9.42578125" bestFit="1" customWidth="1"/>
    <col min="5" max="5" width="12" bestFit="1" customWidth="1"/>
    <col min="6" max="6" width="12.140625" bestFit="1" customWidth="1"/>
  </cols>
  <sheetData>
    <row r="1" spans="1:12" ht="63.75" customHeight="1" x14ac:dyDescent="0.25">
      <c r="A1" s="86" t="s">
        <v>180</v>
      </c>
      <c r="B1" s="89" t="s">
        <v>181</v>
      </c>
      <c r="C1" s="86" t="s">
        <v>182</v>
      </c>
    </row>
    <row r="2" spans="1:12" x14ac:dyDescent="0.25">
      <c r="A2">
        <v>0</v>
      </c>
      <c r="B2" s="3">
        <f>B3-5</f>
        <v>37.223999999999997</v>
      </c>
      <c r="C2" s="13">
        <f t="shared" ref="C2" si="0">TREND($A$2:$A$43,$B$2:$B$43,B2)</f>
        <v>-0.15625983742974991</v>
      </c>
      <c r="D2" s="3"/>
      <c r="K2" s="13"/>
      <c r="L2" s="13"/>
    </row>
    <row r="3" spans="1:12" x14ac:dyDescent="0.25">
      <c r="A3">
        <v>0</v>
      </c>
      <c r="B3" s="3">
        <f>B4-5</f>
        <v>42.223999999999997</v>
      </c>
      <c r="C3" s="13">
        <f>TREND($A$2:$A$48,$B$2:$B$48,B3)</f>
        <v>-9.9348636804744872E-2</v>
      </c>
      <c r="D3" s="3"/>
      <c r="K3" s="13"/>
      <c r="L3" s="13"/>
    </row>
    <row r="4" spans="1:12" x14ac:dyDescent="0.25">
      <c r="A4">
        <v>0</v>
      </c>
      <c r="B4" s="3">
        <f>B5-5</f>
        <v>47.223999999999997</v>
      </c>
      <c r="C4" s="13">
        <f>TREND($A$2:$A$43,$B$2:$B$43,B4)</f>
        <v>-6.0422069600537087E-2</v>
      </c>
      <c r="D4" s="3"/>
      <c r="K4" s="13"/>
      <c r="L4" s="13"/>
    </row>
    <row r="5" spans="1:12" x14ac:dyDescent="0.25">
      <c r="A5">
        <v>0</v>
      </c>
      <c r="B5" s="3">
        <f>B6-5</f>
        <v>52.223999999999997</v>
      </c>
      <c r="C5" s="13">
        <f t="shared" ref="C5:C48" si="1">TREND($A$2:$A$43,$B$2:$B$43,B5)</f>
        <v>-1.2503185685930673E-2</v>
      </c>
      <c r="D5" s="3"/>
      <c r="K5" s="13"/>
      <c r="L5" s="13"/>
    </row>
    <row r="6" spans="1:12" x14ac:dyDescent="0.25">
      <c r="A6">
        <v>1</v>
      </c>
      <c r="B6" s="3">
        <f>B7-5</f>
        <v>57.223999999999997</v>
      </c>
      <c r="C6" s="13">
        <f t="shared" si="1"/>
        <v>3.541569822867574E-2</v>
      </c>
      <c r="K6" s="13"/>
      <c r="L6" s="13"/>
    </row>
    <row r="7" spans="1:12" x14ac:dyDescent="0.25">
      <c r="A7">
        <v>0</v>
      </c>
      <c r="B7" s="3">
        <v>62.223999999999997</v>
      </c>
      <c r="C7" s="13">
        <f t="shared" si="1"/>
        <v>8.3334582143282265E-2</v>
      </c>
      <c r="K7" s="13"/>
      <c r="L7" s="13"/>
    </row>
    <row r="8" spans="1:12" x14ac:dyDescent="0.25">
      <c r="A8">
        <v>1</v>
      </c>
      <c r="B8" s="3">
        <v>71.891000000000005</v>
      </c>
      <c r="C8" s="13">
        <f t="shared" si="1"/>
        <v>0.17598095230378241</v>
      </c>
      <c r="K8" s="13"/>
      <c r="L8" s="13"/>
    </row>
    <row r="9" spans="1:12" x14ac:dyDescent="0.25">
      <c r="A9">
        <v>0</v>
      </c>
      <c r="B9" s="3">
        <v>79.015000000000001</v>
      </c>
      <c r="C9" s="13">
        <f t="shared" si="1"/>
        <v>0.24425577810531351</v>
      </c>
      <c r="K9" s="13"/>
      <c r="L9" s="13"/>
    </row>
    <row r="10" spans="1:12" x14ac:dyDescent="0.25">
      <c r="A10">
        <v>0</v>
      </c>
      <c r="B10" s="3">
        <v>79.897000000000006</v>
      </c>
      <c r="C10" s="13">
        <f t="shared" si="1"/>
        <v>0.25270866922785018</v>
      </c>
      <c r="K10" s="13"/>
      <c r="L10" s="13"/>
    </row>
    <row r="11" spans="1:12" x14ac:dyDescent="0.25">
      <c r="A11">
        <v>0</v>
      </c>
      <c r="B11" s="3">
        <v>80.150999999999996</v>
      </c>
      <c r="C11" s="13">
        <f t="shared" si="1"/>
        <v>0.25514294853071207</v>
      </c>
      <c r="K11" s="13"/>
      <c r="L11" s="13"/>
    </row>
    <row r="12" spans="1:12" x14ac:dyDescent="0.25">
      <c r="A12">
        <v>0</v>
      </c>
      <c r="B12" s="3">
        <v>82.21</v>
      </c>
      <c r="C12" s="13">
        <f t="shared" si="1"/>
        <v>0.27487594492674705</v>
      </c>
      <c r="K12" s="13"/>
      <c r="L12" s="13"/>
    </row>
    <row r="13" spans="1:12" x14ac:dyDescent="0.25">
      <c r="A13">
        <v>0</v>
      </c>
      <c r="B13" s="3">
        <v>82.817999999999998</v>
      </c>
      <c r="C13" s="13">
        <f t="shared" si="1"/>
        <v>0.28070288121076314</v>
      </c>
      <c r="K13" s="13"/>
      <c r="L13" s="13"/>
    </row>
    <row r="14" spans="1:12" x14ac:dyDescent="0.25">
      <c r="A14">
        <v>0</v>
      </c>
      <c r="B14" s="3">
        <v>82.914000000000001</v>
      </c>
      <c r="C14" s="13">
        <f t="shared" si="1"/>
        <v>0.28162292378192366</v>
      </c>
      <c r="K14" s="13"/>
      <c r="L14" s="13"/>
    </row>
    <row r="15" spans="1:12" x14ac:dyDescent="0.25">
      <c r="A15">
        <v>0</v>
      </c>
      <c r="B15" s="3">
        <v>85.031999999999996</v>
      </c>
      <c r="C15" s="13">
        <f t="shared" si="1"/>
        <v>0.30192136300815087</v>
      </c>
      <c r="K15" s="13"/>
      <c r="L15" s="13"/>
    </row>
    <row r="16" spans="1:12" x14ac:dyDescent="0.25">
      <c r="A16">
        <v>1</v>
      </c>
      <c r="B16" s="3">
        <v>85.361000000000004</v>
      </c>
      <c r="C16" s="13">
        <f t="shared" si="1"/>
        <v>0.30507442556973208</v>
      </c>
      <c r="K16" s="13"/>
      <c r="L16" s="13"/>
    </row>
    <row r="17" spans="1:12" x14ac:dyDescent="0.25">
      <c r="A17">
        <v>0</v>
      </c>
      <c r="B17" s="3">
        <v>86.013000000000005</v>
      </c>
      <c r="C17" s="13">
        <f t="shared" si="1"/>
        <v>0.31132304803219679</v>
      </c>
      <c r="K17" s="13"/>
      <c r="L17" s="13"/>
    </row>
    <row r="18" spans="1:12" x14ac:dyDescent="0.25">
      <c r="A18">
        <v>0</v>
      </c>
      <c r="B18" s="3">
        <v>86.11</v>
      </c>
      <c r="C18" s="13">
        <f t="shared" si="1"/>
        <v>0.31225267438014004</v>
      </c>
      <c r="K18" s="13"/>
      <c r="L18" s="13"/>
    </row>
    <row r="19" spans="1:12" x14ac:dyDescent="0.25">
      <c r="A19">
        <v>0</v>
      </c>
      <c r="B19" s="3">
        <v>86.864000000000004</v>
      </c>
      <c r="C19" s="13">
        <f t="shared" si="1"/>
        <v>0.31947884207446275</v>
      </c>
      <c r="K19" s="13"/>
      <c r="L19" s="13"/>
    </row>
    <row r="20" spans="1:12" x14ac:dyDescent="0.25">
      <c r="A20">
        <v>0</v>
      </c>
      <c r="B20" s="3">
        <v>86.921999999999997</v>
      </c>
      <c r="C20" s="13">
        <f t="shared" si="1"/>
        <v>0.32003470112787213</v>
      </c>
      <c r="K20" s="13"/>
      <c r="L20" s="13"/>
    </row>
    <row r="21" spans="1:12" x14ac:dyDescent="0.25">
      <c r="A21">
        <v>0</v>
      </c>
      <c r="B21" s="3">
        <v>87.656000000000006</v>
      </c>
      <c r="C21" s="13">
        <f t="shared" si="1"/>
        <v>0.32706919328653639</v>
      </c>
      <c r="K21" s="13"/>
      <c r="L21" s="13"/>
    </row>
    <row r="22" spans="1:12" x14ac:dyDescent="0.25">
      <c r="A22">
        <v>0</v>
      </c>
      <c r="B22" s="3">
        <v>91.352999999999994</v>
      </c>
      <c r="C22" s="13">
        <f t="shared" si="1"/>
        <v>0.36250041605299632</v>
      </c>
      <c r="K22" s="13"/>
      <c r="L22" s="13"/>
    </row>
    <row r="23" spans="1:12" x14ac:dyDescent="0.25">
      <c r="A23">
        <v>0</v>
      </c>
      <c r="B23" s="3">
        <v>93.09</v>
      </c>
      <c r="C23" s="13">
        <f t="shared" si="1"/>
        <v>0.37914743632493064</v>
      </c>
      <c r="K23" s="13"/>
      <c r="L23" s="13"/>
    </row>
    <row r="24" spans="1:12" x14ac:dyDescent="0.25">
      <c r="A24">
        <v>0</v>
      </c>
      <c r="B24" s="3">
        <v>93.83</v>
      </c>
      <c r="C24" s="13">
        <f t="shared" si="1"/>
        <v>0.38623943114429238</v>
      </c>
      <c r="K24" s="13"/>
      <c r="L24" s="13"/>
    </row>
    <row r="25" spans="1:12" x14ac:dyDescent="0.25">
      <c r="A25">
        <v>1</v>
      </c>
      <c r="B25" s="3">
        <v>95.087000000000003</v>
      </c>
      <c r="C25" s="13">
        <f t="shared" si="1"/>
        <v>0.39828623856042444</v>
      </c>
      <c r="K25" s="13"/>
      <c r="L25" s="13"/>
    </row>
    <row r="26" spans="1:12" x14ac:dyDescent="0.25">
      <c r="A26">
        <v>1</v>
      </c>
      <c r="B26" s="3">
        <v>98.216999999999999</v>
      </c>
      <c r="C26" s="13">
        <f t="shared" si="1"/>
        <v>0.42828345989096805</v>
      </c>
      <c r="K26" s="13"/>
      <c r="L26" s="13"/>
    </row>
    <row r="27" spans="1:12" x14ac:dyDescent="0.25">
      <c r="A27">
        <v>0</v>
      </c>
      <c r="B27" s="3">
        <v>98.811999999999998</v>
      </c>
      <c r="C27" s="13">
        <f t="shared" si="1"/>
        <v>0.43398580707680623</v>
      </c>
      <c r="K27" s="13"/>
      <c r="L27" s="13"/>
    </row>
    <row r="28" spans="1:12" x14ac:dyDescent="0.25">
      <c r="A28">
        <v>0</v>
      </c>
      <c r="B28" s="3">
        <v>99.677999999999997</v>
      </c>
      <c r="C28" s="13">
        <f t="shared" si="1"/>
        <v>0.44228535777081601</v>
      </c>
      <c r="K28" s="13"/>
      <c r="L28" s="13"/>
    </row>
    <row r="29" spans="1:12" x14ac:dyDescent="0.25">
      <c r="A29">
        <v>1</v>
      </c>
      <c r="B29" s="3">
        <v>101.788</v>
      </c>
      <c r="C29" s="13">
        <f t="shared" si="1"/>
        <v>0.46250712678277994</v>
      </c>
      <c r="K29" s="13"/>
      <c r="L29" s="13"/>
    </row>
    <row r="30" spans="1:12" x14ac:dyDescent="0.25">
      <c r="A30">
        <v>0</v>
      </c>
      <c r="B30" s="3">
        <v>105.401</v>
      </c>
      <c r="C30" s="13">
        <f t="shared" si="1"/>
        <v>0.49713331229947466</v>
      </c>
      <c r="K30" s="13"/>
      <c r="L30" s="13"/>
    </row>
    <row r="31" spans="1:12" x14ac:dyDescent="0.25">
      <c r="A31">
        <v>1</v>
      </c>
      <c r="B31" s="3">
        <v>106.25</v>
      </c>
      <c r="C31" s="13">
        <f t="shared" si="1"/>
        <v>0.50526993878817483</v>
      </c>
      <c r="K31" s="13"/>
      <c r="L31" s="13"/>
    </row>
    <row r="32" spans="1:12" x14ac:dyDescent="0.25">
      <c r="A32">
        <v>0</v>
      </c>
      <c r="B32" s="3">
        <v>106.304</v>
      </c>
      <c r="C32" s="13">
        <f t="shared" si="1"/>
        <v>0.50578746273445263</v>
      </c>
      <c r="K32" s="13"/>
      <c r="L32" s="13"/>
    </row>
    <row r="33" spans="1:12" x14ac:dyDescent="0.25">
      <c r="A33">
        <v>0</v>
      </c>
      <c r="B33" s="3">
        <v>107.13500000000001</v>
      </c>
      <c r="C33" s="13">
        <f t="shared" si="1"/>
        <v>0.51375158124106013</v>
      </c>
      <c r="K33" s="13"/>
      <c r="L33" s="13"/>
    </row>
    <row r="34" spans="1:12" x14ac:dyDescent="0.25">
      <c r="A34">
        <v>1</v>
      </c>
      <c r="B34" s="3">
        <v>108.887</v>
      </c>
      <c r="C34" s="13">
        <f t="shared" si="1"/>
        <v>0.53054235816473827</v>
      </c>
      <c r="K34" s="13"/>
      <c r="L34" s="13"/>
    </row>
    <row r="35" spans="1:12" x14ac:dyDescent="0.25">
      <c r="A35">
        <v>1</v>
      </c>
      <c r="B35" s="3">
        <v>109.55200000000001</v>
      </c>
      <c r="C35" s="13">
        <f t="shared" si="1"/>
        <v>0.53691556972538101</v>
      </c>
      <c r="K35" s="13"/>
      <c r="L35" s="13"/>
    </row>
    <row r="36" spans="1:12" x14ac:dyDescent="0.25">
      <c r="A36">
        <v>1</v>
      </c>
      <c r="B36" s="3">
        <v>117.836</v>
      </c>
      <c r="C36" s="13">
        <f t="shared" si="1"/>
        <v>0.61630757659510083</v>
      </c>
      <c r="K36" s="13"/>
      <c r="L36" s="13"/>
    </row>
    <row r="37" spans="1:12" x14ac:dyDescent="0.25">
      <c r="A37">
        <v>1</v>
      </c>
      <c r="B37" s="3">
        <v>120.087</v>
      </c>
      <c r="C37" s="13">
        <f t="shared" si="1"/>
        <v>0.63788065813345673</v>
      </c>
      <c r="K37" s="13"/>
      <c r="L37" s="13"/>
    </row>
    <row r="38" spans="1:12" x14ac:dyDescent="0.25">
      <c r="A38">
        <v>1</v>
      </c>
      <c r="B38" s="3">
        <v>120.134</v>
      </c>
      <c r="C38" s="13">
        <f t="shared" si="1"/>
        <v>0.63833109564225399</v>
      </c>
      <c r="K38" s="13"/>
      <c r="L38" s="13"/>
    </row>
    <row r="39" spans="1:12" x14ac:dyDescent="0.25">
      <c r="A39">
        <v>0</v>
      </c>
      <c r="B39" s="3">
        <v>129.46199999999999</v>
      </c>
      <c r="C39" s="13">
        <f t="shared" si="1"/>
        <v>0.72772856547334352</v>
      </c>
      <c r="K39" s="13"/>
      <c r="L39" s="13"/>
    </row>
    <row r="40" spans="1:12" x14ac:dyDescent="0.25">
      <c r="A40">
        <v>1</v>
      </c>
      <c r="B40" s="3">
        <v>133.96299999999999</v>
      </c>
      <c r="C40" s="13">
        <f t="shared" si="1"/>
        <v>0.77086514477327228</v>
      </c>
      <c r="K40" s="13"/>
      <c r="L40" s="13"/>
    </row>
    <row r="41" spans="1:12" x14ac:dyDescent="0.25">
      <c r="A41">
        <v>1</v>
      </c>
      <c r="B41" s="3">
        <v>136.386</v>
      </c>
      <c r="C41" s="13">
        <f t="shared" si="1"/>
        <v>0.79408663591829065</v>
      </c>
      <c r="K41" s="13"/>
      <c r="L41" s="13"/>
    </row>
    <row r="42" spans="1:12" x14ac:dyDescent="0.25">
      <c r="A42">
        <v>1</v>
      </c>
      <c r="B42" s="3">
        <v>138.012</v>
      </c>
      <c r="C42" s="13">
        <f t="shared" si="1"/>
        <v>0.80966985696732074</v>
      </c>
      <c r="K42" s="13"/>
      <c r="L42" s="13"/>
    </row>
    <row r="43" spans="1:12" x14ac:dyDescent="0.25">
      <c r="A43">
        <v>1</v>
      </c>
      <c r="B43" s="3">
        <v>145.22800000000001</v>
      </c>
      <c r="C43" s="13">
        <f t="shared" si="1"/>
        <v>0.87882639023288067</v>
      </c>
      <c r="K43" s="13"/>
      <c r="L43" s="13"/>
    </row>
    <row r="44" spans="1:12" x14ac:dyDescent="0.25">
      <c r="A44">
        <v>1</v>
      </c>
      <c r="B44" s="3">
        <f>B43+5</f>
        <v>150.22800000000001</v>
      </c>
      <c r="C44" s="13">
        <f t="shared" si="1"/>
        <v>0.9267452741474872</v>
      </c>
    </row>
    <row r="45" spans="1:12" x14ac:dyDescent="0.25">
      <c r="A45">
        <v>1</v>
      </c>
      <c r="B45" s="3">
        <f>B44+5</f>
        <v>155.22800000000001</v>
      </c>
      <c r="C45" s="13">
        <f t="shared" si="1"/>
        <v>0.9746641580620935</v>
      </c>
    </row>
    <row r="46" spans="1:12" x14ac:dyDescent="0.25">
      <c r="A46">
        <v>1</v>
      </c>
      <c r="B46" s="3">
        <f>B45+5</f>
        <v>160.22800000000001</v>
      </c>
      <c r="C46" s="13">
        <f t="shared" si="1"/>
        <v>1.0225830419766999</v>
      </c>
    </row>
    <row r="47" spans="1:12" x14ac:dyDescent="0.25">
      <c r="A47">
        <v>1</v>
      </c>
      <c r="B47" s="3">
        <f>B46+5</f>
        <v>165.22800000000001</v>
      </c>
      <c r="C47" s="13">
        <f t="shared" si="1"/>
        <v>1.0705019258913064</v>
      </c>
    </row>
    <row r="48" spans="1:12" x14ac:dyDescent="0.25">
      <c r="A48">
        <v>1</v>
      </c>
      <c r="B48" s="3">
        <f>B47+5</f>
        <v>170.22800000000001</v>
      </c>
      <c r="C48" s="13">
        <f t="shared" si="1"/>
        <v>1.118420809805913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01"/>
  <sheetViews>
    <sheetView workbookViewId="0">
      <selection activeCell="J14" sqref="J14"/>
    </sheetView>
  </sheetViews>
  <sheetFormatPr defaultRowHeight="15" x14ac:dyDescent="0.25"/>
  <cols>
    <col min="2" max="2" width="9.140625" style="13"/>
    <col min="4" max="4" width="13.140625" style="13" bestFit="1" customWidth="1"/>
    <col min="5" max="5" width="7.85546875" style="13" customWidth="1"/>
    <col min="6" max="6" width="10.7109375" customWidth="1"/>
    <col min="8" max="8" width="13.140625" bestFit="1" customWidth="1"/>
    <col min="9" max="9" width="12" bestFit="1" customWidth="1"/>
    <col min="13" max="13" width="13.140625" bestFit="1" customWidth="1"/>
    <col min="14" max="14" width="7.85546875" customWidth="1"/>
    <col min="15" max="15" width="13.140625" customWidth="1"/>
    <col min="16" max="16" width="13.140625" bestFit="1" customWidth="1"/>
  </cols>
  <sheetData>
    <row r="1" spans="1:8" x14ac:dyDescent="0.25">
      <c r="A1" t="s">
        <v>1</v>
      </c>
      <c r="B1" s="13" t="s">
        <v>0</v>
      </c>
    </row>
    <row r="2" spans="1:8" x14ac:dyDescent="0.25">
      <c r="A2">
        <v>0</v>
      </c>
      <c r="B2" s="13">
        <v>6.6487113787926404</v>
      </c>
    </row>
    <row r="3" spans="1:8" x14ac:dyDescent="0.25">
      <c r="A3">
        <v>0</v>
      </c>
      <c r="B3" s="13">
        <v>2.4862409145625959</v>
      </c>
    </row>
    <row r="4" spans="1:8" x14ac:dyDescent="0.25">
      <c r="A4">
        <v>0</v>
      </c>
      <c r="B4" s="13">
        <v>4.0171454199108778</v>
      </c>
    </row>
    <row r="5" spans="1:8" x14ac:dyDescent="0.25">
      <c r="A5">
        <v>1</v>
      </c>
      <c r="B5" s="13">
        <v>4.7725031281261003</v>
      </c>
    </row>
    <row r="6" spans="1:8" x14ac:dyDescent="0.25">
      <c r="A6">
        <v>1</v>
      </c>
      <c r="B6" s="13">
        <v>2.1136279081834601</v>
      </c>
    </row>
    <row r="7" spans="1:8" x14ac:dyDescent="0.25">
      <c r="A7">
        <v>1</v>
      </c>
      <c r="B7" s="13">
        <v>2.029536899363372</v>
      </c>
    </row>
    <row r="8" spans="1:8" x14ac:dyDescent="0.25">
      <c r="A8">
        <v>1</v>
      </c>
      <c r="B8" s="13">
        <v>4.5901297274320996</v>
      </c>
    </row>
    <row r="9" spans="1:8" x14ac:dyDescent="0.25">
      <c r="A9">
        <v>1</v>
      </c>
      <c r="B9" s="13">
        <v>2.0783314415930998</v>
      </c>
    </row>
    <row r="10" spans="1:8" x14ac:dyDescent="0.25">
      <c r="A10">
        <v>1</v>
      </c>
      <c r="B10" s="13">
        <v>2.9613554063021899</v>
      </c>
    </row>
    <row r="11" spans="1:8" x14ac:dyDescent="0.25">
      <c r="A11">
        <v>1</v>
      </c>
      <c r="B11" s="13">
        <v>7.7107297548954703</v>
      </c>
    </row>
    <row r="12" spans="1:8" x14ac:dyDescent="0.25">
      <c r="A12">
        <v>2</v>
      </c>
      <c r="B12" s="13">
        <v>5.0636128314929003</v>
      </c>
    </row>
    <row r="13" spans="1:8" ht="15.75" thickBot="1" x14ac:dyDescent="0.3">
      <c r="A13">
        <v>2</v>
      </c>
      <c r="B13" s="13">
        <v>7.5400211348607229</v>
      </c>
    </row>
    <row r="14" spans="1:8" x14ac:dyDescent="0.25">
      <c r="A14">
        <v>2</v>
      </c>
      <c r="B14" s="13">
        <v>3.0642304210198925</v>
      </c>
      <c r="D14" s="19" t="s">
        <v>21</v>
      </c>
      <c r="E14" s="24" t="s">
        <v>19</v>
      </c>
      <c r="F14" s="25" t="s">
        <v>20</v>
      </c>
    </row>
    <row r="15" spans="1:8" x14ac:dyDescent="0.25">
      <c r="A15">
        <v>2</v>
      </c>
      <c r="B15" s="13">
        <v>8.2086927702195922</v>
      </c>
      <c r="D15" s="26">
        <v>0</v>
      </c>
      <c r="E15" s="27">
        <v>4.4324947276714006</v>
      </c>
      <c r="F15" s="28">
        <f>MAX(B2:B4)-MIN(B2:B4)</f>
        <v>4.1624704642300445</v>
      </c>
      <c r="H15" s="13"/>
    </row>
    <row r="16" spans="1:8" x14ac:dyDescent="0.25">
      <c r="A16">
        <v>2</v>
      </c>
      <c r="B16" s="13">
        <v>7.931140985549658</v>
      </c>
      <c r="D16" s="26">
        <v>1</v>
      </c>
      <c r="E16" s="27">
        <v>4.4615866398002835</v>
      </c>
      <c r="F16" s="28">
        <f>MAX(B5:B11)-MIN(B5:B11)</f>
        <v>5.6811928555320979</v>
      </c>
      <c r="H16" s="13"/>
    </row>
    <row r="17" spans="1:8" x14ac:dyDescent="0.25">
      <c r="A17">
        <v>2</v>
      </c>
      <c r="B17" s="13">
        <v>7.0133031825335861</v>
      </c>
      <c r="D17" s="26">
        <v>2</v>
      </c>
      <c r="E17" s="27">
        <v>4.4488679541161904</v>
      </c>
      <c r="F17" s="28">
        <f>MAX(B12:B22)-MIN(B12:B22)</f>
        <v>5.4478633786453221</v>
      </c>
      <c r="H17" s="13"/>
    </row>
    <row r="18" spans="1:8" x14ac:dyDescent="0.25">
      <c r="A18">
        <v>2</v>
      </c>
      <c r="B18" s="13">
        <v>2.9328555741620628</v>
      </c>
      <c r="D18" s="26">
        <v>3</v>
      </c>
      <c r="E18" s="27">
        <v>4.4362210375972362</v>
      </c>
      <c r="F18" s="28">
        <f>MAX(B23:B36)-MIN(B23:B36)</f>
        <v>6.2249984737897925</v>
      </c>
    </row>
    <row r="19" spans="1:8" x14ac:dyDescent="0.25">
      <c r="A19">
        <v>2</v>
      </c>
      <c r="B19" s="13">
        <v>4.4697570227301249</v>
      </c>
      <c r="D19" s="26">
        <v>4</v>
      </c>
      <c r="E19" s="27">
        <v>4.3784471488890846</v>
      </c>
      <c r="F19" s="28">
        <f>MAX(B37:B51)-MIN(B37:B51)</f>
        <v>6.3570623687987418</v>
      </c>
    </row>
    <row r="20" spans="1:8" x14ac:dyDescent="0.25">
      <c r="A20">
        <v>2</v>
      </c>
      <c r="B20" s="13">
        <v>4.5596969290445024</v>
      </c>
      <c r="D20" s="26">
        <v>5</v>
      </c>
      <c r="E20" s="27">
        <v>4.4222147528863944</v>
      </c>
      <c r="F20" s="28">
        <f>MAX(B52:B66)-MIN(B52:B66)</f>
        <v>6.2244021390100475</v>
      </c>
    </row>
    <row r="21" spans="1:8" x14ac:dyDescent="0.25">
      <c r="A21">
        <v>2</v>
      </c>
      <c r="B21" s="13">
        <v>8.3807189528073849</v>
      </c>
      <c r="D21" s="26">
        <v>6</v>
      </c>
      <c r="E21" s="27">
        <v>4.3887317839357118</v>
      </c>
      <c r="F21" s="28">
        <f>MAX(B67:B80)-MIN(B67:B80)</f>
        <v>6.769815501932297</v>
      </c>
    </row>
    <row r="22" spans="1:8" x14ac:dyDescent="0.25">
      <c r="A22">
        <v>2</v>
      </c>
      <c r="B22" s="13">
        <v>3.9359562680537419</v>
      </c>
      <c r="D22" s="26">
        <v>7</v>
      </c>
      <c r="E22" s="27">
        <v>4.4026132591056015</v>
      </c>
      <c r="F22" s="28">
        <f>MAX(B81:B91)-MIN(B81:B91)</f>
        <v>6.2113995757448972</v>
      </c>
    </row>
    <row r="23" spans="1:8" x14ac:dyDescent="0.25">
      <c r="A23">
        <v>3</v>
      </c>
      <c r="B23" s="13">
        <v>4.4206044543637626</v>
      </c>
      <c r="D23" s="26">
        <v>8</v>
      </c>
      <c r="E23" s="27">
        <v>4.3146523939154049</v>
      </c>
      <c r="F23" s="28">
        <f>MAX(B92:B98)-MIN(B92:B98)</f>
        <v>5.6993396151665365</v>
      </c>
    </row>
    <row r="24" spans="1:8" ht="15.75" thickBot="1" x14ac:dyDescent="0.3">
      <c r="A24">
        <v>3</v>
      </c>
      <c r="B24" s="13">
        <v>9.2460333821961544</v>
      </c>
      <c r="D24" s="29">
        <v>9</v>
      </c>
      <c r="E24" s="30">
        <v>4.3976868147426273</v>
      </c>
      <c r="F24" s="15">
        <f>MAX(B99:B101)-MIN(B99:B101)</f>
        <v>4.0919823020710897</v>
      </c>
    </row>
    <row r="25" spans="1:8" x14ac:dyDescent="0.25">
      <c r="A25">
        <v>3</v>
      </c>
      <c r="B25" s="13">
        <v>4.8662769959961656</v>
      </c>
      <c r="D25"/>
      <c r="E25"/>
    </row>
    <row r="26" spans="1:8" x14ac:dyDescent="0.25">
      <c r="A26">
        <v>3</v>
      </c>
      <c r="B26" s="13">
        <v>9.380493154538371</v>
      </c>
    </row>
    <row r="27" spans="1:8" x14ac:dyDescent="0.25">
      <c r="A27">
        <v>3</v>
      </c>
      <c r="B27" s="13">
        <v>6.8397240163401181</v>
      </c>
    </row>
    <row r="28" spans="1:8" x14ac:dyDescent="0.25">
      <c r="A28">
        <v>3</v>
      </c>
      <c r="B28" s="13">
        <v>9.1097360919658446</v>
      </c>
    </row>
    <row r="29" spans="1:8" x14ac:dyDescent="0.25">
      <c r="A29">
        <v>3</v>
      </c>
      <c r="B29" s="13">
        <v>7.2530568090751268</v>
      </c>
    </row>
    <row r="30" spans="1:8" x14ac:dyDescent="0.25">
      <c r="A30">
        <v>3</v>
      </c>
      <c r="B30" s="13">
        <v>5.3091477049947349</v>
      </c>
    </row>
    <row r="31" spans="1:8" x14ac:dyDescent="0.25">
      <c r="A31">
        <v>3</v>
      </c>
      <c r="B31" s="13">
        <v>3.1554946807485784</v>
      </c>
    </row>
    <row r="32" spans="1:8" x14ac:dyDescent="0.25">
      <c r="A32">
        <v>3</v>
      </c>
      <c r="B32" s="13">
        <v>4.8653194916046125</v>
      </c>
    </row>
    <row r="33" spans="1:2" x14ac:dyDescent="0.25">
      <c r="A33">
        <v>3</v>
      </c>
      <c r="B33" s="13">
        <v>7.8269381108981673</v>
      </c>
    </row>
    <row r="34" spans="1:2" x14ac:dyDescent="0.25">
      <c r="A34">
        <v>3</v>
      </c>
      <c r="B34" s="13">
        <v>5.8518609193076587</v>
      </c>
    </row>
    <row r="35" spans="1:2" x14ac:dyDescent="0.25">
      <c r="A35">
        <v>3</v>
      </c>
      <c r="B35" s="13">
        <v>4.3930716898999087</v>
      </c>
    </row>
    <row r="36" spans="1:2" x14ac:dyDescent="0.25">
      <c r="A36">
        <v>3</v>
      </c>
      <c r="B36" s="13">
        <v>3.8584362449610907</v>
      </c>
    </row>
    <row r="37" spans="1:2" x14ac:dyDescent="0.25">
      <c r="A37">
        <v>4</v>
      </c>
      <c r="B37" s="13">
        <v>10.092214861773265</v>
      </c>
    </row>
    <row r="38" spans="1:2" x14ac:dyDescent="0.25">
      <c r="A38">
        <v>4</v>
      </c>
      <c r="B38" s="13">
        <v>7.1247635736746062</v>
      </c>
    </row>
    <row r="39" spans="1:2" x14ac:dyDescent="0.25">
      <c r="A39">
        <v>4</v>
      </c>
      <c r="B39" s="13">
        <v>8.5882378685600962</v>
      </c>
    </row>
    <row r="40" spans="1:2" x14ac:dyDescent="0.25">
      <c r="A40">
        <v>4</v>
      </c>
      <c r="B40" s="13">
        <v>10.081721142634269</v>
      </c>
    </row>
    <row r="41" spans="1:2" x14ac:dyDescent="0.25">
      <c r="A41">
        <v>4</v>
      </c>
      <c r="B41" s="13">
        <v>6.9325930615077622</v>
      </c>
    </row>
    <row r="42" spans="1:2" x14ac:dyDescent="0.25">
      <c r="A42">
        <v>4</v>
      </c>
      <c r="B42" s="13">
        <v>5.0739370567840396</v>
      </c>
    </row>
    <row r="43" spans="1:2" x14ac:dyDescent="0.25">
      <c r="A43">
        <v>4</v>
      </c>
      <c r="B43" s="13">
        <v>4.2411891268471411</v>
      </c>
    </row>
    <row r="44" spans="1:2" x14ac:dyDescent="0.25">
      <c r="A44">
        <v>4</v>
      </c>
      <c r="B44" s="13">
        <v>8.3384492616302239</v>
      </c>
    </row>
    <row r="45" spans="1:2" x14ac:dyDescent="0.25">
      <c r="A45">
        <v>4</v>
      </c>
      <c r="B45" s="13">
        <v>8.5374468979430276</v>
      </c>
    </row>
    <row r="46" spans="1:2" x14ac:dyDescent="0.25">
      <c r="A46">
        <v>4</v>
      </c>
      <c r="B46" s="13">
        <v>9.2412543682299564</v>
      </c>
    </row>
    <row r="47" spans="1:2" x14ac:dyDescent="0.25">
      <c r="A47">
        <v>4</v>
      </c>
      <c r="B47" s="13">
        <v>5.5443848772152569</v>
      </c>
    </row>
    <row r="48" spans="1:2" x14ac:dyDescent="0.25">
      <c r="A48">
        <v>4</v>
      </c>
      <c r="B48" s="13">
        <v>10.598251495645883</v>
      </c>
    </row>
    <row r="49" spans="1:2" x14ac:dyDescent="0.25">
      <c r="A49">
        <v>4</v>
      </c>
      <c r="B49" s="13">
        <v>6.8203143593989211</v>
      </c>
    </row>
    <row r="50" spans="1:2" x14ac:dyDescent="0.25">
      <c r="A50">
        <v>4</v>
      </c>
      <c r="B50" s="13">
        <v>4.8665000302405401</v>
      </c>
    </row>
    <row r="51" spans="1:2" x14ac:dyDescent="0.25">
      <c r="A51">
        <v>4</v>
      </c>
      <c r="B51" s="13">
        <v>5.4528551386922093</v>
      </c>
    </row>
    <row r="52" spans="1:2" x14ac:dyDescent="0.25">
      <c r="A52">
        <v>5</v>
      </c>
      <c r="B52" s="13">
        <v>5.3370021470665172</v>
      </c>
    </row>
    <row r="53" spans="1:2" x14ac:dyDescent="0.25">
      <c r="A53">
        <v>5</v>
      </c>
      <c r="B53" s="13">
        <v>6.1532110065320795</v>
      </c>
    </row>
    <row r="54" spans="1:2" x14ac:dyDescent="0.25">
      <c r="A54">
        <v>5</v>
      </c>
      <c r="B54" s="13">
        <v>7.6858233716968991</v>
      </c>
    </row>
    <row r="55" spans="1:2" x14ac:dyDescent="0.25">
      <c r="A55">
        <v>5</v>
      </c>
      <c r="B55" s="13">
        <v>5.9135519805435308</v>
      </c>
    </row>
    <row r="56" spans="1:2" x14ac:dyDescent="0.25">
      <c r="A56">
        <v>5</v>
      </c>
      <c r="B56" s="13">
        <v>10.792764647540576</v>
      </c>
    </row>
    <row r="57" spans="1:2" x14ac:dyDescent="0.25">
      <c r="A57">
        <v>5</v>
      </c>
      <c r="B57" s="13">
        <v>5.8218545664637125</v>
      </c>
    </row>
    <row r="58" spans="1:2" x14ac:dyDescent="0.25">
      <c r="A58">
        <v>5</v>
      </c>
      <c r="B58" s="13">
        <v>7.8729366284964719</v>
      </c>
    </row>
    <row r="59" spans="1:2" x14ac:dyDescent="0.25">
      <c r="A59">
        <v>5</v>
      </c>
      <c r="B59" s="13">
        <v>8.0039848952669619</v>
      </c>
    </row>
    <row r="60" spans="1:2" x14ac:dyDescent="0.25">
      <c r="A60">
        <v>5</v>
      </c>
      <c r="B60" s="13">
        <v>11.561404286076565</v>
      </c>
    </row>
    <row r="61" spans="1:2" x14ac:dyDescent="0.25">
      <c r="A61">
        <v>5</v>
      </c>
      <c r="B61" s="13">
        <v>10.469682517163619</v>
      </c>
    </row>
    <row r="62" spans="1:2" x14ac:dyDescent="0.25">
      <c r="A62">
        <v>5</v>
      </c>
      <c r="B62" s="13">
        <v>9.02844139351145</v>
      </c>
    </row>
    <row r="63" spans="1:2" x14ac:dyDescent="0.25">
      <c r="A63">
        <v>5</v>
      </c>
      <c r="B63" s="13">
        <v>8.7537079419708377</v>
      </c>
    </row>
    <row r="64" spans="1:2" x14ac:dyDescent="0.25">
      <c r="A64">
        <v>5</v>
      </c>
      <c r="B64" s="13">
        <v>8.1970118932160325</v>
      </c>
    </row>
    <row r="65" spans="1:2" x14ac:dyDescent="0.25">
      <c r="A65">
        <v>5</v>
      </c>
      <c r="B65" s="13">
        <v>11.233064389631387</v>
      </c>
    </row>
    <row r="66" spans="1:2" x14ac:dyDescent="0.25">
      <c r="A66">
        <v>5</v>
      </c>
      <c r="B66" s="13">
        <v>10.695696767366298</v>
      </c>
    </row>
    <row r="67" spans="1:2" x14ac:dyDescent="0.25">
      <c r="A67">
        <v>6</v>
      </c>
      <c r="B67" s="13">
        <v>8.2577742784958659</v>
      </c>
    </row>
    <row r="68" spans="1:2" x14ac:dyDescent="0.25">
      <c r="A68">
        <v>6</v>
      </c>
      <c r="B68" s="13">
        <v>9.5673956309962858</v>
      </c>
    </row>
    <row r="69" spans="1:2" x14ac:dyDescent="0.25">
      <c r="A69">
        <v>6</v>
      </c>
      <c r="B69" s="13">
        <v>12.556009711258499</v>
      </c>
    </row>
    <row r="70" spans="1:2" x14ac:dyDescent="0.25">
      <c r="A70">
        <v>6</v>
      </c>
      <c r="B70" s="13">
        <v>9.0975628094590277</v>
      </c>
    </row>
    <row r="71" spans="1:2" x14ac:dyDescent="0.25">
      <c r="A71">
        <v>6</v>
      </c>
      <c r="B71" s="13">
        <v>10.931244606699751</v>
      </c>
    </row>
    <row r="72" spans="1:2" x14ac:dyDescent="0.25">
      <c r="A72">
        <v>6</v>
      </c>
      <c r="B72" s="13">
        <v>9.3134189066165938</v>
      </c>
    </row>
    <row r="73" spans="1:2" x14ac:dyDescent="0.25">
      <c r="A73">
        <v>6</v>
      </c>
      <c r="B73" s="13">
        <v>9.1223043579087779</v>
      </c>
    </row>
    <row r="74" spans="1:2" x14ac:dyDescent="0.25">
      <c r="A74">
        <v>6</v>
      </c>
      <c r="B74" s="13">
        <v>11.652623805074086</v>
      </c>
    </row>
    <row r="75" spans="1:2" x14ac:dyDescent="0.25">
      <c r="A75">
        <v>6</v>
      </c>
      <c r="B75" s="13">
        <v>11.582089068625692</v>
      </c>
    </row>
    <row r="76" spans="1:2" x14ac:dyDescent="0.25">
      <c r="A76">
        <v>6</v>
      </c>
      <c r="B76" s="13">
        <v>9.0758324649979176</v>
      </c>
    </row>
    <row r="77" spans="1:2" x14ac:dyDescent="0.25">
      <c r="A77">
        <v>6</v>
      </c>
      <c r="B77" s="13">
        <v>12.947119897792771</v>
      </c>
    </row>
    <row r="78" spans="1:2" x14ac:dyDescent="0.25">
      <c r="A78">
        <v>6</v>
      </c>
      <c r="B78" s="13">
        <v>11.411300984749182</v>
      </c>
    </row>
    <row r="79" spans="1:2" x14ac:dyDescent="0.25">
      <c r="A79">
        <v>6</v>
      </c>
      <c r="B79" s="13">
        <v>6.1773043958604736</v>
      </c>
    </row>
    <row r="80" spans="1:2" x14ac:dyDescent="0.25">
      <c r="A80">
        <v>6</v>
      </c>
      <c r="B80" s="13">
        <v>6.3575173158816787</v>
      </c>
    </row>
    <row r="81" spans="1:2" x14ac:dyDescent="0.25">
      <c r="A81">
        <v>7</v>
      </c>
      <c r="B81" s="13">
        <v>11.516197421409714</v>
      </c>
    </row>
    <row r="82" spans="1:2" x14ac:dyDescent="0.25">
      <c r="A82">
        <v>7</v>
      </c>
      <c r="B82" s="13">
        <v>13.63756934641733</v>
      </c>
    </row>
    <row r="83" spans="1:2" x14ac:dyDescent="0.25">
      <c r="A83">
        <v>7</v>
      </c>
      <c r="B83" s="13">
        <v>13.534962616792342</v>
      </c>
    </row>
    <row r="84" spans="1:2" x14ac:dyDescent="0.25">
      <c r="A84">
        <v>7</v>
      </c>
      <c r="B84" s="13">
        <v>8.8266856423944322</v>
      </c>
    </row>
    <row r="85" spans="1:2" x14ac:dyDescent="0.25">
      <c r="A85">
        <v>7</v>
      </c>
      <c r="B85" s="13">
        <v>10.739494948100331</v>
      </c>
    </row>
    <row r="86" spans="1:2" x14ac:dyDescent="0.25">
      <c r="A86">
        <v>7</v>
      </c>
      <c r="B86" s="13">
        <v>11.476915476398986</v>
      </c>
    </row>
    <row r="87" spans="1:2" x14ac:dyDescent="0.25">
      <c r="A87">
        <v>7</v>
      </c>
      <c r="B87" s="13">
        <v>7.4261697706724323</v>
      </c>
    </row>
    <row r="88" spans="1:2" x14ac:dyDescent="0.25">
      <c r="A88">
        <v>7</v>
      </c>
      <c r="B88" s="13">
        <v>11.10566357638271</v>
      </c>
    </row>
    <row r="89" spans="1:2" x14ac:dyDescent="0.25">
      <c r="A89">
        <v>7</v>
      </c>
      <c r="B89" s="13">
        <v>8.0628443398550971</v>
      </c>
    </row>
    <row r="90" spans="1:2" x14ac:dyDescent="0.25">
      <c r="A90">
        <v>7</v>
      </c>
      <c r="B90" s="13">
        <v>8.6084177738777612</v>
      </c>
    </row>
    <row r="91" spans="1:2" x14ac:dyDescent="0.25">
      <c r="A91">
        <v>7</v>
      </c>
      <c r="B91" s="13">
        <v>11.427924352763831</v>
      </c>
    </row>
    <row r="92" spans="1:2" x14ac:dyDescent="0.25">
      <c r="A92">
        <v>8</v>
      </c>
      <c r="B92" s="13">
        <v>14.345054027629967</v>
      </c>
    </row>
    <row r="93" spans="1:2" x14ac:dyDescent="0.25">
      <c r="A93">
        <v>8</v>
      </c>
      <c r="B93" s="13">
        <v>8.7223660188219352</v>
      </c>
    </row>
    <row r="94" spans="1:2" x14ac:dyDescent="0.25">
      <c r="A94">
        <v>8</v>
      </c>
      <c r="B94" s="13">
        <v>14.272390354486941</v>
      </c>
    </row>
    <row r="95" spans="1:2" x14ac:dyDescent="0.25">
      <c r="A95">
        <v>8</v>
      </c>
      <c r="B95" s="13">
        <v>13.87784577888935</v>
      </c>
    </row>
    <row r="96" spans="1:2" x14ac:dyDescent="0.25">
      <c r="A96">
        <v>8</v>
      </c>
      <c r="B96" s="13">
        <v>14.421705633988472</v>
      </c>
    </row>
    <row r="97" spans="1:2" x14ac:dyDescent="0.25">
      <c r="A97">
        <v>8</v>
      </c>
      <c r="B97" s="13">
        <v>11.924257278914681</v>
      </c>
    </row>
    <row r="98" spans="1:2" x14ac:dyDescent="0.25">
      <c r="A98">
        <v>8</v>
      </c>
      <c r="B98" s="13">
        <v>12.393433258759778</v>
      </c>
    </row>
    <row r="99" spans="1:2" x14ac:dyDescent="0.25">
      <c r="A99">
        <v>9</v>
      </c>
      <c r="B99" s="13">
        <v>10.65069055049443</v>
      </c>
    </row>
    <row r="100" spans="1:2" x14ac:dyDescent="0.25">
      <c r="A100">
        <v>9</v>
      </c>
      <c r="B100" s="13">
        <v>14.742672852565519</v>
      </c>
    </row>
    <row r="101" spans="1:2" x14ac:dyDescent="0.25">
      <c r="A101">
        <v>9</v>
      </c>
      <c r="B101" s="13">
        <v>11.899925105146393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0"/>
  <sheetViews>
    <sheetView zoomScaleNormal="100" workbookViewId="0">
      <selection activeCell="D22" sqref="D22"/>
    </sheetView>
  </sheetViews>
  <sheetFormatPr defaultRowHeight="15" x14ac:dyDescent="0.25"/>
  <cols>
    <col min="1" max="1" width="10.28515625" bestFit="1" customWidth="1"/>
    <col min="3" max="3" width="1.85546875" customWidth="1"/>
    <col min="4" max="4" width="28.5703125" customWidth="1"/>
    <col min="5" max="5" width="10.140625" customWidth="1"/>
  </cols>
  <sheetData>
    <row r="1" spans="1:6" ht="15.75" thickBot="1" x14ac:dyDescent="0.3">
      <c r="A1" s="35" t="s">
        <v>51</v>
      </c>
      <c r="B1" s="36" t="s">
        <v>52</v>
      </c>
      <c r="D1" t="s">
        <v>53</v>
      </c>
    </row>
    <row r="2" spans="1:6" ht="15.75" thickBot="1" x14ac:dyDescent="0.3">
      <c r="A2" s="21">
        <v>125</v>
      </c>
      <c r="B2" s="4">
        <v>95</v>
      </c>
    </row>
    <row r="3" spans="1:6" x14ac:dyDescent="0.25">
      <c r="A3" s="21">
        <v>94</v>
      </c>
      <c r="B3" s="4">
        <v>116</v>
      </c>
      <c r="D3" s="33"/>
      <c r="E3" s="33" t="s">
        <v>51</v>
      </c>
      <c r="F3" s="33" t="s">
        <v>52</v>
      </c>
    </row>
    <row r="4" spans="1:6" x14ac:dyDescent="0.25">
      <c r="A4" s="21">
        <v>113</v>
      </c>
      <c r="B4" s="4">
        <v>111</v>
      </c>
      <c r="D4" s="32" t="s">
        <v>54</v>
      </c>
      <c r="E4" s="37">
        <v>107.94444444444444</v>
      </c>
      <c r="F4" s="37">
        <v>98.666666666666671</v>
      </c>
    </row>
    <row r="5" spans="1:6" x14ac:dyDescent="0.25">
      <c r="A5" s="21">
        <v>92</v>
      </c>
      <c r="B5" s="4">
        <v>105</v>
      </c>
      <c r="D5" s="32" t="s">
        <v>55</v>
      </c>
      <c r="E5" s="37">
        <v>190.29084967320225</v>
      </c>
      <c r="F5" s="37">
        <v>191.64705882352942</v>
      </c>
    </row>
    <row r="6" spans="1:6" x14ac:dyDescent="0.25">
      <c r="A6" s="21">
        <v>95</v>
      </c>
      <c r="B6" s="4">
        <v>103</v>
      </c>
      <c r="D6" s="32" t="s">
        <v>25</v>
      </c>
      <c r="E6" s="32">
        <v>18</v>
      </c>
      <c r="F6" s="32">
        <v>18</v>
      </c>
    </row>
    <row r="7" spans="1:6" x14ac:dyDescent="0.25">
      <c r="A7" s="21">
        <v>121</v>
      </c>
      <c r="B7" s="4">
        <v>89</v>
      </c>
      <c r="D7" s="32" t="s">
        <v>56</v>
      </c>
      <c r="E7" s="37">
        <v>190.96895424836583</v>
      </c>
      <c r="F7" s="32"/>
    </row>
    <row r="8" spans="1:6" x14ac:dyDescent="0.25">
      <c r="A8" s="21">
        <v>100</v>
      </c>
      <c r="B8" s="4">
        <v>117</v>
      </c>
      <c r="D8" s="32" t="s">
        <v>57</v>
      </c>
      <c r="E8" s="32">
        <v>0</v>
      </c>
      <c r="F8" s="32"/>
    </row>
    <row r="9" spans="1:6" x14ac:dyDescent="0.25">
      <c r="A9" s="21">
        <v>109</v>
      </c>
      <c r="B9" s="4">
        <v>103</v>
      </c>
      <c r="D9" s="32" t="s">
        <v>10</v>
      </c>
      <c r="E9" s="32">
        <v>34</v>
      </c>
      <c r="F9" s="32"/>
    </row>
    <row r="10" spans="1:6" x14ac:dyDescent="0.25">
      <c r="A10" s="21">
        <v>124</v>
      </c>
      <c r="B10" s="4">
        <v>80</v>
      </c>
      <c r="D10" s="32" t="s">
        <v>35</v>
      </c>
      <c r="E10" s="37">
        <v>2.0141130149057198</v>
      </c>
      <c r="F10" s="32"/>
    </row>
    <row r="11" spans="1:6" x14ac:dyDescent="0.25">
      <c r="A11" s="21">
        <v>86</v>
      </c>
      <c r="B11" s="4">
        <v>86</v>
      </c>
      <c r="D11" s="32" t="s">
        <v>58</v>
      </c>
      <c r="E11" s="37">
        <v>2.5982216367354961E-2</v>
      </c>
      <c r="F11" s="32"/>
    </row>
    <row r="12" spans="1:6" x14ac:dyDescent="0.25">
      <c r="A12" s="21">
        <v>112</v>
      </c>
      <c r="B12" s="4">
        <v>76</v>
      </c>
      <c r="D12" s="32" t="s">
        <v>59</v>
      </c>
      <c r="E12" s="37">
        <v>1.6909242551868542</v>
      </c>
      <c r="F12" s="32"/>
    </row>
    <row r="13" spans="1:6" x14ac:dyDescent="0.25">
      <c r="A13" s="21">
        <v>118</v>
      </c>
      <c r="B13" s="4">
        <v>105</v>
      </c>
      <c r="D13" s="32" t="s">
        <v>60</v>
      </c>
      <c r="E13" s="37">
        <v>5.1964432734709923E-2</v>
      </c>
      <c r="F13" s="32"/>
    </row>
    <row r="14" spans="1:6" ht="15.75" thickBot="1" x14ac:dyDescent="0.3">
      <c r="A14" s="21">
        <v>101</v>
      </c>
      <c r="B14" s="4">
        <v>104</v>
      </c>
      <c r="D14" s="31" t="s">
        <v>61</v>
      </c>
      <c r="E14" s="38">
        <v>2.0322445093177191</v>
      </c>
      <c r="F14" s="31"/>
    </row>
    <row r="15" spans="1:6" x14ac:dyDescent="0.25">
      <c r="A15" s="21">
        <v>106</v>
      </c>
      <c r="B15" s="4">
        <v>86</v>
      </c>
    </row>
    <row r="16" spans="1:6" x14ac:dyDescent="0.25">
      <c r="A16" s="21">
        <v>117</v>
      </c>
      <c r="B16" s="4">
        <v>102</v>
      </c>
      <c r="D16" t="s">
        <v>62</v>
      </c>
      <c r="E16" s="3">
        <f>AVERAGE(A2:A19)-AVERAGE(B2:B19)</f>
        <v>9.2777777777777715</v>
      </c>
      <c r="F16" s="1" t="s">
        <v>63</v>
      </c>
    </row>
    <row r="17" spans="1:6" x14ac:dyDescent="0.25">
      <c r="A17" s="21">
        <v>84</v>
      </c>
      <c r="B17" s="4">
        <v>97</v>
      </c>
      <c r="D17" t="s">
        <v>56</v>
      </c>
      <c r="E17" s="3">
        <f>(DEVSQ(A2:A19)+DEVSQ(B2:B19))/(E6+F6-2)</f>
        <v>190.96895424836603</v>
      </c>
      <c r="F17" s="1" t="s">
        <v>64</v>
      </c>
    </row>
    <row r="18" spans="1:6" x14ac:dyDescent="0.25">
      <c r="A18" s="21">
        <v>128</v>
      </c>
      <c r="B18" s="4">
        <v>123</v>
      </c>
      <c r="D18" t="s">
        <v>65</v>
      </c>
      <c r="E18" s="3">
        <f>E17*(1/E6+1/F6)</f>
        <v>21.218772694262892</v>
      </c>
      <c r="F18" s="1" t="s">
        <v>66</v>
      </c>
    </row>
    <row r="19" spans="1:6" ht="15.75" thickBot="1" x14ac:dyDescent="0.3">
      <c r="A19" s="22">
        <v>118</v>
      </c>
      <c r="B19" s="23">
        <v>78</v>
      </c>
      <c r="D19" t="s">
        <v>67</v>
      </c>
      <c r="E19" s="3">
        <f>SQRT(E18)</f>
        <v>4.606383906521784</v>
      </c>
      <c r="F19" s="1" t="s">
        <v>68</v>
      </c>
    </row>
    <row r="20" spans="1:6" x14ac:dyDescent="0.25">
      <c r="D20" t="s">
        <v>69</v>
      </c>
      <c r="E20" s="3">
        <f>E16/E19</f>
        <v>2.0141130149057185</v>
      </c>
      <c r="F20" s="1" t="s">
        <v>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7"/>
  <sheetViews>
    <sheetView zoomScaleNormal="100" workbookViewId="0">
      <selection activeCell="H15" sqref="H15"/>
    </sheetView>
  </sheetViews>
  <sheetFormatPr defaultRowHeight="15" x14ac:dyDescent="0.25"/>
  <cols>
    <col min="1" max="1" width="11" customWidth="1"/>
    <col min="6" max="6" width="5.5703125" customWidth="1"/>
    <col min="7" max="7" width="13" customWidth="1"/>
    <col min="9" max="9" width="11" customWidth="1"/>
  </cols>
  <sheetData>
    <row r="1" spans="1:9" ht="15.75" thickBot="1" x14ac:dyDescent="0.3">
      <c r="A1" s="35" t="s">
        <v>51</v>
      </c>
      <c r="B1" s="36" t="s">
        <v>52</v>
      </c>
    </row>
    <row r="2" spans="1:9" x14ac:dyDescent="0.25">
      <c r="A2">
        <v>1</v>
      </c>
      <c r="B2">
        <v>125</v>
      </c>
    </row>
    <row r="3" spans="1:9" ht="15.75" thickBot="1" x14ac:dyDescent="0.3">
      <c r="A3">
        <v>1</v>
      </c>
      <c r="B3">
        <v>94</v>
      </c>
    </row>
    <row r="4" spans="1:9" x14ac:dyDescent="0.25">
      <c r="A4">
        <v>1</v>
      </c>
      <c r="B4">
        <v>113</v>
      </c>
      <c r="D4" s="6">
        <f t="array" ref="D4:E8">LINEST(B2:B37,A2:A37,,TRUE)</f>
        <v>9.277777777777775</v>
      </c>
      <c r="E4" s="8">
        <v>98.666666666666671</v>
      </c>
    </row>
    <row r="5" spans="1:9" x14ac:dyDescent="0.25">
      <c r="A5">
        <v>1</v>
      </c>
      <c r="B5">
        <v>92</v>
      </c>
      <c r="D5" s="7">
        <v>4.6063839065217831</v>
      </c>
      <c r="E5" s="9">
        <v>3.2572052970501328</v>
      </c>
    </row>
    <row r="6" spans="1:9" x14ac:dyDescent="0.25">
      <c r="A6">
        <v>1</v>
      </c>
      <c r="B6">
        <v>95</v>
      </c>
      <c r="D6" s="7">
        <v>0.10659506564488683</v>
      </c>
      <c r="E6" s="9">
        <v>13.819151719565353</v>
      </c>
      <c r="G6" s="41" t="s">
        <v>71</v>
      </c>
    </row>
    <row r="7" spans="1:9" x14ac:dyDescent="0.25">
      <c r="A7">
        <v>1</v>
      </c>
      <c r="B7">
        <v>121</v>
      </c>
      <c r="D7" s="7">
        <v>4.0566512368126029</v>
      </c>
      <c r="E7" s="4">
        <v>34</v>
      </c>
    </row>
    <row r="8" spans="1:9" ht="15.75" thickBot="1" x14ac:dyDescent="0.3">
      <c r="A8">
        <v>1</v>
      </c>
      <c r="B8">
        <v>100</v>
      </c>
      <c r="D8" s="39">
        <v>774.69444444444343</v>
      </c>
      <c r="E8" s="40">
        <v>6492.9444444444453</v>
      </c>
    </row>
    <row r="9" spans="1:9" ht="15.75" thickBot="1" x14ac:dyDescent="0.3">
      <c r="A9">
        <v>1</v>
      </c>
      <c r="B9">
        <v>109</v>
      </c>
    </row>
    <row r="10" spans="1:9" ht="15.75" thickBot="1" x14ac:dyDescent="0.3">
      <c r="A10">
        <v>1</v>
      </c>
      <c r="B10">
        <v>124</v>
      </c>
      <c r="G10" s="42" t="s">
        <v>72</v>
      </c>
      <c r="H10" s="43">
        <f>D4/D5</f>
        <v>2.0141130149057198</v>
      </c>
      <c r="I10" s="44" t="s">
        <v>73</v>
      </c>
    </row>
    <row r="11" spans="1:9" x14ac:dyDescent="0.25">
      <c r="A11">
        <v>1</v>
      </c>
      <c r="B11">
        <v>86</v>
      </c>
    </row>
    <row r="12" spans="1:9" x14ac:dyDescent="0.25">
      <c r="A12">
        <v>1</v>
      </c>
      <c r="B12">
        <v>112</v>
      </c>
      <c r="H12" s="3">
        <f>E6^2</f>
        <v>190.96895424836606</v>
      </c>
      <c r="I12" s="1" t="s">
        <v>74</v>
      </c>
    </row>
    <row r="13" spans="1:9" x14ac:dyDescent="0.25">
      <c r="A13">
        <v>1</v>
      </c>
      <c r="B13">
        <v>118</v>
      </c>
      <c r="H13" s="3">
        <f>DEVSQ(A2:A37)</f>
        <v>9</v>
      </c>
      <c r="I13" s="1" t="s">
        <v>75</v>
      </c>
    </row>
    <row r="14" spans="1:9" ht="15.75" thickBot="1" x14ac:dyDescent="0.3">
      <c r="A14">
        <v>1</v>
      </c>
      <c r="B14">
        <v>101</v>
      </c>
      <c r="H14" s="3">
        <f>H12/H13</f>
        <v>21.218772694262896</v>
      </c>
      <c r="I14" s="1" t="s">
        <v>76</v>
      </c>
    </row>
    <row r="15" spans="1:9" ht="15.75" thickBot="1" x14ac:dyDescent="0.3">
      <c r="A15">
        <v>1</v>
      </c>
      <c r="B15">
        <v>106</v>
      </c>
      <c r="D15" s="45"/>
      <c r="E15" s="46"/>
      <c r="F15" s="46"/>
      <c r="G15" s="47" t="s">
        <v>77</v>
      </c>
      <c r="H15" s="48">
        <f>SQRT(H14)</f>
        <v>4.6063839065217849</v>
      </c>
      <c r="I15" s="44" t="s">
        <v>78</v>
      </c>
    </row>
    <row r="16" spans="1:9" x14ac:dyDescent="0.25">
      <c r="A16">
        <v>1</v>
      </c>
      <c r="B16">
        <v>117</v>
      </c>
    </row>
    <row r="17" spans="1:2" x14ac:dyDescent="0.25">
      <c r="A17">
        <v>1</v>
      </c>
      <c r="B17">
        <v>84</v>
      </c>
    </row>
    <row r="18" spans="1:2" x14ac:dyDescent="0.25">
      <c r="A18">
        <v>1</v>
      </c>
      <c r="B18">
        <v>128</v>
      </c>
    </row>
    <row r="19" spans="1:2" x14ac:dyDescent="0.25">
      <c r="A19">
        <v>1</v>
      </c>
      <c r="B19">
        <v>118</v>
      </c>
    </row>
    <row r="20" spans="1:2" x14ac:dyDescent="0.25">
      <c r="A20">
        <v>0</v>
      </c>
      <c r="B20">
        <v>95</v>
      </c>
    </row>
    <row r="21" spans="1:2" x14ac:dyDescent="0.25">
      <c r="A21">
        <v>0</v>
      </c>
      <c r="B21">
        <v>116</v>
      </c>
    </row>
    <row r="22" spans="1:2" x14ac:dyDescent="0.25">
      <c r="A22">
        <v>0</v>
      </c>
      <c r="B22">
        <v>111</v>
      </c>
    </row>
    <row r="23" spans="1:2" x14ac:dyDescent="0.25">
      <c r="A23">
        <v>0</v>
      </c>
      <c r="B23">
        <v>105</v>
      </c>
    </row>
    <row r="24" spans="1:2" x14ac:dyDescent="0.25">
      <c r="A24">
        <v>0</v>
      </c>
      <c r="B24">
        <v>103</v>
      </c>
    </row>
    <row r="25" spans="1:2" x14ac:dyDescent="0.25">
      <c r="A25">
        <v>0</v>
      </c>
      <c r="B25">
        <v>89</v>
      </c>
    </row>
    <row r="26" spans="1:2" x14ac:dyDescent="0.25">
      <c r="A26">
        <v>0</v>
      </c>
      <c r="B26">
        <v>117</v>
      </c>
    </row>
    <row r="27" spans="1:2" x14ac:dyDescent="0.25">
      <c r="A27">
        <v>0</v>
      </c>
      <c r="B27">
        <v>103</v>
      </c>
    </row>
    <row r="28" spans="1:2" x14ac:dyDescent="0.25">
      <c r="A28">
        <v>0</v>
      </c>
      <c r="B28">
        <v>80</v>
      </c>
    </row>
    <row r="29" spans="1:2" x14ac:dyDescent="0.25">
      <c r="A29">
        <v>0</v>
      </c>
      <c r="B29">
        <v>86</v>
      </c>
    </row>
    <row r="30" spans="1:2" x14ac:dyDescent="0.25">
      <c r="A30">
        <v>0</v>
      </c>
      <c r="B30">
        <v>76</v>
      </c>
    </row>
    <row r="31" spans="1:2" x14ac:dyDescent="0.25">
      <c r="A31">
        <v>0</v>
      </c>
      <c r="B31">
        <v>105</v>
      </c>
    </row>
    <row r="32" spans="1:2" x14ac:dyDescent="0.25">
      <c r="A32">
        <v>0</v>
      </c>
      <c r="B32">
        <v>104</v>
      </c>
    </row>
    <row r="33" spans="1:2" x14ac:dyDescent="0.25">
      <c r="A33">
        <v>0</v>
      </c>
      <c r="B33">
        <v>86</v>
      </c>
    </row>
    <row r="34" spans="1:2" x14ac:dyDescent="0.25">
      <c r="A34">
        <v>0</v>
      </c>
      <c r="B34">
        <v>102</v>
      </c>
    </row>
    <row r="35" spans="1:2" x14ac:dyDescent="0.25">
      <c r="A35">
        <v>0</v>
      </c>
      <c r="B35">
        <v>97</v>
      </c>
    </row>
    <row r="36" spans="1:2" x14ac:dyDescent="0.25">
      <c r="A36">
        <v>0</v>
      </c>
      <c r="B36">
        <v>123</v>
      </c>
    </row>
    <row r="37" spans="1:2" x14ac:dyDescent="0.25">
      <c r="A37">
        <v>0</v>
      </c>
      <c r="B37">
        <v>78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1"/>
  <sheetViews>
    <sheetView workbookViewId="0">
      <selection activeCell="H23" sqref="H23"/>
    </sheetView>
  </sheetViews>
  <sheetFormatPr defaultRowHeight="15" x14ac:dyDescent="0.25"/>
  <cols>
    <col min="3" max="3" width="2.42578125" customWidth="1"/>
    <col min="6" max="6" width="3.140625" customWidth="1"/>
    <col min="7" max="7" width="30.5703125" customWidth="1"/>
  </cols>
  <sheetData>
    <row r="1" spans="1:9" ht="15.75" thickBot="1" x14ac:dyDescent="0.3">
      <c r="A1" s="49" t="s">
        <v>79</v>
      </c>
      <c r="B1" s="50" t="s">
        <v>80</v>
      </c>
      <c r="D1" t="s">
        <v>81</v>
      </c>
      <c r="E1" t="s">
        <v>82</v>
      </c>
      <c r="G1" t="s">
        <v>53</v>
      </c>
    </row>
    <row r="2" spans="1:9" ht="15.75" thickBot="1" x14ac:dyDescent="0.3">
      <c r="A2" s="21">
        <v>129</v>
      </c>
      <c r="B2" s="4">
        <v>95</v>
      </c>
      <c r="D2">
        <v>1</v>
      </c>
      <c r="E2">
        <v>129</v>
      </c>
    </row>
    <row r="3" spans="1:9" x14ac:dyDescent="0.25">
      <c r="A3" s="21">
        <v>87</v>
      </c>
      <c r="B3" s="4">
        <v>117</v>
      </c>
      <c r="D3">
        <v>1</v>
      </c>
      <c r="E3">
        <v>87</v>
      </c>
      <c r="G3" s="33"/>
      <c r="H3" s="33" t="s">
        <v>79</v>
      </c>
      <c r="I3" s="33" t="s">
        <v>80</v>
      </c>
    </row>
    <row r="4" spans="1:9" x14ac:dyDescent="0.25">
      <c r="A4" s="21">
        <v>111</v>
      </c>
      <c r="B4" s="4">
        <v>111</v>
      </c>
      <c r="D4">
        <v>1</v>
      </c>
      <c r="E4">
        <v>111</v>
      </c>
      <c r="G4" s="32" t="s">
        <v>54</v>
      </c>
      <c r="H4" s="32">
        <v>104.25</v>
      </c>
      <c r="I4" s="32">
        <v>100.2</v>
      </c>
    </row>
    <row r="5" spans="1:9" x14ac:dyDescent="0.25">
      <c r="A5" s="21">
        <v>87</v>
      </c>
      <c r="B5" s="4">
        <v>104</v>
      </c>
      <c r="D5">
        <v>1</v>
      </c>
      <c r="E5">
        <v>87</v>
      </c>
      <c r="G5" s="32" t="s">
        <v>55</v>
      </c>
      <c r="H5" s="37">
        <v>247.67105263157896</v>
      </c>
      <c r="I5" s="37">
        <v>154.62222222222286</v>
      </c>
    </row>
    <row r="6" spans="1:9" x14ac:dyDescent="0.25">
      <c r="A6" s="21">
        <v>90</v>
      </c>
      <c r="B6" s="4">
        <v>101</v>
      </c>
      <c r="D6">
        <v>1</v>
      </c>
      <c r="E6">
        <v>90</v>
      </c>
      <c r="G6" s="32" t="s">
        <v>25</v>
      </c>
      <c r="H6" s="32">
        <v>20</v>
      </c>
      <c r="I6" s="32">
        <v>10</v>
      </c>
    </row>
    <row r="7" spans="1:9" x14ac:dyDescent="0.25">
      <c r="A7" s="21">
        <v>121</v>
      </c>
      <c r="B7" s="4">
        <v>89</v>
      </c>
      <c r="D7">
        <v>1</v>
      </c>
      <c r="E7">
        <v>121</v>
      </c>
      <c r="G7" s="32" t="s">
        <v>56</v>
      </c>
      <c r="H7" s="37">
        <v>217.76250000000022</v>
      </c>
      <c r="I7" s="32"/>
    </row>
    <row r="8" spans="1:9" x14ac:dyDescent="0.25">
      <c r="A8" s="21">
        <v>96</v>
      </c>
      <c r="B8" s="4">
        <v>115</v>
      </c>
      <c r="D8">
        <v>1</v>
      </c>
      <c r="E8">
        <v>96</v>
      </c>
      <c r="G8" s="32" t="s">
        <v>57</v>
      </c>
      <c r="H8" s="32">
        <v>0</v>
      </c>
      <c r="I8" s="32"/>
    </row>
    <row r="9" spans="1:9" x14ac:dyDescent="0.25">
      <c r="A9" s="21">
        <v>106</v>
      </c>
      <c r="B9" s="4">
        <v>103</v>
      </c>
      <c r="D9">
        <v>1</v>
      </c>
      <c r="E9">
        <v>106</v>
      </c>
      <c r="G9" s="32" t="s">
        <v>10</v>
      </c>
      <c r="H9" s="32">
        <v>28</v>
      </c>
      <c r="I9" s="32"/>
    </row>
    <row r="10" spans="1:9" x14ac:dyDescent="0.25">
      <c r="A10" s="21">
        <v>120</v>
      </c>
      <c r="B10" s="4">
        <v>79</v>
      </c>
      <c r="D10">
        <v>1</v>
      </c>
      <c r="E10">
        <v>120</v>
      </c>
      <c r="G10" s="32" t="s">
        <v>35</v>
      </c>
      <c r="H10" s="37">
        <v>0.70862724649781539</v>
      </c>
      <c r="I10" s="32"/>
    </row>
    <row r="11" spans="1:9" x14ac:dyDescent="0.25">
      <c r="A11" s="21">
        <v>81</v>
      </c>
      <c r="B11" s="4">
        <v>88</v>
      </c>
      <c r="D11">
        <v>1</v>
      </c>
      <c r="E11">
        <v>81</v>
      </c>
      <c r="G11" s="32" t="s">
        <v>58</v>
      </c>
      <c r="H11" s="37">
        <v>0.24220713790197346</v>
      </c>
      <c r="I11" s="32"/>
    </row>
    <row r="12" spans="1:9" x14ac:dyDescent="0.25">
      <c r="A12" s="21">
        <v>109</v>
      </c>
      <c r="B12" s="4"/>
      <c r="D12">
        <v>1</v>
      </c>
      <c r="E12">
        <v>109</v>
      </c>
      <c r="G12" s="32" t="s">
        <v>59</v>
      </c>
      <c r="H12" s="37">
        <v>1.7011309342659326</v>
      </c>
      <c r="I12" s="32"/>
    </row>
    <row r="13" spans="1:9" x14ac:dyDescent="0.25">
      <c r="A13" s="21">
        <v>116</v>
      </c>
      <c r="B13" s="4"/>
      <c r="D13">
        <v>1</v>
      </c>
      <c r="E13">
        <v>116</v>
      </c>
      <c r="G13" s="32" t="s">
        <v>60</v>
      </c>
      <c r="H13" s="37">
        <v>0.48441427580394691</v>
      </c>
      <c r="I13" s="32"/>
    </row>
    <row r="14" spans="1:9" ht="15.75" thickBot="1" x14ac:dyDescent="0.3">
      <c r="A14" s="21">
        <v>98</v>
      </c>
      <c r="B14" s="4"/>
      <c r="D14">
        <v>1</v>
      </c>
      <c r="E14">
        <v>98</v>
      </c>
      <c r="G14" s="31" t="s">
        <v>61</v>
      </c>
      <c r="H14" s="38">
        <v>2.0484071417952445</v>
      </c>
      <c r="I14" s="31"/>
    </row>
    <row r="15" spans="1:9" x14ac:dyDescent="0.25">
      <c r="A15" s="21">
        <v>102</v>
      </c>
      <c r="B15" s="4"/>
      <c r="D15">
        <v>1</v>
      </c>
      <c r="E15">
        <v>102</v>
      </c>
    </row>
    <row r="16" spans="1:9" ht="15.75" thickBot="1" x14ac:dyDescent="0.3">
      <c r="A16" s="21">
        <v>115</v>
      </c>
      <c r="B16" s="4"/>
      <c r="D16">
        <v>1</v>
      </c>
      <c r="E16">
        <v>115</v>
      </c>
    </row>
    <row r="17" spans="1:11" x14ac:dyDescent="0.25">
      <c r="A17" s="21">
        <v>76</v>
      </c>
      <c r="B17" s="4"/>
      <c r="D17">
        <v>1</v>
      </c>
      <c r="E17">
        <v>76</v>
      </c>
      <c r="G17" s="19">
        <f t="array" ref="G17:H21">LINEST(E2:E31,D2:D31,,TRUE)</f>
        <v>4.049999999999998</v>
      </c>
      <c r="H17" s="20">
        <v>100.2</v>
      </c>
      <c r="I17" s="51"/>
    </row>
    <row r="18" spans="1:11" x14ac:dyDescent="0.25">
      <c r="A18" s="21">
        <v>129</v>
      </c>
      <c r="B18" s="4"/>
      <c r="D18">
        <v>1</v>
      </c>
      <c r="E18">
        <v>129</v>
      </c>
      <c r="G18" s="7">
        <v>5.7152755839066938</v>
      </c>
      <c r="H18" s="9">
        <v>4.6665029733195276</v>
      </c>
      <c r="I18" s="51"/>
      <c r="J18" s="51"/>
      <c r="K18" s="51"/>
    </row>
    <row r="19" spans="1:11" x14ac:dyDescent="0.25">
      <c r="A19" s="21">
        <v>116</v>
      </c>
      <c r="B19" s="4"/>
      <c r="D19">
        <v>1</v>
      </c>
      <c r="E19">
        <v>116</v>
      </c>
      <c r="G19" s="7">
        <v>1.7618057905167059E-2</v>
      </c>
      <c r="H19" s="9">
        <v>14.756778103637663</v>
      </c>
      <c r="I19" s="51"/>
      <c r="J19" s="51"/>
      <c r="K19" s="51"/>
    </row>
    <row r="20" spans="1:11" x14ac:dyDescent="0.25">
      <c r="A20" s="21">
        <v>107</v>
      </c>
      <c r="B20" s="4"/>
      <c r="D20">
        <v>1</v>
      </c>
      <c r="E20">
        <v>107</v>
      </c>
      <c r="G20" s="7">
        <v>0.50215257447907868</v>
      </c>
      <c r="H20" s="4">
        <v>28</v>
      </c>
      <c r="I20" s="51"/>
      <c r="J20" s="51"/>
      <c r="K20" s="51"/>
    </row>
    <row r="21" spans="1:11" ht="15.75" thickBot="1" x14ac:dyDescent="0.3">
      <c r="A21" s="22">
        <v>89</v>
      </c>
      <c r="B21" s="23"/>
      <c r="D21">
        <v>1</v>
      </c>
      <c r="E21">
        <v>89</v>
      </c>
      <c r="G21" s="22">
        <v>109.35000000000036</v>
      </c>
      <c r="H21" s="23">
        <v>6097.3499999999985</v>
      </c>
      <c r="I21" s="51"/>
      <c r="J21" s="51"/>
      <c r="K21" s="51"/>
    </row>
    <row r="22" spans="1:11" ht="15.75" thickBot="1" x14ac:dyDescent="0.3">
      <c r="D22">
        <v>0</v>
      </c>
      <c r="E22">
        <v>95</v>
      </c>
    </row>
    <row r="23" spans="1:11" ht="15.75" thickBot="1" x14ac:dyDescent="0.3">
      <c r="D23">
        <v>0</v>
      </c>
      <c r="E23">
        <v>117</v>
      </c>
      <c r="G23" s="45" t="s">
        <v>83</v>
      </c>
      <c r="H23" s="52">
        <f>G17/G18</f>
        <v>0.70862724649781605</v>
      </c>
    </row>
    <row r="24" spans="1:11" x14ac:dyDescent="0.25">
      <c r="D24">
        <v>0</v>
      </c>
      <c r="E24">
        <v>111</v>
      </c>
    </row>
    <row r="25" spans="1:11" x14ac:dyDescent="0.25">
      <c r="D25">
        <v>0</v>
      </c>
      <c r="E25">
        <v>104</v>
      </c>
    </row>
    <row r="26" spans="1:11" x14ac:dyDescent="0.25">
      <c r="D26">
        <v>0</v>
      </c>
      <c r="E26">
        <v>101</v>
      </c>
    </row>
    <row r="27" spans="1:11" x14ac:dyDescent="0.25">
      <c r="D27">
        <v>0</v>
      </c>
      <c r="E27">
        <v>89</v>
      </c>
    </row>
    <row r="28" spans="1:11" x14ac:dyDescent="0.25">
      <c r="D28">
        <v>0</v>
      </c>
      <c r="E28">
        <v>115</v>
      </c>
    </row>
    <row r="29" spans="1:11" x14ac:dyDescent="0.25">
      <c r="D29">
        <v>0</v>
      </c>
      <c r="E29">
        <v>103</v>
      </c>
    </row>
    <row r="30" spans="1:11" x14ac:dyDescent="0.25">
      <c r="D30">
        <v>0</v>
      </c>
      <c r="E30">
        <v>79</v>
      </c>
    </row>
    <row r="31" spans="1:11" x14ac:dyDescent="0.25">
      <c r="D31">
        <v>0</v>
      </c>
      <c r="E31">
        <v>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1001"/>
  <sheetViews>
    <sheetView topLeftCell="R1" zoomScaleNormal="100" workbookViewId="0">
      <pane ySplit="1" topLeftCell="A2" activePane="bottomLeft" state="frozen"/>
      <selection activeCell="B6" sqref="B6"/>
      <selection pane="bottomLeft" activeCell="T2" sqref="T2"/>
    </sheetView>
  </sheetViews>
  <sheetFormatPr defaultRowHeight="15" x14ac:dyDescent="0.25"/>
  <cols>
    <col min="3" max="3" width="3.28515625" customWidth="1"/>
    <col min="6" max="6" width="9.28515625" customWidth="1"/>
    <col min="7" max="8" width="11.28515625" bestFit="1" customWidth="1"/>
    <col min="9" max="9" width="2.85546875" customWidth="1"/>
    <col min="17" max="17" width="11.85546875" customWidth="1"/>
    <col min="18" max="18" width="11" customWidth="1"/>
    <col min="19" max="19" width="9.85546875" customWidth="1"/>
    <col min="20" max="20" width="9.140625" style="3"/>
    <col min="22" max="22" width="17.5703125" bestFit="1" customWidth="1"/>
    <col min="23" max="23" width="16.7109375" bestFit="1" customWidth="1"/>
    <col min="24" max="24" width="4.42578125" customWidth="1"/>
    <col min="25" max="25" width="21.7109375" bestFit="1" customWidth="1"/>
  </cols>
  <sheetData>
    <row r="1" spans="1:27" s="53" customFormat="1" ht="45" x14ac:dyDescent="0.25">
      <c r="A1" s="17" t="s">
        <v>84</v>
      </c>
      <c r="B1" s="17" t="s">
        <v>85</v>
      </c>
      <c r="C1" s="17"/>
      <c r="D1" s="17" t="s">
        <v>86</v>
      </c>
      <c r="E1" s="17" t="s">
        <v>87</v>
      </c>
      <c r="G1" s="17" t="s">
        <v>85</v>
      </c>
      <c r="H1" s="17" t="s">
        <v>87</v>
      </c>
      <c r="J1" s="16" t="s">
        <v>88</v>
      </c>
      <c r="K1" s="16" t="s">
        <v>89</v>
      </c>
      <c r="L1" s="16" t="s">
        <v>90</v>
      </c>
      <c r="M1" s="16" t="s">
        <v>91</v>
      </c>
      <c r="N1" s="16" t="s">
        <v>92</v>
      </c>
      <c r="O1" s="16" t="s">
        <v>93</v>
      </c>
      <c r="P1" s="16" t="s">
        <v>56</v>
      </c>
      <c r="Q1" s="16" t="s">
        <v>94</v>
      </c>
      <c r="R1" s="16" t="s">
        <v>95</v>
      </c>
      <c r="S1" s="16" t="s">
        <v>96</v>
      </c>
      <c r="T1" s="54" t="s">
        <v>97</v>
      </c>
      <c r="V1" t="s">
        <v>98</v>
      </c>
      <c r="W1" s="53" t="s">
        <v>99</v>
      </c>
      <c r="X1"/>
      <c r="Y1" s="55"/>
    </row>
    <row r="2" spans="1:27" x14ac:dyDescent="0.25">
      <c r="A2">
        <v>6.1342210801307306E-4</v>
      </c>
      <c r="B2">
        <v>2.2100721253082156</v>
      </c>
      <c r="D2">
        <v>4.9418394829636725E-5</v>
      </c>
      <c r="E2">
        <v>1.1736967701381218</v>
      </c>
      <c r="F2" s="53" t="s">
        <v>54</v>
      </c>
      <c r="G2">
        <f>AVERAGE(B2:B1001)</f>
        <v>2.2261549474933418E-2</v>
      </c>
      <c r="H2">
        <f>AVERAGE(E2:E1001)</f>
        <v>2.2261549474933418E-2</v>
      </c>
      <c r="J2">
        <v>10</v>
      </c>
      <c r="K2">
        <v>0.40304769299837062</v>
      </c>
      <c r="L2">
        <v>3.217599049157954</v>
      </c>
      <c r="M2">
        <v>20</v>
      </c>
      <c r="N2">
        <v>1.0537219134221232</v>
      </c>
      <c r="O2">
        <v>140.46384910890308</v>
      </c>
      <c r="P2" s="1">
        <f t="shared" ref="P2:P65" si="0">(L2+O2)/(J2+M2-2)</f>
        <v>5.1314802913593223</v>
      </c>
      <c r="Q2" s="1">
        <f t="shared" ref="Q2:Q65" si="1">P2*0.15</f>
        <v>0.7697220437038983</v>
      </c>
      <c r="R2" s="1">
        <f t="shared" ref="R2:R65" si="2">SQRT(Q2)</f>
        <v>0.87733804414484284</v>
      </c>
      <c r="S2" s="1">
        <f t="shared" ref="S2:S65" si="3">(K2-N2)/R2</f>
        <v>-0.74164596504871327</v>
      </c>
      <c r="T2" s="56">
        <f t="shared" ref="T2:T65" si="4">_xlfn.T.DIST(S2,28,TRUE)</f>
        <v>0.23223880218259957</v>
      </c>
      <c r="V2" s="57" t="s">
        <v>100</v>
      </c>
      <c r="W2" s="58">
        <v>9</v>
      </c>
    </row>
    <row r="3" spans="1:27" x14ac:dyDescent="0.25">
      <c r="A3">
        <v>1.7507559224885227E-3</v>
      </c>
      <c r="B3">
        <v>1.4266151993069798</v>
      </c>
      <c r="D3">
        <v>7.1788907777436961E-4</v>
      </c>
      <c r="E3">
        <v>4.907750050051618</v>
      </c>
      <c r="F3" s="53" t="s">
        <v>55</v>
      </c>
      <c r="G3">
        <f>_xlfn.VAR.P(B2:B1001)</f>
        <v>0.94407969392186319</v>
      </c>
      <c r="H3">
        <f>_xlfn.VAR.P(E2:E1001)</f>
        <v>9.9830411295786021</v>
      </c>
      <c r="J3">
        <v>10</v>
      </c>
      <c r="K3">
        <v>0.40608779272588436</v>
      </c>
      <c r="L3">
        <v>23.388432490228265</v>
      </c>
      <c r="M3">
        <v>20</v>
      </c>
      <c r="N3">
        <v>-0.56936324085654633</v>
      </c>
      <c r="O3">
        <v>147.7023570451785</v>
      </c>
      <c r="P3" s="1">
        <f t="shared" si="0"/>
        <v>6.1103853405502422</v>
      </c>
      <c r="Q3" s="1">
        <f t="shared" si="1"/>
        <v>0.91655780108253626</v>
      </c>
      <c r="R3" s="1">
        <f t="shared" si="2"/>
        <v>0.95737025287113253</v>
      </c>
      <c r="S3" s="1">
        <f t="shared" si="3"/>
        <v>1.0188858810445325</v>
      </c>
      <c r="T3" s="56">
        <f t="shared" si="4"/>
        <v>0.84150970189494656</v>
      </c>
      <c r="V3" s="57" t="s">
        <v>101</v>
      </c>
      <c r="W3" s="58">
        <v>8</v>
      </c>
    </row>
    <row r="4" spans="1:27" x14ac:dyDescent="0.25">
      <c r="A4">
        <v>4.4295814607966388E-3</v>
      </c>
      <c r="B4">
        <v>1.8427181203151122</v>
      </c>
      <c r="D4">
        <v>1.315198668751294E-3</v>
      </c>
      <c r="E4">
        <v>-1.4835056879292097</v>
      </c>
      <c r="J4">
        <v>10</v>
      </c>
      <c r="K4">
        <v>6.9288375925680157E-2</v>
      </c>
      <c r="L4">
        <v>14.170543699027224</v>
      </c>
      <c r="M4">
        <v>20</v>
      </c>
      <c r="N4">
        <v>-0.44365583903527295</v>
      </c>
      <c r="O4">
        <v>226.96321782311463</v>
      </c>
      <c r="P4" s="1">
        <f t="shared" si="0"/>
        <v>8.6119200543622103</v>
      </c>
      <c r="Q4" s="1">
        <f t="shared" si="1"/>
        <v>1.2917880081543316</v>
      </c>
      <c r="R4" s="1">
        <f t="shared" si="2"/>
        <v>1.1365685232991154</v>
      </c>
      <c r="S4" s="1">
        <f t="shared" si="3"/>
        <v>0.45130953782885952</v>
      </c>
      <c r="T4" s="56">
        <f t="shared" si="4"/>
        <v>0.67237868125169065</v>
      </c>
      <c r="V4" s="57" t="s">
        <v>102</v>
      </c>
      <c r="W4" s="58">
        <v>11</v>
      </c>
      <c r="AA4" s="3"/>
    </row>
    <row r="5" spans="1:27" x14ac:dyDescent="0.25">
      <c r="A5">
        <v>4.8688426821328346E-3</v>
      </c>
      <c r="B5">
        <v>0.913164512894582</v>
      </c>
      <c r="D5">
        <v>1.3406646662238453E-3</v>
      </c>
      <c r="E5">
        <v>2.0518048097528663</v>
      </c>
      <c r="J5">
        <v>10</v>
      </c>
      <c r="K5">
        <v>-0.27158807824889664</v>
      </c>
      <c r="L5">
        <v>6.9982545964317726</v>
      </c>
      <c r="M5">
        <v>20</v>
      </c>
      <c r="N5">
        <v>0.76432729315456527</v>
      </c>
      <c r="O5">
        <v>214.22189678585681</v>
      </c>
      <c r="P5" s="1">
        <f t="shared" si="0"/>
        <v>7.9007196922245919</v>
      </c>
      <c r="Q5" s="1">
        <f t="shared" si="1"/>
        <v>1.1851079538336888</v>
      </c>
      <c r="R5" s="1">
        <f t="shared" si="2"/>
        <v>1.0886266365626411</v>
      </c>
      <c r="S5" s="1">
        <f t="shared" si="3"/>
        <v>-0.95158003360489507</v>
      </c>
      <c r="T5" s="56">
        <f t="shared" si="4"/>
        <v>0.17472628963441195</v>
      </c>
      <c r="V5" s="57" t="s">
        <v>103</v>
      </c>
      <c r="W5" s="58">
        <v>13</v>
      </c>
    </row>
    <row r="6" spans="1:27" x14ac:dyDescent="0.25">
      <c r="A6">
        <v>5.2720983035907665E-3</v>
      </c>
      <c r="B6">
        <v>1.5806563169462606</v>
      </c>
      <c r="D6">
        <v>1.7013381649246817E-3</v>
      </c>
      <c r="E6">
        <v>-1.6042956792716723</v>
      </c>
      <c r="J6">
        <v>10</v>
      </c>
      <c r="K6">
        <v>-0.17151558040495729</v>
      </c>
      <c r="L6">
        <v>5.522833864209197</v>
      </c>
      <c r="M6">
        <v>20</v>
      </c>
      <c r="N6">
        <v>-1.2239513046097272</v>
      </c>
      <c r="O6">
        <v>170.79309255357799</v>
      </c>
      <c r="P6" s="1">
        <f t="shared" si="0"/>
        <v>6.2969973720638279</v>
      </c>
      <c r="Q6" s="1">
        <f t="shared" si="1"/>
        <v>0.94454960580957414</v>
      </c>
      <c r="R6" s="1">
        <f t="shared" si="2"/>
        <v>0.97187941937751421</v>
      </c>
      <c r="S6" s="1">
        <f t="shared" si="3"/>
        <v>1.0828871393108126</v>
      </c>
      <c r="T6" s="56">
        <f t="shared" si="4"/>
        <v>0.85595192086055594</v>
      </c>
      <c r="V6" s="57" t="s">
        <v>104</v>
      </c>
      <c r="W6" s="58">
        <v>15</v>
      </c>
    </row>
    <row r="7" spans="1:27" x14ac:dyDescent="0.25">
      <c r="A7">
        <v>6.512621013282538E-3</v>
      </c>
      <c r="B7">
        <v>-0.56621729527250864</v>
      </c>
      <c r="D7">
        <v>3.2361611618063613E-3</v>
      </c>
      <c r="E7">
        <v>1.4243830685245484</v>
      </c>
      <c r="J7">
        <v>10</v>
      </c>
      <c r="K7">
        <v>-9.8741566034732386E-2</v>
      </c>
      <c r="L7">
        <v>22.25532526111563</v>
      </c>
      <c r="M7">
        <v>20</v>
      </c>
      <c r="N7">
        <v>0.42442877315806982</v>
      </c>
      <c r="O7">
        <v>161.61037007387341</v>
      </c>
      <c r="P7" s="1">
        <f t="shared" si="0"/>
        <v>6.5666319762496084</v>
      </c>
      <c r="Q7" s="1">
        <f t="shared" si="1"/>
        <v>0.98499479643744126</v>
      </c>
      <c r="R7" s="1">
        <f t="shared" si="2"/>
        <v>0.99246904054355334</v>
      </c>
      <c r="S7" s="1">
        <f t="shared" si="3"/>
        <v>-0.5271402107478067</v>
      </c>
      <c r="T7" s="56">
        <f t="shared" si="4"/>
        <v>0.30112413210328104</v>
      </c>
      <c r="V7" s="57" t="s">
        <v>105</v>
      </c>
      <c r="W7" s="58">
        <v>39</v>
      </c>
    </row>
    <row r="8" spans="1:27" x14ac:dyDescent="0.25">
      <c r="A8">
        <v>6.680472102189805E-3</v>
      </c>
      <c r="B8">
        <v>-4.5494061851059087E-2</v>
      </c>
      <c r="D8">
        <v>7.3103957219841087E-3</v>
      </c>
      <c r="E8">
        <v>-1.0141654945527989</v>
      </c>
      <c r="J8">
        <v>10</v>
      </c>
      <c r="K8">
        <v>0.22440406155510573</v>
      </c>
      <c r="L8">
        <v>5.6497568737358783</v>
      </c>
      <c r="M8">
        <v>20</v>
      </c>
      <c r="N8">
        <v>0.79467008276878914</v>
      </c>
      <c r="O8">
        <v>268.77598268475003</v>
      </c>
      <c r="P8" s="1">
        <f t="shared" si="0"/>
        <v>9.8009192699459255</v>
      </c>
      <c r="Q8" s="1">
        <f t="shared" si="1"/>
        <v>1.4701378904918887</v>
      </c>
      <c r="R8" s="1">
        <f t="shared" si="2"/>
        <v>1.2124924290451833</v>
      </c>
      <c r="S8" s="1">
        <f t="shared" si="3"/>
        <v>-0.47032542847525899</v>
      </c>
      <c r="T8" s="56">
        <f t="shared" si="4"/>
        <v>0.32088277115118458</v>
      </c>
      <c r="V8" s="57" t="s">
        <v>106</v>
      </c>
      <c r="W8" s="58">
        <v>27</v>
      </c>
    </row>
    <row r="9" spans="1:27" x14ac:dyDescent="0.25">
      <c r="A9">
        <v>7.9112013036919393E-3</v>
      </c>
      <c r="B9">
        <v>1.5353452909039333</v>
      </c>
      <c r="D9">
        <v>7.8864757011360975E-3</v>
      </c>
      <c r="E9">
        <v>3.3482576748156134</v>
      </c>
      <c r="J9">
        <v>10</v>
      </c>
      <c r="K9">
        <v>5.3910298447590321E-4</v>
      </c>
      <c r="L9">
        <v>5.0953207051693514</v>
      </c>
      <c r="M9">
        <v>20</v>
      </c>
      <c r="N9">
        <v>-0.35673417983161926</v>
      </c>
      <c r="O9">
        <v>185.12498424496869</v>
      </c>
      <c r="P9" s="1">
        <f t="shared" si="0"/>
        <v>6.7935823196477871</v>
      </c>
      <c r="Q9" s="1">
        <f t="shared" si="1"/>
        <v>1.0190373479471679</v>
      </c>
      <c r="R9" s="1">
        <f t="shared" si="2"/>
        <v>1.0094737975535413</v>
      </c>
      <c r="S9" s="1">
        <f t="shared" si="3"/>
        <v>0.35392031341669949</v>
      </c>
      <c r="T9" s="56">
        <f t="shared" si="4"/>
        <v>0.63697505995465131</v>
      </c>
      <c r="V9" s="57" t="s">
        <v>107</v>
      </c>
      <c r="W9" s="58">
        <v>23</v>
      </c>
    </row>
    <row r="10" spans="1:27" x14ac:dyDescent="0.25">
      <c r="A10">
        <v>8.0283901117591538E-3</v>
      </c>
      <c r="B10">
        <v>0.20315383153501898</v>
      </c>
      <c r="D10">
        <v>9.0422889574885978E-3</v>
      </c>
      <c r="E10">
        <v>-2.7177900426522683</v>
      </c>
      <c r="J10">
        <v>10</v>
      </c>
      <c r="K10">
        <v>0.21829976049048128</v>
      </c>
      <c r="L10">
        <v>20.128931477417709</v>
      </c>
      <c r="M10">
        <v>20</v>
      </c>
      <c r="N10">
        <v>7.4958219329346321E-2</v>
      </c>
      <c r="O10">
        <v>178.1170064447648</v>
      </c>
      <c r="P10" s="1">
        <f t="shared" si="0"/>
        <v>7.0802120686493755</v>
      </c>
      <c r="Q10" s="1">
        <f t="shared" si="1"/>
        <v>1.0620318102974062</v>
      </c>
      <c r="R10" s="1">
        <f t="shared" si="2"/>
        <v>1.0305492760161477</v>
      </c>
      <c r="S10" s="1">
        <f t="shared" si="3"/>
        <v>0.139092369959502</v>
      </c>
      <c r="T10" s="56">
        <f t="shared" si="4"/>
        <v>0.55481361302941745</v>
      </c>
      <c r="V10" s="57" t="s">
        <v>108</v>
      </c>
      <c r="W10" s="58">
        <v>27</v>
      </c>
    </row>
    <row r="11" spans="1:27" x14ac:dyDescent="0.25">
      <c r="A11">
        <v>8.0594921111682982E-3</v>
      </c>
      <c r="B11">
        <v>-0.57621491578174755</v>
      </c>
      <c r="D11">
        <v>9.7785641703355131E-3</v>
      </c>
      <c r="E11">
        <v>-0.79997267107501102</v>
      </c>
      <c r="J11">
        <v>10</v>
      </c>
      <c r="K11">
        <v>-0.43670740978996037</v>
      </c>
      <c r="L11">
        <v>16.516201774809904</v>
      </c>
      <c r="M11">
        <v>20</v>
      </c>
      <c r="N11">
        <v>-1.5417390420680022</v>
      </c>
      <c r="O11">
        <v>118.54296022219947</v>
      </c>
      <c r="P11" s="1">
        <f t="shared" si="0"/>
        <v>4.8235414998931914</v>
      </c>
      <c r="Q11" s="1">
        <f t="shared" si="1"/>
        <v>0.7235312249839787</v>
      </c>
      <c r="R11" s="1">
        <f t="shared" si="2"/>
        <v>0.85060638663483989</v>
      </c>
      <c r="S11" s="1">
        <f t="shared" si="3"/>
        <v>1.2991104342041875</v>
      </c>
      <c r="T11" s="56">
        <f t="shared" si="4"/>
        <v>0.89774888064420821</v>
      </c>
      <c r="V11" s="57" t="s">
        <v>109</v>
      </c>
      <c r="W11" s="58">
        <v>31</v>
      </c>
      <c r="Y11" s="53" t="s">
        <v>110</v>
      </c>
    </row>
    <row r="12" spans="1:27" hidden="1" x14ac:dyDescent="0.25">
      <c r="A12">
        <v>8.1157439323830127E-3</v>
      </c>
      <c r="B12">
        <v>1.1774363883887418</v>
      </c>
      <c r="D12">
        <v>1.0511876524534336E-2</v>
      </c>
      <c r="E12">
        <v>-3.5435043662346288</v>
      </c>
      <c r="J12">
        <v>10</v>
      </c>
      <c r="K12">
        <v>0.21060270682937698</v>
      </c>
      <c r="L12">
        <v>6.6163055812027709</v>
      </c>
      <c r="M12">
        <v>20</v>
      </c>
      <c r="N12">
        <v>0.47923361648827267</v>
      </c>
      <c r="O12">
        <v>178.39815447173356</v>
      </c>
      <c r="P12" s="1">
        <f t="shared" si="0"/>
        <v>6.6076592876048688</v>
      </c>
      <c r="Q12" s="1">
        <f t="shared" si="1"/>
        <v>0.99114889314073029</v>
      </c>
      <c r="R12" s="1">
        <f t="shared" si="2"/>
        <v>0.99556461022915554</v>
      </c>
      <c r="S12" s="1">
        <f t="shared" si="3"/>
        <v>-0.26982770068239287</v>
      </c>
      <c r="T12" s="56">
        <f t="shared" si="4"/>
        <v>0.39463576965239044</v>
      </c>
      <c r="V12" s="57" t="s">
        <v>111</v>
      </c>
      <c r="W12" s="58">
        <v>23</v>
      </c>
      <c r="Y12" s="53"/>
    </row>
    <row r="13" spans="1:27" hidden="1" x14ac:dyDescent="0.25">
      <c r="A13">
        <v>8.7368702499501794E-3</v>
      </c>
      <c r="B13">
        <v>0.75455773185240105</v>
      </c>
      <c r="D13">
        <v>1.0946529404931793E-2</v>
      </c>
      <c r="E13">
        <v>1.3053597706402797</v>
      </c>
      <c r="J13">
        <v>10</v>
      </c>
      <c r="K13">
        <v>-0.30421438168559689</v>
      </c>
      <c r="L13">
        <v>3.9246740903780841</v>
      </c>
      <c r="M13">
        <v>20</v>
      </c>
      <c r="N13">
        <v>0.95834144190121151</v>
      </c>
      <c r="O13">
        <v>339.09089151168331</v>
      </c>
      <c r="P13" s="1">
        <f t="shared" si="0"/>
        <v>12.250555914359335</v>
      </c>
      <c r="Q13" s="1">
        <f t="shared" si="1"/>
        <v>1.8375833871539002</v>
      </c>
      <c r="R13" s="1">
        <f t="shared" si="2"/>
        <v>1.3555749286387309</v>
      </c>
      <c r="S13" s="1">
        <f t="shared" si="3"/>
        <v>-0.93138032941835813</v>
      </c>
      <c r="T13" s="56">
        <f t="shared" si="4"/>
        <v>0.17980926547537174</v>
      </c>
      <c r="V13" s="57" t="s">
        <v>112</v>
      </c>
      <c r="W13" s="58">
        <v>41</v>
      </c>
      <c r="Y13" s="53"/>
    </row>
    <row r="14" spans="1:27" hidden="1" x14ac:dyDescent="0.25">
      <c r="A14">
        <v>9.3191456316874532E-3</v>
      </c>
      <c r="B14">
        <v>-0.69877160058240406</v>
      </c>
      <c r="D14">
        <v>1.1441617039195218E-2</v>
      </c>
      <c r="E14">
        <v>-8.8974109110040445</v>
      </c>
      <c r="J14">
        <v>10</v>
      </c>
      <c r="K14">
        <v>-0.86236309471132699</v>
      </c>
      <c r="L14">
        <v>14.45242952348147</v>
      </c>
      <c r="M14">
        <v>20</v>
      </c>
      <c r="N14">
        <v>-1.4020924970736814</v>
      </c>
      <c r="O14">
        <v>160.49202175261533</v>
      </c>
      <c r="P14" s="1">
        <f t="shared" si="0"/>
        <v>6.2480161170034574</v>
      </c>
      <c r="Q14" s="1">
        <f t="shared" si="1"/>
        <v>0.93720241755051859</v>
      </c>
      <c r="R14" s="1">
        <f t="shared" si="2"/>
        <v>0.96809215343918509</v>
      </c>
      <c r="S14" s="1">
        <f t="shared" si="3"/>
        <v>0.5575186209752292</v>
      </c>
      <c r="T14" s="56">
        <f t="shared" si="4"/>
        <v>0.70919832576627662</v>
      </c>
      <c r="V14" s="57" t="s">
        <v>113</v>
      </c>
      <c r="W14" s="58">
        <v>30</v>
      </c>
      <c r="Y14" s="53"/>
    </row>
    <row r="15" spans="1:27" hidden="1" x14ac:dyDescent="0.25">
      <c r="A15">
        <v>9.7736651010108533E-3</v>
      </c>
      <c r="B15">
        <v>-0.58019168136524968</v>
      </c>
      <c r="D15">
        <v>1.3277425683413391E-2</v>
      </c>
      <c r="E15">
        <v>0.56127828088392562</v>
      </c>
      <c r="J15">
        <v>10</v>
      </c>
      <c r="K15">
        <v>-3.4696995498961769E-2</v>
      </c>
      <c r="L15">
        <v>5.2282765735254753</v>
      </c>
      <c r="M15">
        <v>20</v>
      </c>
      <c r="N15">
        <v>0.40754627775640984</v>
      </c>
      <c r="O15">
        <v>118.72819414564633</v>
      </c>
      <c r="P15" s="1">
        <f t="shared" si="0"/>
        <v>4.4270168113989934</v>
      </c>
      <c r="Q15" s="1">
        <f t="shared" si="1"/>
        <v>0.66405252170984896</v>
      </c>
      <c r="R15" s="1">
        <f t="shared" si="2"/>
        <v>0.81489417822797638</v>
      </c>
      <c r="S15" s="1">
        <f t="shared" si="3"/>
        <v>-0.54270024878205569</v>
      </c>
      <c r="T15" s="56">
        <f t="shared" si="4"/>
        <v>0.2958151176514483</v>
      </c>
      <c r="V15" s="57" t="s">
        <v>114</v>
      </c>
      <c r="W15" s="58">
        <v>21</v>
      </c>
      <c r="Y15" s="53"/>
    </row>
    <row r="16" spans="1:27" hidden="1" x14ac:dyDescent="0.25">
      <c r="A16">
        <v>1.0250434691838062E-2</v>
      </c>
      <c r="B16">
        <v>1.5658906704629771</v>
      </c>
      <c r="D16">
        <v>1.3424638030560598E-2</v>
      </c>
      <c r="E16">
        <v>0.61532614040515909</v>
      </c>
      <c r="J16">
        <v>10</v>
      </c>
      <c r="K16">
        <v>0.26557347609923454</v>
      </c>
      <c r="L16">
        <v>12.425157260457219</v>
      </c>
      <c r="M16">
        <v>20</v>
      </c>
      <c r="N16">
        <v>0.77972975645934639</v>
      </c>
      <c r="O16">
        <v>202.16994866253145</v>
      </c>
      <c r="P16" s="1">
        <f t="shared" si="0"/>
        <v>7.6641109258210234</v>
      </c>
      <c r="Q16" s="1">
        <f t="shared" si="1"/>
        <v>1.1496166388731535</v>
      </c>
      <c r="R16" s="1">
        <f t="shared" si="2"/>
        <v>1.072201771530505</v>
      </c>
      <c r="S16" s="1">
        <f t="shared" si="3"/>
        <v>-0.4795331382694733</v>
      </c>
      <c r="T16" s="56">
        <f t="shared" si="4"/>
        <v>0.3176419250151401</v>
      </c>
      <c r="V16" s="57" t="s">
        <v>115</v>
      </c>
      <c r="W16" s="58">
        <v>30</v>
      </c>
      <c r="Y16" s="53"/>
    </row>
    <row r="17" spans="1:25" hidden="1" x14ac:dyDescent="0.25">
      <c r="A17">
        <v>1.1029860155232996E-2</v>
      </c>
      <c r="B17">
        <v>0.36091705624130554</v>
      </c>
      <c r="D17">
        <v>1.4041441325365223E-2</v>
      </c>
      <c r="E17">
        <v>-5.2840248406482715</v>
      </c>
      <c r="J17">
        <v>10</v>
      </c>
      <c r="K17">
        <v>-0.20772597508766921</v>
      </c>
      <c r="L17">
        <v>8.8596790193582091</v>
      </c>
      <c r="M17">
        <v>20</v>
      </c>
      <c r="N17">
        <v>-1.2825047440401249</v>
      </c>
      <c r="O17">
        <v>227.58353375299893</v>
      </c>
      <c r="P17" s="1">
        <f t="shared" si="0"/>
        <v>8.444400456155611</v>
      </c>
      <c r="Q17" s="1">
        <f t="shared" si="1"/>
        <v>1.2666600684233416</v>
      </c>
      <c r="R17" s="1">
        <f t="shared" si="2"/>
        <v>1.1254599363919364</v>
      </c>
      <c r="S17" s="1">
        <f t="shared" si="3"/>
        <v>0.9549684837276774</v>
      </c>
      <c r="T17" s="56">
        <f t="shared" si="4"/>
        <v>0.82611686013124652</v>
      </c>
      <c r="V17" s="57" t="s">
        <v>116</v>
      </c>
      <c r="W17" s="58">
        <v>36</v>
      </c>
      <c r="Y17" s="53"/>
    </row>
    <row r="18" spans="1:25" hidden="1" x14ac:dyDescent="0.25">
      <c r="A18">
        <v>1.4161953346885747E-2</v>
      </c>
      <c r="B18">
        <v>0.3553702754288679</v>
      </c>
      <c r="D18">
        <v>1.6045226318596617E-2</v>
      </c>
      <c r="E18">
        <v>-1.576083153622676</v>
      </c>
      <c r="J18">
        <v>10</v>
      </c>
      <c r="K18">
        <v>0.49148616199090611</v>
      </c>
      <c r="L18">
        <v>6.8849003418455101</v>
      </c>
      <c r="M18">
        <v>20</v>
      </c>
      <c r="N18">
        <v>0.38958159734647779</v>
      </c>
      <c r="O18">
        <v>77.393020523751517</v>
      </c>
      <c r="P18" s="1">
        <f t="shared" si="0"/>
        <v>3.0099257451998938</v>
      </c>
      <c r="Q18" s="1">
        <f t="shared" si="1"/>
        <v>0.45148886177998404</v>
      </c>
      <c r="R18" s="1">
        <f t="shared" si="2"/>
        <v>0.67192920890521202</v>
      </c>
      <c r="S18" s="1">
        <f t="shared" si="3"/>
        <v>0.15165967380769696</v>
      </c>
      <c r="T18" s="56">
        <f t="shared" si="4"/>
        <v>0.55972858615657017</v>
      </c>
      <c r="V18" s="57" t="s">
        <v>117</v>
      </c>
      <c r="W18" s="58">
        <v>40</v>
      </c>
      <c r="Y18" s="53"/>
    </row>
    <row r="19" spans="1:25" hidden="1" x14ac:dyDescent="0.25">
      <c r="A19">
        <v>1.4716647743333922E-2</v>
      </c>
      <c r="B19">
        <v>1.4173633644531947</v>
      </c>
      <c r="D19">
        <v>1.6882704903424695E-2</v>
      </c>
      <c r="E19">
        <v>-1.30247417814644</v>
      </c>
      <c r="J19">
        <v>10</v>
      </c>
      <c r="K19">
        <v>0.22860319859319134</v>
      </c>
      <c r="L19">
        <v>7.7239200474546941</v>
      </c>
      <c r="M19">
        <v>20</v>
      </c>
      <c r="N19">
        <v>-0.20071979975000431</v>
      </c>
      <c r="O19">
        <v>61.931950322998745</v>
      </c>
      <c r="P19" s="1">
        <f t="shared" si="0"/>
        <v>2.4877096560876231</v>
      </c>
      <c r="Q19" s="1">
        <f t="shared" si="1"/>
        <v>0.37315644841314344</v>
      </c>
      <c r="R19" s="1">
        <f t="shared" si="2"/>
        <v>0.61086532755849177</v>
      </c>
      <c r="S19" s="1">
        <f t="shared" si="3"/>
        <v>0.70281120727397473</v>
      </c>
      <c r="T19" s="56">
        <f t="shared" si="4"/>
        <v>0.75601198291274518</v>
      </c>
      <c r="V19" s="57" t="s">
        <v>118</v>
      </c>
      <c r="W19" s="58">
        <v>28</v>
      </c>
      <c r="Y19" s="53"/>
    </row>
    <row r="20" spans="1:25" hidden="1" x14ac:dyDescent="0.25">
      <c r="A20">
        <v>1.5771675062656754E-2</v>
      </c>
      <c r="B20">
        <v>-0.6704374300170457</v>
      </c>
      <c r="D20">
        <v>1.9738709110209918E-2</v>
      </c>
      <c r="E20">
        <v>-2.4465036892706848</v>
      </c>
      <c r="J20">
        <v>10</v>
      </c>
      <c r="K20">
        <v>-0.8363681445189286</v>
      </c>
      <c r="L20">
        <v>5.8221076092337665</v>
      </c>
      <c r="M20">
        <v>20</v>
      </c>
      <c r="N20">
        <v>0.37527155086536368</v>
      </c>
      <c r="O20">
        <v>207.37012021345652</v>
      </c>
      <c r="P20" s="1">
        <f t="shared" si="0"/>
        <v>7.614008136524653</v>
      </c>
      <c r="Q20" s="1">
        <f t="shared" si="1"/>
        <v>1.142101220478698</v>
      </c>
      <c r="R20" s="1">
        <f t="shared" si="2"/>
        <v>1.0686913588490823</v>
      </c>
      <c r="S20" s="1">
        <f t="shared" si="3"/>
        <v>-1.1337601687817116</v>
      </c>
      <c r="T20" s="56">
        <f t="shared" si="4"/>
        <v>0.13325470346064769</v>
      </c>
      <c r="V20" s="57" t="s">
        <v>119</v>
      </c>
      <c r="W20" s="58">
        <v>28</v>
      </c>
      <c r="Y20" s="53"/>
    </row>
    <row r="21" spans="1:25" hidden="1" x14ac:dyDescent="0.25">
      <c r="A21">
        <v>1.637578671302109E-2</v>
      </c>
      <c r="B21">
        <v>1.4867191566736437</v>
      </c>
      <c r="D21">
        <v>2.0004821967351205E-2</v>
      </c>
      <c r="E21">
        <v>-2.7059313686095265</v>
      </c>
      <c r="J21">
        <v>10</v>
      </c>
      <c r="K21">
        <v>-0.12926011550007388</v>
      </c>
      <c r="L21">
        <v>2.7305150768833037</v>
      </c>
      <c r="M21">
        <v>20</v>
      </c>
      <c r="N21">
        <v>9.8116910294265836E-2</v>
      </c>
      <c r="O21">
        <v>126.57588971662113</v>
      </c>
      <c r="P21" s="1">
        <f t="shared" si="0"/>
        <v>4.6180858854823015</v>
      </c>
      <c r="Q21" s="1">
        <f t="shared" si="1"/>
        <v>0.69271288282234522</v>
      </c>
      <c r="R21" s="1">
        <f t="shared" si="2"/>
        <v>0.83229374791737154</v>
      </c>
      <c r="S21" s="1">
        <f t="shared" si="3"/>
        <v>-0.27319324020311309</v>
      </c>
      <c r="T21" s="56">
        <f t="shared" si="4"/>
        <v>0.39335482549085243</v>
      </c>
      <c r="V21" s="57" t="s">
        <v>120</v>
      </c>
      <c r="W21" s="58">
        <v>40</v>
      </c>
      <c r="Y21" s="53"/>
    </row>
    <row r="22" spans="1:25" hidden="1" x14ac:dyDescent="0.25">
      <c r="A22">
        <v>1.7203369149454528E-2</v>
      </c>
      <c r="B22">
        <v>0.15565092326141894</v>
      </c>
      <c r="D22">
        <v>2.133443334882823E-2</v>
      </c>
      <c r="E22">
        <v>2.2153740212615958</v>
      </c>
      <c r="J22">
        <v>10</v>
      </c>
      <c r="K22">
        <v>0.4946864464727696</v>
      </c>
      <c r="L22">
        <v>11.43510538273236</v>
      </c>
      <c r="M22">
        <v>20</v>
      </c>
      <c r="N22">
        <v>0.25078207613660197</v>
      </c>
      <c r="O22">
        <v>160.77575739074797</v>
      </c>
      <c r="P22" s="1">
        <f t="shared" si="0"/>
        <v>6.1503879561957264</v>
      </c>
      <c r="Q22" s="1">
        <f t="shared" si="1"/>
        <v>0.92255819342935896</v>
      </c>
      <c r="R22" s="1">
        <f t="shared" si="2"/>
        <v>0.96049892942645121</v>
      </c>
      <c r="S22" s="1">
        <f t="shared" si="3"/>
        <v>0.25393507776402396</v>
      </c>
      <c r="T22" s="56">
        <f t="shared" si="4"/>
        <v>0.59929939379806119</v>
      </c>
      <c r="V22" s="57" t="s">
        <v>121</v>
      </c>
      <c r="W22" s="58">
        <v>35</v>
      </c>
      <c r="Y22" s="53"/>
    </row>
    <row r="23" spans="1:25" hidden="1" x14ac:dyDescent="0.25">
      <c r="A23">
        <v>1.7566520130921304E-2</v>
      </c>
      <c r="B23">
        <v>-0.95807990874163806</v>
      </c>
      <c r="D23">
        <v>2.302057940282809E-2</v>
      </c>
      <c r="E23">
        <v>4.0405150195965689</v>
      </c>
      <c r="J23">
        <v>10</v>
      </c>
      <c r="K23">
        <v>0.10141593520529568</v>
      </c>
      <c r="L23">
        <v>4.5505307786930773</v>
      </c>
      <c r="M23">
        <v>20</v>
      </c>
      <c r="N23">
        <v>-0.3682603198740253</v>
      </c>
      <c r="O23">
        <v>289.3478553663827</v>
      </c>
      <c r="P23" s="1">
        <f t="shared" si="0"/>
        <v>10.496370933752706</v>
      </c>
      <c r="Q23" s="1">
        <f t="shared" si="1"/>
        <v>1.5744556400629059</v>
      </c>
      <c r="R23" s="1">
        <f t="shared" si="2"/>
        <v>1.2547731428680269</v>
      </c>
      <c r="S23" s="1">
        <f t="shared" si="3"/>
        <v>0.37431168952643107</v>
      </c>
      <c r="T23" s="56">
        <f t="shared" si="4"/>
        <v>0.64450386177974139</v>
      </c>
      <c r="V23" s="57" t="s">
        <v>122</v>
      </c>
      <c r="W23" s="58">
        <v>27</v>
      </c>
      <c r="Y23" s="53"/>
    </row>
    <row r="24" spans="1:25" hidden="1" x14ac:dyDescent="0.25">
      <c r="A24">
        <v>1.7962319358671985E-2</v>
      </c>
      <c r="B24">
        <v>1.3681346899829805</v>
      </c>
      <c r="D24">
        <v>2.4530972910167592E-2</v>
      </c>
      <c r="E24">
        <v>0.39052292436281277</v>
      </c>
      <c r="J24">
        <v>10</v>
      </c>
      <c r="K24">
        <v>-0.35747200399782741</v>
      </c>
      <c r="L24">
        <v>4.8069870647177124</v>
      </c>
      <c r="M24">
        <v>20</v>
      </c>
      <c r="N24">
        <v>-0.52594930707527965</v>
      </c>
      <c r="O24">
        <v>268.57254921981718</v>
      </c>
      <c r="P24" s="1">
        <f t="shared" si="0"/>
        <v>9.7635548673048174</v>
      </c>
      <c r="Q24" s="1">
        <f t="shared" si="1"/>
        <v>1.4645332300957226</v>
      </c>
      <c r="R24" s="1">
        <f t="shared" si="2"/>
        <v>1.2101790074595256</v>
      </c>
      <c r="S24" s="1">
        <f t="shared" si="3"/>
        <v>0.13921684481300753</v>
      </c>
      <c r="T24" s="56">
        <f t="shared" si="4"/>
        <v>0.55486233909834981</v>
      </c>
      <c r="V24" s="57" t="s">
        <v>123</v>
      </c>
      <c r="W24" s="58">
        <v>28</v>
      </c>
      <c r="Y24" s="53"/>
    </row>
    <row r="25" spans="1:25" hidden="1" x14ac:dyDescent="0.25">
      <c r="A25">
        <v>1.8141544863900405E-2</v>
      </c>
      <c r="B25">
        <v>-2.0317747839726508</v>
      </c>
      <c r="D25">
        <v>2.457206965748826E-2</v>
      </c>
      <c r="E25">
        <v>2.2718297680057731</v>
      </c>
      <c r="J25">
        <v>10</v>
      </c>
      <c r="K25">
        <v>0.63067977862374391</v>
      </c>
      <c r="L25">
        <v>7.0410608015921676</v>
      </c>
      <c r="M25">
        <v>20</v>
      </c>
      <c r="N25">
        <v>-8.3855244383812533E-2</v>
      </c>
      <c r="O25">
        <v>112.78020330662839</v>
      </c>
      <c r="P25" s="1">
        <f t="shared" si="0"/>
        <v>4.2793308610078773</v>
      </c>
      <c r="Q25" s="1">
        <f t="shared" si="1"/>
        <v>0.64189962915118159</v>
      </c>
      <c r="R25" s="1">
        <f t="shared" si="2"/>
        <v>0.80118638852091195</v>
      </c>
      <c r="S25" s="1">
        <f t="shared" si="3"/>
        <v>0.89184618366604484</v>
      </c>
      <c r="T25" s="56">
        <f t="shared" si="4"/>
        <v>0.80996204854105058</v>
      </c>
      <c r="V25" s="57" t="s">
        <v>124</v>
      </c>
      <c r="W25" s="58">
        <v>31</v>
      </c>
      <c r="Y25" s="53"/>
    </row>
    <row r="26" spans="1:25" hidden="1" x14ac:dyDescent="0.25">
      <c r="A26">
        <v>2.0122527780892296E-2</v>
      </c>
      <c r="B26">
        <v>-4.5723709263256751E-2</v>
      </c>
      <c r="D26">
        <v>2.5814427720589506E-2</v>
      </c>
      <c r="E26">
        <v>0.8965271229044447</v>
      </c>
      <c r="J26">
        <v>10</v>
      </c>
      <c r="K26">
        <v>-0.17060960999515373</v>
      </c>
      <c r="L26">
        <v>5.5359097383800844</v>
      </c>
      <c r="M26">
        <v>20</v>
      </c>
      <c r="N26">
        <v>-0.43636720533868356</v>
      </c>
      <c r="O26">
        <v>154.30919612816146</v>
      </c>
      <c r="P26" s="1">
        <f t="shared" si="0"/>
        <v>5.7087537809479114</v>
      </c>
      <c r="Q26" s="1">
        <f t="shared" si="1"/>
        <v>0.85631306714218669</v>
      </c>
      <c r="R26" s="1">
        <f t="shared" si="2"/>
        <v>0.92537185344173223</v>
      </c>
      <c r="S26" s="1">
        <f t="shared" si="3"/>
        <v>0.28719005700800015</v>
      </c>
      <c r="T26" s="56">
        <f t="shared" si="4"/>
        <v>0.6119592460795138</v>
      </c>
      <c r="V26" s="57" t="s">
        <v>125</v>
      </c>
      <c r="W26" s="58">
        <v>33</v>
      </c>
      <c r="Y26" s="53"/>
    </row>
    <row r="27" spans="1:25" hidden="1" x14ac:dyDescent="0.25">
      <c r="A27">
        <v>2.0732758245846306E-2</v>
      </c>
      <c r="B27">
        <v>1.0384064808022231</v>
      </c>
      <c r="D27">
        <v>2.7913770096630541E-2</v>
      </c>
      <c r="E27">
        <v>10.626529953015051</v>
      </c>
      <c r="J27">
        <v>10</v>
      </c>
      <c r="K27">
        <v>-0.1150215211964678</v>
      </c>
      <c r="L27">
        <v>7.6998733524897389</v>
      </c>
      <c r="M27">
        <v>20</v>
      </c>
      <c r="N27">
        <v>0.34187081269010378</v>
      </c>
      <c r="O27">
        <v>164.43682629561175</v>
      </c>
      <c r="P27" s="1">
        <f t="shared" si="0"/>
        <v>6.1477392731464819</v>
      </c>
      <c r="Q27" s="1">
        <f t="shared" si="1"/>
        <v>0.92216089097197229</v>
      </c>
      <c r="R27" s="1">
        <f t="shared" si="2"/>
        <v>0.96029208627998819</v>
      </c>
      <c r="S27" s="1">
        <f t="shared" si="3"/>
        <v>-0.47578475384140306</v>
      </c>
      <c r="T27" s="56">
        <f t="shared" si="4"/>
        <v>0.31895948926821049</v>
      </c>
      <c r="V27" s="57" t="s">
        <v>126</v>
      </c>
      <c r="W27" s="58">
        <v>28</v>
      </c>
      <c r="Y27" s="53"/>
    </row>
    <row r="28" spans="1:25" hidden="1" x14ac:dyDescent="0.25">
      <c r="A28">
        <v>2.0757743639699178E-2</v>
      </c>
      <c r="B28">
        <v>-0.26670477382140234</v>
      </c>
      <c r="D28">
        <v>2.8115213260555327E-2</v>
      </c>
      <c r="E28">
        <v>2.3722720891328208</v>
      </c>
      <c r="J28">
        <v>10</v>
      </c>
      <c r="K28">
        <v>0.31975764613889623</v>
      </c>
      <c r="L28">
        <v>11.153882582665105</v>
      </c>
      <c r="M28">
        <v>20</v>
      </c>
      <c r="N28">
        <v>1.6146960285823297</v>
      </c>
      <c r="O28">
        <v>209.43850676630831</v>
      </c>
      <c r="P28" s="1">
        <f t="shared" si="0"/>
        <v>7.8782996196061941</v>
      </c>
      <c r="Q28" s="1">
        <f t="shared" si="1"/>
        <v>1.181744942940929</v>
      </c>
      <c r="R28" s="1">
        <f t="shared" si="2"/>
        <v>1.0870809275030673</v>
      </c>
      <c r="S28" s="1">
        <f t="shared" si="3"/>
        <v>-1.1912069742754086</v>
      </c>
      <c r="T28" s="56">
        <f t="shared" si="4"/>
        <v>0.12178625289322068</v>
      </c>
      <c r="V28" s="57" t="s">
        <v>127</v>
      </c>
      <c r="W28" s="58">
        <v>41</v>
      </c>
      <c r="Y28" s="53"/>
    </row>
    <row r="29" spans="1:25" hidden="1" x14ac:dyDescent="0.25">
      <c r="A29">
        <v>2.0983590275370556E-2</v>
      </c>
      <c r="B29">
        <v>-0.53824010137759615</v>
      </c>
      <c r="D29">
        <v>2.9362851255605005E-2</v>
      </c>
      <c r="E29">
        <v>0.51281017135806906</v>
      </c>
      <c r="J29">
        <v>10</v>
      </c>
      <c r="K29">
        <v>5.304843853082275E-2</v>
      </c>
      <c r="L29">
        <v>4.4640942592556998</v>
      </c>
      <c r="M29">
        <v>20</v>
      </c>
      <c r="N29">
        <v>0.44421488723855873</v>
      </c>
      <c r="O29">
        <v>254.34167950331087</v>
      </c>
      <c r="P29" s="1">
        <f t="shared" si="0"/>
        <v>9.2430633486630907</v>
      </c>
      <c r="Q29" s="1">
        <f t="shared" si="1"/>
        <v>1.3864595022994635</v>
      </c>
      <c r="R29" s="1">
        <f t="shared" si="2"/>
        <v>1.1774801494290523</v>
      </c>
      <c r="S29" s="1">
        <f t="shared" si="3"/>
        <v>-0.33220640611003799</v>
      </c>
      <c r="T29" s="56">
        <f t="shared" si="4"/>
        <v>0.37110379339684529</v>
      </c>
      <c r="V29" s="57" t="s">
        <v>128</v>
      </c>
      <c r="W29" s="58">
        <v>22</v>
      </c>
      <c r="Y29" s="53"/>
    </row>
    <row r="30" spans="1:25" hidden="1" x14ac:dyDescent="0.25">
      <c r="A30">
        <v>2.1127120562206891E-2</v>
      </c>
      <c r="B30">
        <v>-1.1786619324993808</v>
      </c>
      <c r="D30">
        <v>3.466270411548511E-2</v>
      </c>
      <c r="E30">
        <v>-1.0388105272340908</v>
      </c>
      <c r="J30">
        <v>10</v>
      </c>
      <c r="K30">
        <v>4.1681005313876085E-2</v>
      </c>
      <c r="L30">
        <v>7.2077992071348103</v>
      </c>
      <c r="M30">
        <v>20</v>
      </c>
      <c r="N30">
        <v>-1.5546475003702653</v>
      </c>
      <c r="O30">
        <v>147.52157498378179</v>
      </c>
      <c r="P30" s="1">
        <f t="shared" si="0"/>
        <v>5.5260490782470209</v>
      </c>
      <c r="Q30" s="1">
        <f t="shared" si="1"/>
        <v>0.82890736173705315</v>
      </c>
      <c r="R30" s="1">
        <f t="shared" si="2"/>
        <v>0.91044349727869067</v>
      </c>
      <c r="S30" s="1">
        <f t="shared" si="3"/>
        <v>1.7533526357819638</v>
      </c>
      <c r="T30" s="56">
        <f t="shared" si="4"/>
        <v>0.95475776631858666</v>
      </c>
      <c r="V30" s="57" t="s">
        <v>129</v>
      </c>
      <c r="W30" s="58">
        <v>29</v>
      </c>
      <c r="Y30" s="53"/>
    </row>
    <row r="31" spans="1:25" hidden="1" x14ac:dyDescent="0.25">
      <c r="A31">
        <v>2.313193157300919E-2</v>
      </c>
      <c r="B31">
        <v>1.5979685485945083</v>
      </c>
      <c r="D31">
        <v>3.5962433470948074E-2</v>
      </c>
      <c r="E31">
        <v>-1.1263334761224542</v>
      </c>
      <c r="J31">
        <v>10</v>
      </c>
      <c r="K31">
        <v>-0.50303879106650129</v>
      </c>
      <c r="L31">
        <v>6.9386803281379912</v>
      </c>
      <c r="M31">
        <v>20</v>
      </c>
      <c r="N31">
        <v>-0.36993697335674369</v>
      </c>
      <c r="O31">
        <v>353.63449956476421</v>
      </c>
      <c r="P31" s="1">
        <f t="shared" si="0"/>
        <v>12.87761356760365</v>
      </c>
      <c r="Q31" s="1">
        <f t="shared" si="1"/>
        <v>1.9316420351405474</v>
      </c>
      <c r="R31" s="1">
        <f t="shared" si="2"/>
        <v>1.3898352546760884</v>
      </c>
      <c r="S31" s="1">
        <f t="shared" si="3"/>
        <v>-9.5768053991966112E-2</v>
      </c>
      <c r="T31" s="56">
        <f t="shared" si="4"/>
        <v>0.46219346645662346</v>
      </c>
      <c r="V31" s="57" t="s">
        <v>130</v>
      </c>
      <c r="W31" s="58">
        <v>33</v>
      </c>
      <c r="Y31" s="53"/>
    </row>
    <row r="32" spans="1:25" x14ac:dyDescent="0.25">
      <c r="A32">
        <v>2.6010548939051303E-2</v>
      </c>
      <c r="B32">
        <v>-0.41803104977589101</v>
      </c>
      <c r="D32">
        <v>3.6082252480169497E-2</v>
      </c>
      <c r="E32">
        <v>-3.4192423788681481</v>
      </c>
      <c r="J32">
        <v>10</v>
      </c>
      <c r="K32">
        <v>-6.1277546592464205E-2</v>
      </c>
      <c r="L32">
        <v>12.104185602923103</v>
      </c>
      <c r="M32">
        <v>20</v>
      </c>
      <c r="N32">
        <v>-0.36024727364747378</v>
      </c>
      <c r="O32">
        <v>95.291597116706541</v>
      </c>
      <c r="P32" s="1">
        <f t="shared" si="0"/>
        <v>3.8355636685582013</v>
      </c>
      <c r="Q32" s="1">
        <f t="shared" si="1"/>
        <v>0.57533455028373015</v>
      </c>
      <c r="R32" s="1">
        <f t="shared" si="2"/>
        <v>0.75850810825180381</v>
      </c>
      <c r="S32" s="1">
        <f t="shared" si="3"/>
        <v>0.39415495207305001</v>
      </c>
      <c r="T32" s="56">
        <f t="shared" si="4"/>
        <v>0.6517736855758105</v>
      </c>
      <c r="V32" s="57" t="s">
        <v>131</v>
      </c>
      <c r="W32" s="58">
        <v>27</v>
      </c>
      <c r="Y32" s="53" t="s">
        <v>132</v>
      </c>
    </row>
    <row r="33" spans="1:25" x14ac:dyDescent="0.25">
      <c r="A33">
        <v>2.7104289301528195E-2</v>
      </c>
      <c r="B33">
        <v>-0.72101329351426102</v>
      </c>
      <c r="D33">
        <v>4.0594366243546842E-2</v>
      </c>
      <c r="E33">
        <v>0.40956774341793789</v>
      </c>
      <c r="J33">
        <v>10</v>
      </c>
      <c r="K33">
        <v>8.7187459030246828E-2</v>
      </c>
      <c r="L33">
        <v>8.1514020753866188</v>
      </c>
      <c r="M33">
        <v>20</v>
      </c>
      <c r="N33">
        <v>-0.26879172651206318</v>
      </c>
      <c r="O33">
        <v>170.60915910135824</v>
      </c>
      <c r="P33" s="1">
        <f t="shared" si="0"/>
        <v>6.3843057563123162</v>
      </c>
      <c r="Q33" s="1">
        <f t="shared" si="1"/>
        <v>0.95764586344684743</v>
      </c>
      <c r="R33" s="1">
        <f t="shared" si="2"/>
        <v>0.97859381944034751</v>
      </c>
      <c r="S33" s="1">
        <f t="shared" si="3"/>
        <v>0.3637660267933151</v>
      </c>
      <c r="T33" s="56">
        <f t="shared" si="4"/>
        <v>0.64061743738054122</v>
      </c>
      <c r="V33" s="57" t="s">
        <v>133</v>
      </c>
      <c r="W33" s="58">
        <v>27</v>
      </c>
      <c r="Y33" s="53"/>
    </row>
    <row r="34" spans="1:25" x14ac:dyDescent="0.25">
      <c r="A34">
        <v>2.8007778686399254E-2</v>
      </c>
      <c r="B34">
        <v>-0.44811145016865339</v>
      </c>
      <c r="D34">
        <v>4.1955838535913781E-2</v>
      </c>
      <c r="E34">
        <v>-0.1946277768638538</v>
      </c>
      <c r="J34">
        <v>10</v>
      </c>
      <c r="K34">
        <v>-0.29986813387949951</v>
      </c>
      <c r="L34">
        <v>12.882514801025629</v>
      </c>
      <c r="M34">
        <v>20</v>
      </c>
      <c r="N34">
        <v>7.3801683129204321E-2</v>
      </c>
      <c r="O34">
        <v>102.83730003516995</v>
      </c>
      <c r="P34" s="1">
        <f t="shared" si="0"/>
        <v>4.132850529864128</v>
      </c>
      <c r="Q34" s="1">
        <f t="shared" si="1"/>
        <v>0.61992757947961918</v>
      </c>
      <c r="R34" s="1">
        <f t="shared" si="2"/>
        <v>0.7873547989817673</v>
      </c>
      <c r="S34" s="1">
        <f t="shared" si="3"/>
        <v>-0.47458886069145156</v>
      </c>
      <c r="T34" s="56">
        <f t="shared" si="4"/>
        <v>0.31938035711234847</v>
      </c>
      <c r="V34" s="57" t="s">
        <v>134</v>
      </c>
      <c r="W34" s="58">
        <v>26</v>
      </c>
    </row>
    <row r="35" spans="1:25" x14ac:dyDescent="0.25">
      <c r="A35">
        <v>2.9062445380612534E-2</v>
      </c>
      <c r="B35">
        <v>0.32046045816969126</v>
      </c>
      <c r="D35">
        <v>4.3990737716473216E-2</v>
      </c>
      <c r="E35">
        <v>-0.80801487797543814</v>
      </c>
      <c r="J35">
        <v>10</v>
      </c>
      <c r="K35">
        <v>0.15253488072630716</v>
      </c>
      <c r="L35">
        <v>13.288797501041065</v>
      </c>
      <c r="M35">
        <v>20</v>
      </c>
      <c r="N35">
        <v>0.72794926722963282</v>
      </c>
      <c r="O35">
        <v>193.7506280606984</v>
      </c>
      <c r="P35" s="1">
        <f t="shared" si="0"/>
        <v>7.394265198633553</v>
      </c>
      <c r="Q35" s="1">
        <f t="shared" si="1"/>
        <v>1.1091397797950329</v>
      </c>
      <c r="R35" s="1">
        <f t="shared" si="2"/>
        <v>1.0531570537175512</v>
      </c>
      <c r="S35" s="1">
        <f t="shared" si="3"/>
        <v>-0.5463709182520915</v>
      </c>
      <c r="T35" s="56">
        <f t="shared" si="4"/>
        <v>0.29456933825584397</v>
      </c>
      <c r="V35" s="57" t="s">
        <v>135</v>
      </c>
      <c r="W35" s="58">
        <v>12</v>
      </c>
    </row>
    <row r="36" spans="1:25" x14ac:dyDescent="0.25">
      <c r="A36">
        <v>2.9338126096190686E-2</v>
      </c>
      <c r="B36">
        <v>0.13400494935922325</v>
      </c>
      <c r="D36">
        <v>4.4493123974543081E-2</v>
      </c>
      <c r="E36">
        <v>-4.326026786429793</v>
      </c>
      <c r="J36">
        <v>10</v>
      </c>
      <c r="K36">
        <v>5.6105591283994727E-2</v>
      </c>
      <c r="L36">
        <v>10.240859946373428</v>
      </c>
      <c r="M36">
        <v>20</v>
      </c>
      <c r="N36">
        <v>-0.10253035384266695</v>
      </c>
      <c r="O36">
        <v>110.90249050520535</v>
      </c>
      <c r="P36" s="1">
        <f t="shared" si="0"/>
        <v>4.3265482304135281</v>
      </c>
      <c r="Q36" s="1">
        <f t="shared" si="1"/>
        <v>0.64898223456202919</v>
      </c>
      <c r="R36" s="1">
        <f t="shared" si="2"/>
        <v>0.80559433622762588</v>
      </c>
      <c r="S36" s="1">
        <f t="shared" si="3"/>
        <v>0.19691790022942524</v>
      </c>
      <c r="T36" s="56">
        <f t="shared" si="4"/>
        <v>0.57734289742778555</v>
      </c>
      <c r="V36" s="57" t="s">
        <v>136</v>
      </c>
      <c r="W36" s="58">
        <v>21</v>
      </c>
    </row>
    <row r="37" spans="1:25" x14ac:dyDescent="0.25">
      <c r="A37">
        <v>2.9389382201515324E-2</v>
      </c>
      <c r="B37">
        <v>-0.33191781767527573</v>
      </c>
      <c r="D37">
        <v>4.540835657317488E-2</v>
      </c>
      <c r="E37">
        <v>3.711725863695392</v>
      </c>
      <c r="J37">
        <v>10</v>
      </c>
      <c r="K37">
        <v>-0.12492512269091094</v>
      </c>
      <c r="L37">
        <v>6.9580562571141362</v>
      </c>
      <c r="M37">
        <v>20</v>
      </c>
      <c r="N37">
        <v>0.75020414783466549</v>
      </c>
      <c r="O37">
        <v>129.02848015524873</v>
      </c>
      <c r="P37" s="1">
        <f t="shared" si="0"/>
        <v>4.8566620147272443</v>
      </c>
      <c r="Q37" s="1">
        <f t="shared" si="1"/>
        <v>0.72849930220908665</v>
      </c>
      <c r="R37" s="1">
        <f t="shared" si="2"/>
        <v>0.85352170576329611</v>
      </c>
      <c r="S37" s="1">
        <f t="shared" si="3"/>
        <v>-1.0253157765249297</v>
      </c>
      <c r="T37" s="56">
        <f t="shared" si="4"/>
        <v>0.15699557454248486</v>
      </c>
      <c r="V37" s="57" t="s">
        <v>137</v>
      </c>
      <c r="W37" s="58">
        <v>16</v>
      </c>
    </row>
    <row r="38" spans="1:25" x14ac:dyDescent="0.25">
      <c r="A38">
        <v>2.9676792473113722E-2</v>
      </c>
      <c r="B38">
        <v>1.2996179066249169</v>
      </c>
      <c r="D38">
        <v>4.5481012944446064E-2</v>
      </c>
      <c r="E38">
        <v>-0.65274707935714105</v>
      </c>
      <c r="J38">
        <v>10</v>
      </c>
      <c r="K38">
        <v>-0.62329581851372495</v>
      </c>
      <c r="L38">
        <v>4.1542719581527425</v>
      </c>
      <c r="M38">
        <v>20</v>
      </c>
      <c r="N38">
        <v>-6.89768205575092E-2</v>
      </c>
      <c r="O38">
        <v>126.23170535576057</v>
      </c>
      <c r="P38" s="1">
        <f t="shared" si="0"/>
        <v>4.6566420469254757</v>
      </c>
      <c r="Q38" s="1">
        <f t="shared" si="1"/>
        <v>0.69849630703882137</v>
      </c>
      <c r="R38" s="1">
        <f t="shared" si="2"/>
        <v>0.8357609149983154</v>
      </c>
      <c r="S38" s="1">
        <f t="shared" si="3"/>
        <v>-0.66325068330975145</v>
      </c>
      <c r="T38" s="56">
        <f t="shared" si="4"/>
        <v>0.25629698318636673</v>
      </c>
      <c r="V38" s="57" t="s">
        <v>138</v>
      </c>
      <c r="W38" s="58">
        <v>15</v>
      </c>
    </row>
    <row r="39" spans="1:25" x14ac:dyDescent="0.25">
      <c r="A39">
        <v>3.1876574489810849E-2</v>
      </c>
      <c r="B39">
        <v>-0.81088501246995293</v>
      </c>
      <c r="D39">
        <v>4.6645682737985417E-2</v>
      </c>
      <c r="E39">
        <v>-2.0198028812501434</v>
      </c>
      <c r="J39">
        <v>10</v>
      </c>
      <c r="K39">
        <v>-0.111461986307404</v>
      </c>
      <c r="L39">
        <v>6.7404514543544938</v>
      </c>
      <c r="M39">
        <v>20</v>
      </c>
      <c r="N39">
        <v>0.27071024192082405</v>
      </c>
      <c r="O39">
        <v>129.4636245648031</v>
      </c>
      <c r="P39" s="1">
        <f t="shared" si="0"/>
        <v>4.8644312863984851</v>
      </c>
      <c r="Q39" s="1">
        <f t="shared" si="1"/>
        <v>0.72966469295977276</v>
      </c>
      <c r="R39" s="1">
        <f t="shared" si="2"/>
        <v>0.85420412839073356</v>
      </c>
      <c r="S39" s="1">
        <f t="shared" si="3"/>
        <v>-0.44740152327315053</v>
      </c>
      <c r="T39" s="56">
        <f t="shared" si="4"/>
        <v>0.3290136410241723</v>
      </c>
      <c r="V39" s="57" t="s">
        <v>139</v>
      </c>
      <c r="W39" s="58">
        <v>19</v>
      </c>
    </row>
    <row r="40" spans="1:25" x14ac:dyDescent="0.25">
      <c r="A40">
        <v>3.2296726053704261E-2</v>
      </c>
      <c r="B40">
        <v>8.3672375694732182E-2</v>
      </c>
      <c r="D40">
        <v>4.9115343501164754E-2</v>
      </c>
      <c r="E40">
        <v>0.94132542130864749</v>
      </c>
      <c r="J40">
        <v>10</v>
      </c>
      <c r="K40">
        <v>0.25455665308982134</v>
      </c>
      <c r="L40">
        <v>5.1866259608307894</v>
      </c>
      <c r="M40">
        <v>20</v>
      </c>
      <c r="N40">
        <v>-0.55062759315660514</v>
      </c>
      <c r="O40">
        <v>138.61670364375598</v>
      </c>
      <c r="P40" s="1">
        <f t="shared" si="0"/>
        <v>5.1358332001638134</v>
      </c>
      <c r="Q40" s="1">
        <f t="shared" si="1"/>
        <v>0.77037498002457194</v>
      </c>
      <c r="R40" s="1">
        <f t="shared" si="2"/>
        <v>0.87771007743136453</v>
      </c>
      <c r="S40" s="1">
        <f t="shared" si="3"/>
        <v>0.91736926229993132</v>
      </c>
      <c r="T40" s="56">
        <f t="shared" si="4"/>
        <v>0.81660807174538785</v>
      </c>
      <c r="V40" s="57" t="s">
        <v>140</v>
      </c>
      <c r="W40" s="58">
        <v>8</v>
      </c>
    </row>
    <row r="41" spans="1:25" x14ac:dyDescent="0.25">
      <c r="A41">
        <v>3.2602817269712925E-2</v>
      </c>
      <c r="B41">
        <v>0.62356320995604619</v>
      </c>
      <c r="D41">
        <v>5.0271560421679129E-2</v>
      </c>
      <c r="E41">
        <v>1.1343213338932401</v>
      </c>
      <c r="J41">
        <v>10</v>
      </c>
      <c r="K41">
        <v>0.33515686936880229</v>
      </c>
      <c r="L41">
        <v>5.2736487590301175</v>
      </c>
      <c r="M41">
        <v>20</v>
      </c>
      <c r="N41">
        <v>1.1353402521763201</v>
      </c>
      <c r="O41">
        <v>162.88562484898708</v>
      </c>
      <c r="P41" s="1">
        <f t="shared" si="0"/>
        <v>6.0056883431434711</v>
      </c>
      <c r="Q41" s="1">
        <f t="shared" si="1"/>
        <v>0.90085325147152062</v>
      </c>
      <c r="R41" s="1">
        <f t="shared" si="2"/>
        <v>0.9491328945261146</v>
      </c>
      <c r="S41" s="1">
        <f t="shared" si="3"/>
        <v>-0.84306780159277406</v>
      </c>
      <c r="T41" s="56">
        <f t="shared" si="4"/>
        <v>0.20316755327683289</v>
      </c>
      <c r="V41" s="57" t="s">
        <v>141</v>
      </c>
      <c r="W41" s="58">
        <v>2</v>
      </c>
    </row>
    <row r="42" spans="1:25" x14ac:dyDescent="0.25">
      <c r="A42">
        <v>3.5127900635717912E-2</v>
      </c>
      <c r="B42">
        <v>0.17519369066576473</v>
      </c>
      <c r="D42">
        <v>5.0875512481481144E-2</v>
      </c>
      <c r="E42">
        <v>-1.6027233903059823</v>
      </c>
      <c r="J42">
        <v>10</v>
      </c>
      <c r="K42">
        <v>0.17514548744657077</v>
      </c>
      <c r="L42">
        <v>8.5472204251597272</v>
      </c>
      <c r="M42">
        <v>20</v>
      </c>
      <c r="N42">
        <v>0.37593508409372589</v>
      </c>
      <c r="O42">
        <v>223.27695648199906</v>
      </c>
      <c r="P42" s="1">
        <f t="shared" si="0"/>
        <v>8.2794348895413865</v>
      </c>
      <c r="Q42" s="1">
        <f t="shared" si="1"/>
        <v>1.241915233431208</v>
      </c>
      <c r="R42" s="1">
        <f t="shared" si="2"/>
        <v>1.1144125059560341</v>
      </c>
      <c r="S42" s="1">
        <f t="shared" si="3"/>
        <v>-0.18017529018565831</v>
      </c>
      <c r="T42" s="56">
        <f t="shared" si="4"/>
        <v>0.42915632213817212</v>
      </c>
      <c r="V42" s="57" t="s">
        <v>142</v>
      </c>
      <c r="W42" s="58">
        <v>1000</v>
      </c>
    </row>
    <row r="43" spans="1:25" x14ac:dyDescent="0.25">
      <c r="A43">
        <v>3.547280094187244E-2</v>
      </c>
      <c r="B43">
        <v>0.84964995039626956</v>
      </c>
      <c r="D43">
        <v>5.1140663510877538E-2</v>
      </c>
      <c r="E43">
        <v>-6.6499585534529615</v>
      </c>
      <c r="J43">
        <v>10</v>
      </c>
      <c r="K43">
        <v>0.13975341062177904</v>
      </c>
      <c r="L43">
        <v>8.2131768112151349</v>
      </c>
      <c r="M43">
        <v>20</v>
      </c>
      <c r="N43">
        <v>-1.015282808793927</v>
      </c>
      <c r="O43">
        <v>215.27609643985991</v>
      </c>
      <c r="P43" s="1">
        <f t="shared" si="0"/>
        <v>7.981759758966966</v>
      </c>
      <c r="Q43" s="1">
        <f t="shared" si="1"/>
        <v>1.1972639638450449</v>
      </c>
      <c r="R43" s="1">
        <f t="shared" si="2"/>
        <v>1.0941955784251025</v>
      </c>
      <c r="S43" s="1">
        <f t="shared" si="3"/>
        <v>1.0556030769912017</v>
      </c>
      <c r="T43" s="56">
        <f t="shared" si="4"/>
        <v>0.8499134312661013</v>
      </c>
    </row>
    <row r="44" spans="1:25" x14ac:dyDescent="0.25">
      <c r="A44">
        <v>3.5925862477142023E-2</v>
      </c>
      <c r="B44">
        <v>-1.1357769835740328</v>
      </c>
      <c r="D44">
        <v>5.1373143254038078E-2</v>
      </c>
      <c r="E44">
        <v>-0.37437689911712368</v>
      </c>
      <c r="J44">
        <v>10</v>
      </c>
      <c r="K44">
        <v>0.22856727355247131</v>
      </c>
      <c r="L44">
        <v>8.0284028304836923</v>
      </c>
      <c r="M44">
        <v>20</v>
      </c>
      <c r="N44">
        <v>-0.4294363441204041</v>
      </c>
      <c r="O44">
        <v>256.19391525509167</v>
      </c>
      <c r="P44" s="1">
        <f t="shared" si="0"/>
        <v>9.4365113601991197</v>
      </c>
      <c r="Q44" s="1">
        <f t="shared" si="1"/>
        <v>1.4154767040298679</v>
      </c>
      <c r="R44" s="1">
        <f t="shared" si="2"/>
        <v>1.1897380821129784</v>
      </c>
      <c r="S44" s="1">
        <f t="shared" si="3"/>
        <v>0.55306594582923585</v>
      </c>
      <c r="T44" s="56">
        <f t="shared" si="4"/>
        <v>0.70769627531757084</v>
      </c>
    </row>
    <row r="45" spans="1:25" x14ac:dyDescent="0.25">
      <c r="A45">
        <v>3.6339132532341334E-2</v>
      </c>
      <c r="B45">
        <v>0.965490016824333</v>
      </c>
      <c r="D45">
        <v>5.2319337025213852E-2</v>
      </c>
      <c r="E45">
        <v>-2.40364602518639</v>
      </c>
      <c r="J45">
        <v>10</v>
      </c>
      <c r="K45">
        <v>-8.8084107119357213E-2</v>
      </c>
      <c r="L45">
        <v>16.430069684986272</v>
      </c>
      <c r="M45">
        <v>20</v>
      </c>
      <c r="N45">
        <v>-0.96197812013087969</v>
      </c>
      <c r="O45">
        <v>241.91720255327166</v>
      </c>
      <c r="P45" s="1">
        <f t="shared" si="0"/>
        <v>9.2266882942234965</v>
      </c>
      <c r="Q45" s="1">
        <f t="shared" si="1"/>
        <v>1.3840032441335244</v>
      </c>
      <c r="R45" s="1">
        <f t="shared" si="2"/>
        <v>1.176436672385524</v>
      </c>
      <c r="S45" s="1">
        <f t="shared" si="3"/>
        <v>0.74283132575209554</v>
      </c>
      <c r="T45" s="56">
        <f t="shared" si="4"/>
        <v>0.76811453071203684</v>
      </c>
    </row>
    <row r="46" spans="1:25" x14ac:dyDescent="0.25">
      <c r="A46">
        <v>3.6396778819381415E-2</v>
      </c>
      <c r="B46">
        <v>-0.45251454139361158</v>
      </c>
      <c r="D46">
        <v>5.3209443692054603E-2</v>
      </c>
      <c r="E46">
        <v>-2.0608597458249278</v>
      </c>
      <c r="J46">
        <v>10</v>
      </c>
      <c r="K46">
        <v>0.43392356019467115</v>
      </c>
      <c r="L46">
        <v>19.513510720479886</v>
      </c>
      <c r="M46">
        <v>20</v>
      </c>
      <c r="N46">
        <v>-0.34664475720092014</v>
      </c>
      <c r="O46">
        <v>212.1647753422082</v>
      </c>
      <c r="P46" s="1">
        <f t="shared" si="0"/>
        <v>8.2742245022388605</v>
      </c>
      <c r="Q46" s="1">
        <f t="shared" si="1"/>
        <v>1.2411336753358291</v>
      </c>
      <c r="R46" s="1">
        <f t="shared" si="2"/>
        <v>1.1140617915249715</v>
      </c>
      <c r="S46" s="1">
        <f t="shared" si="3"/>
        <v>0.70065082864669359</v>
      </c>
      <c r="T46" s="56">
        <f t="shared" si="4"/>
        <v>0.75534857945236289</v>
      </c>
    </row>
    <row r="47" spans="1:25" x14ac:dyDescent="0.25">
      <c r="A47">
        <v>4.1664442233784071E-2</v>
      </c>
      <c r="B47">
        <v>-1.8258469935972244</v>
      </c>
      <c r="D47">
        <v>5.4066819336566208E-2</v>
      </c>
      <c r="E47">
        <v>-7.7743641213601222E-3</v>
      </c>
      <c r="J47">
        <v>10</v>
      </c>
      <c r="K47">
        <v>-0.11246584108448587</v>
      </c>
      <c r="L47">
        <v>11.611846586035666</v>
      </c>
      <c r="M47">
        <v>20</v>
      </c>
      <c r="N47">
        <v>0.76306963251226989</v>
      </c>
      <c r="O47">
        <v>167.44827485104187</v>
      </c>
      <c r="P47" s="1">
        <f t="shared" si="0"/>
        <v>6.3950043370384835</v>
      </c>
      <c r="Q47" s="1">
        <f t="shared" si="1"/>
        <v>0.95925065055577252</v>
      </c>
      <c r="R47" s="1">
        <f t="shared" si="2"/>
        <v>0.97941342167430634</v>
      </c>
      <c r="S47" s="1">
        <f t="shared" si="3"/>
        <v>-0.89393861082690562</v>
      </c>
      <c r="T47" s="56">
        <f t="shared" si="4"/>
        <v>0.18948729109773926</v>
      </c>
    </row>
    <row r="48" spans="1:25" x14ac:dyDescent="0.25">
      <c r="A48">
        <v>4.2204305274868292E-2</v>
      </c>
      <c r="B48">
        <v>0.31683953238825779</v>
      </c>
      <c r="D48">
        <v>5.534058149312715E-2</v>
      </c>
      <c r="E48">
        <v>-1.1682225283493608</v>
      </c>
      <c r="J48">
        <v>10</v>
      </c>
      <c r="K48">
        <v>-4.1172597775585018E-2</v>
      </c>
      <c r="L48">
        <v>5.5486749919368901</v>
      </c>
      <c r="M48">
        <v>20</v>
      </c>
      <c r="N48">
        <v>0.27892042112398485</v>
      </c>
      <c r="O48">
        <v>210.99145648435439</v>
      </c>
      <c r="P48" s="1">
        <f t="shared" si="0"/>
        <v>7.7335761241532595</v>
      </c>
      <c r="Q48" s="1">
        <f t="shared" si="1"/>
        <v>1.1600364186229888</v>
      </c>
      <c r="R48" s="1">
        <f t="shared" si="2"/>
        <v>1.0770498682154828</v>
      </c>
      <c r="S48" s="1">
        <f t="shared" si="3"/>
        <v>-0.29719424173916675</v>
      </c>
      <c r="T48" s="56">
        <f t="shared" si="4"/>
        <v>0.38425596947399882</v>
      </c>
    </row>
    <row r="49" spans="1:20" x14ac:dyDescent="0.25">
      <c r="A49">
        <v>4.2293350425159693E-2</v>
      </c>
      <c r="B49">
        <v>-0.22773974706069566</v>
      </c>
      <c r="D49">
        <v>5.5438773326346502E-2</v>
      </c>
      <c r="E49">
        <v>6.673338472182877</v>
      </c>
      <c r="J49">
        <v>10</v>
      </c>
      <c r="K49">
        <v>-0.17237471183761954</v>
      </c>
      <c r="L49">
        <v>13.643517637466326</v>
      </c>
      <c r="M49">
        <v>20</v>
      </c>
      <c r="N49">
        <v>-0.350311669308212</v>
      </c>
      <c r="O49">
        <v>176.33211220980883</v>
      </c>
      <c r="P49" s="1">
        <f t="shared" si="0"/>
        <v>6.784843923116969</v>
      </c>
      <c r="Q49" s="1">
        <f t="shared" si="1"/>
        <v>1.0177265884675453</v>
      </c>
      <c r="R49" s="1">
        <f t="shared" si="2"/>
        <v>1.0088243595728372</v>
      </c>
      <c r="S49" s="1">
        <f t="shared" si="3"/>
        <v>0.17638051240746769</v>
      </c>
      <c r="T49" s="56">
        <f t="shared" si="4"/>
        <v>0.56936771536111397</v>
      </c>
    </row>
    <row r="50" spans="1:20" x14ac:dyDescent="0.25">
      <c r="A50">
        <v>4.5163481089234736E-2</v>
      </c>
      <c r="B50">
        <v>-0.51181132221245207</v>
      </c>
      <c r="D50">
        <v>5.6254289709568583E-2</v>
      </c>
      <c r="E50">
        <v>1.383510376626873</v>
      </c>
      <c r="J50">
        <v>10</v>
      </c>
      <c r="K50">
        <v>-0.41148280160996364</v>
      </c>
      <c r="L50">
        <v>6.1796801878281284</v>
      </c>
      <c r="M50">
        <v>20</v>
      </c>
      <c r="N50">
        <v>-0.18977619106408383</v>
      </c>
      <c r="O50">
        <v>180.41539153516644</v>
      </c>
      <c r="P50" s="1">
        <f t="shared" si="0"/>
        <v>6.6641097043926631</v>
      </c>
      <c r="Q50" s="1">
        <f t="shared" si="1"/>
        <v>0.99961645565889945</v>
      </c>
      <c r="R50" s="1">
        <f t="shared" si="2"/>
        <v>0.99980820943763982</v>
      </c>
      <c r="S50" s="1">
        <f t="shared" si="3"/>
        <v>-0.22174913993813145</v>
      </c>
      <c r="T50" s="56">
        <f t="shared" si="4"/>
        <v>0.41305927282612681</v>
      </c>
    </row>
    <row r="51" spans="1:20" x14ac:dyDescent="0.25">
      <c r="A51">
        <v>4.7012699307313666E-2</v>
      </c>
      <c r="B51">
        <v>-0.54053998610470444</v>
      </c>
      <c r="D51">
        <v>5.8417117589130263E-2</v>
      </c>
      <c r="E51">
        <v>-4.7266910348753299</v>
      </c>
      <c r="J51">
        <v>10</v>
      </c>
      <c r="K51">
        <v>-0.18829393866326427</v>
      </c>
      <c r="L51">
        <v>2.8770354814999171</v>
      </c>
      <c r="M51">
        <v>20</v>
      </c>
      <c r="N51">
        <v>-8.0412750094183139E-2</v>
      </c>
      <c r="O51">
        <v>176.85477916753999</v>
      </c>
      <c r="P51" s="1">
        <f t="shared" si="0"/>
        <v>6.4189933803228536</v>
      </c>
      <c r="Q51" s="1">
        <f t="shared" si="1"/>
        <v>0.96284900704842802</v>
      </c>
      <c r="R51" s="1">
        <f t="shared" si="2"/>
        <v>0.98124869785820756</v>
      </c>
      <c r="S51" s="1">
        <f t="shared" si="3"/>
        <v>-0.10994275845109981</v>
      </c>
      <c r="T51" s="56">
        <f t="shared" si="4"/>
        <v>0.45661949545248237</v>
      </c>
    </row>
    <row r="52" spans="1:20" x14ac:dyDescent="0.25">
      <c r="A52">
        <v>5.5289133091809495E-2</v>
      </c>
      <c r="B52">
        <v>-0.60123284129076637</v>
      </c>
      <c r="D52">
        <v>5.8866079017683481E-2</v>
      </c>
      <c r="E52">
        <v>0.71317981223728566</v>
      </c>
      <c r="J52">
        <v>10</v>
      </c>
      <c r="K52">
        <v>0.52035909448022721</v>
      </c>
      <c r="L52">
        <v>10.601691510573918</v>
      </c>
      <c r="M52">
        <v>20</v>
      </c>
      <c r="N52">
        <v>-0.90687621309371025</v>
      </c>
      <c r="O52">
        <v>148.33647915956018</v>
      </c>
      <c r="P52" s="1">
        <f t="shared" si="0"/>
        <v>5.676363238219075</v>
      </c>
      <c r="Q52" s="1">
        <f t="shared" si="1"/>
        <v>0.8514544857328612</v>
      </c>
      <c r="R52" s="1">
        <f t="shared" si="2"/>
        <v>0.92274291421438792</v>
      </c>
      <c r="S52" s="1">
        <f t="shared" si="3"/>
        <v>1.5467312569818736</v>
      </c>
      <c r="T52" s="56">
        <f t="shared" si="4"/>
        <v>0.93342133951278827</v>
      </c>
    </row>
    <row r="53" spans="1:20" x14ac:dyDescent="0.25">
      <c r="A53">
        <v>5.5535942388996729E-2</v>
      </c>
      <c r="B53">
        <v>0.74826857598964125</v>
      </c>
      <c r="D53">
        <v>5.9383914945104532E-2</v>
      </c>
      <c r="E53">
        <v>6.5221804527482163</v>
      </c>
      <c r="J53">
        <v>10</v>
      </c>
      <c r="K53">
        <v>-0.10078974810312502</v>
      </c>
      <c r="L53">
        <v>12.119314964055079</v>
      </c>
      <c r="M53">
        <v>20</v>
      </c>
      <c r="N53">
        <v>0.64425557525282784</v>
      </c>
      <c r="O53">
        <v>238.55603132858016</v>
      </c>
      <c r="P53" s="1">
        <f t="shared" si="0"/>
        <v>8.9526909390226876</v>
      </c>
      <c r="Q53" s="1">
        <f t="shared" si="1"/>
        <v>1.3429036408534032</v>
      </c>
      <c r="R53" s="1">
        <f t="shared" si="2"/>
        <v>1.15883719341994</v>
      </c>
      <c r="S53" s="1">
        <f t="shared" si="3"/>
        <v>-0.64292493163529574</v>
      </c>
      <c r="T53" s="56">
        <f t="shared" si="4"/>
        <v>0.26275163527974654</v>
      </c>
    </row>
    <row r="54" spans="1:20" x14ac:dyDescent="0.25">
      <c r="A54">
        <v>5.9275671311141975E-2</v>
      </c>
      <c r="B54">
        <v>0.16882722775335424</v>
      </c>
      <c r="D54">
        <v>6.2603295505115009E-2</v>
      </c>
      <c r="E54">
        <v>-2.0499867366652325</v>
      </c>
      <c r="J54">
        <v>10</v>
      </c>
      <c r="K54">
        <v>-0.48371998673246708</v>
      </c>
      <c r="L54">
        <v>12.550528327280128</v>
      </c>
      <c r="M54">
        <v>20</v>
      </c>
      <c r="N54">
        <v>-0.64536618879174057</v>
      </c>
      <c r="O54">
        <v>182.93290055169632</v>
      </c>
      <c r="P54" s="1">
        <f t="shared" si="0"/>
        <v>6.9815510313920157</v>
      </c>
      <c r="Q54" s="1">
        <f t="shared" si="1"/>
        <v>1.0472326547088022</v>
      </c>
      <c r="R54" s="1">
        <f t="shared" si="2"/>
        <v>1.0233438594669937</v>
      </c>
      <c r="S54" s="1">
        <f t="shared" si="3"/>
        <v>0.15795883325421678</v>
      </c>
      <c r="T54" s="56">
        <f t="shared" si="4"/>
        <v>0.56218854279129904</v>
      </c>
    </row>
    <row r="55" spans="1:20" x14ac:dyDescent="0.25">
      <c r="A55">
        <v>6.0853797055429371E-2</v>
      </c>
      <c r="B55">
        <v>1.9013714336324483</v>
      </c>
      <c r="D55">
        <v>6.3078811227000542E-2</v>
      </c>
      <c r="E55">
        <v>-2.1388671063959919</v>
      </c>
      <c r="J55">
        <v>10</v>
      </c>
      <c r="K55">
        <v>4.1735120248631574E-2</v>
      </c>
      <c r="L55">
        <v>7.9955931227112158</v>
      </c>
      <c r="M55">
        <v>20</v>
      </c>
      <c r="N55">
        <v>7.7078251479179016E-2</v>
      </c>
      <c r="O55">
        <v>105.80570221636432</v>
      </c>
      <c r="P55" s="1">
        <f t="shared" si="0"/>
        <v>4.0643319763955548</v>
      </c>
      <c r="Q55" s="1">
        <f t="shared" si="1"/>
        <v>0.60964979645933315</v>
      </c>
      <c r="R55" s="1">
        <f t="shared" si="2"/>
        <v>0.78080074056018489</v>
      </c>
      <c r="S55" s="1">
        <f t="shared" si="3"/>
        <v>-4.5265237844408987E-2</v>
      </c>
      <c r="T55" s="56">
        <f t="shared" si="4"/>
        <v>0.48210859332815248</v>
      </c>
    </row>
    <row r="56" spans="1:20" x14ac:dyDescent="0.25">
      <c r="A56">
        <v>6.1384905730433315E-2</v>
      </c>
      <c r="B56">
        <v>-0.45658566705242265</v>
      </c>
      <c r="D56">
        <v>6.5248009449502709E-2</v>
      </c>
      <c r="E56">
        <v>1.0907031048645877</v>
      </c>
      <c r="J56">
        <v>10</v>
      </c>
      <c r="K56">
        <v>-0.27710564154403983</v>
      </c>
      <c r="L56">
        <v>15.660547425997382</v>
      </c>
      <c r="M56">
        <v>20</v>
      </c>
      <c r="N56">
        <v>-0.94123669555301603</v>
      </c>
      <c r="O56">
        <v>350.33350160012799</v>
      </c>
      <c r="P56" s="1">
        <f t="shared" si="0"/>
        <v>13.071216036647334</v>
      </c>
      <c r="Q56" s="1">
        <f t="shared" si="1"/>
        <v>1.9606824054970999</v>
      </c>
      <c r="R56" s="1">
        <f t="shared" si="2"/>
        <v>1.4002436950392243</v>
      </c>
      <c r="S56" s="1">
        <f t="shared" si="3"/>
        <v>0.47429676445739843</v>
      </c>
      <c r="T56" s="56">
        <f t="shared" si="4"/>
        <v>0.68051680883006671</v>
      </c>
    </row>
    <row r="57" spans="1:20" x14ac:dyDescent="0.25">
      <c r="A57">
        <v>6.2035086924932092E-2</v>
      </c>
      <c r="B57">
        <v>1.0306985132046975</v>
      </c>
      <c r="D57">
        <v>6.5681821655676487E-2</v>
      </c>
      <c r="E57">
        <v>1.1889558174971171</v>
      </c>
      <c r="J57">
        <v>10</v>
      </c>
      <c r="K57">
        <v>-0.12015300399070838</v>
      </c>
      <c r="L57">
        <v>9.7503247145326473</v>
      </c>
      <c r="M57">
        <v>20</v>
      </c>
      <c r="N57">
        <v>-0.24784856464066252</v>
      </c>
      <c r="O57">
        <v>119.28997404696062</v>
      </c>
      <c r="P57" s="1">
        <f t="shared" si="0"/>
        <v>4.6085820986247592</v>
      </c>
      <c r="Q57" s="1">
        <f t="shared" si="1"/>
        <v>0.69128731479371386</v>
      </c>
      <c r="R57" s="1">
        <f t="shared" si="2"/>
        <v>0.83143689766194151</v>
      </c>
      <c r="S57" s="1">
        <f t="shared" si="3"/>
        <v>0.15358418781875444</v>
      </c>
      <c r="T57" s="56">
        <f t="shared" si="4"/>
        <v>0.56048041276341454</v>
      </c>
    </row>
    <row r="58" spans="1:20" x14ac:dyDescent="0.25">
      <c r="A58">
        <v>6.2517006583116541E-2</v>
      </c>
      <c r="B58">
        <v>-2.3142092686612159E-2</v>
      </c>
      <c r="D58">
        <v>6.7023444052546455E-2</v>
      </c>
      <c r="E58">
        <v>-8.5571143733886856</v>
      </c>
      <c r="J58">
        <v>10</v>
      </c>
      <c r="K58">
        <v>-0.15458067537110765</v>
      </c>
      <c r="L58">
        <v>11.151192752795284</v>
      </c>
      <c r="M58">
        <v>20</v>
      </c>
      <c r="N58">
        <v>6.2010198007556028E-2</v>
      </c>
      <c r="O58">
        <v>423.37798265832248</v>
      </c>
      <c r="P58" s="1">
        <f t="shared" si="0"/>
        <v>15.518899121825635</v>
      </c>
      <c r="Q58" s="1">
        <f t="shared" si="1"/>
        <v>2.327834868273845</v>
      </c>
      <c r="R58" s="1">
        <f t="shared" si="2"/>
        <v>1.525724374935999</v>
      </c>
      <c r="S58" s="1">
        <f t="shared" si="3"/>
        <v>-0.1419593715200029</v>
      </c>
      <c r="T58" s="56">
        <f t="shared" si="4"/>
        <v>0.44406431338971675</v>
      </c>
    </row>
    <row r="59" spans="1:20" x14ac:dyDescent="0.25">
      <c r="A59">
        <v>6.2686222920090184E-2</v>
      </c>
      <c r="B59">
        <v>0.58345449360786006</v>
      </c>
      <c r="D59">
        <v>6.7665465820631487E-2</v>
      </c>
      <c r="E59">
        <v>-3.0332641961194895</v>
      </c>
      <c r="J59">
        <v>10</v>
      </c>
      <c r="K59">
        <v>-0.31933404898154549</v>
      </c>
      <c r="L59">
        <v>5.717291478564543</v>
      </c>
      <c r="M59">
        <v>20</v>
      </c>
      <c r="N59">
        <v>-0.22247059291657933</v>
      </c>
      <c r="O59">
        <v>236.4509196956389</v>
      </c>
      <c r="P59" s="1">
        <f t="shared" si="0"/>
        <v>8.6488646847929793</v>
      </c>
      <c r="Q59" s="1">
        <f t="shared" si="1"/>
        <v>1.2973297027189468</v>
      </c>
      <c r="R59" s="1">
        <f t="shared" si="2"/>
        <v>1.1390038203267567</v>
      </c>
      <c r="S59" s="1">
        <f t="shared" si="3"/>
        <v>-8.5042257397501986E-2</v>
      </c>
      <c r="T59" s="56">
        <f t="shared" si="4"/>
        <v>0.46641648316435552</v>
      </c>
    </row>
    <row r="60" spans="1:20" x14ac:dyDescent="0.25">
      <c r="A60">
        <v>6.275716561529221E-2</v>
      </c>
      <c r="B60">
        <v>-1.7744332581060007</v>
      </c>
      <c r="D60">
        <v>6.7898083698930134E-2</v>
      </c>
      <c r="E60">
        <v>-1.8706093703713123</v>
      </c>
      <c r="J60">
        <v>10</v>
      </c>
      <c r="K60">
        <v>-0.16993521967378911</v>
      </c>
      <c r="L60">
        <v>4.490251215410936</v>
      </c>
      <c r="M60">
        <v>20</v>
      </c>
      <c r="N60">
        <v>0.84601725461652677</v>
      </c>
      <c r="O60">
        <v>254.79456822595151</v>
      </c>
      <c r="P60" s="1">
        <f t="shared" si="0"/>
        <v>9.2601721229058018</v>
      </c>
      <c r="Q60" s="1">
        <f t="shared" si="1"/>
        <v>1.3890258184358701</v>
      </c>
      <c r="R60" s="1">
        <f t="shared" si="2"/>
        <v>1.1785693948325104</v>
      </c>
      <c r="S60" s="1">
        <f t="shared" si="3"/>
        <v>-0.8620217687179087</v>
      </c>
      <c r="T60" s="56">
        <f t="shared" si="4"/>
        <v>0.19799921255461211</v>
      </c>
    </row>
    <row r="61" spans="1:20" x14ac:dyDescent="0.25">
      <c r="A61">
        <v>6.5157356383733211E-2</v>
      </c>
      <c r="B61">
        <v>-4.8939909902401268E-2</v>
      </c>
      <c r="D61">
        <v>6.8099050515956439E-2</v>
      </c>
      <c r="E61">
        <v>-1.4313541248611727</v>
      </c>
      <c r="J61">
        <v>10</v>
      </c>
      <c r="K61">
        <v>-0.19316644284117501</v>
      </c>
      <c r="L61">
        <v>5.7178824371207115</v>
      </c>
      <c r="M61">
        <v>20</v>
      </c>
      <c r="N61">
        <v>0.14741823065378412</v>
      </c>
      <c r="O61">
        <v>114.20194675274695</v>
      </c>
      <c r="P61" s="1">
        <f t="shared" si="0"/>
        <v>4.282851042495273</v>
      </c>
      <c r="Q61" s="1">
        <f t="shared" si="1"/>
        <v>0.64242765637429089</v>
      </c>
      <c r="R61" s="1">
        <f t="shared" si="2"/>
        <v>0.80151584910985441</v>
      </c>
      <c r="S61" s="1">
        <f t="shared" si="3"/>
        <v>-0.42492568783662216</v>
      </c>
      <c r="T61" s="56">
        <f t="shared" si="4"/>
        <v>0.33706930237783572</v>
      </c>
    </row>
    <row r="62" spans="1:20" x14ac:dyDescent="0.25">
      <c r="A62">
        <v>6.7095142697558119E-2</v>
      </c>
      <c r="B62">
        <v>2.0175139070488513</v>
      </c>
      <c r="D62">
        <v>6.817456876973238E-2</v>
      </c>
      <c r="E62">
        <v>0.12637496752176958</v>
      </c>
      <c r="J62">
        <v>10</v>
      </c>
      <c r="K62">
        <v>9.9098542705178261E-3</v>
      </c>
      <c r="L62">
        <v>20.809414697563366</v>
      </c>
      <c r="M62">
        <v>20</v>
      </c>
      <c r="N62">
        <v>-0.85742960095558374</v>
      </c>
      <c r="O62">
        <v>234.22598558161457</v>
      </c>
      <c r="P62" s="1">
        <f t="shared" si="0"/>
        <v>9.1084071528277839</v>
      </c>
      <c r="Q62" s="1">
        <f t="shared" si="1"/>
        <v>1.3662610729241675</v>
      </c>
      <c r="R62" s="1">
        <f t="shared" si="2"/>
        <v>1.1688717093523</v>
      </c>
      <c r="S62" s="1">
        <f t="shared" si="3"/>
        <v>0.74203135236005946</v>
      </c>
      <c r="T62" s="56">
        <f t="shared" si="4"/>
        <v>0.76787610889479829</v>
      </c>
    </row>
    <row r="63" spans="1:20" x14ac:dyDescent="0.25">
      <c r="A63">
        <v>6.7379476160400076E-2</v>
      </c>
      <c r="B63">
        <v>-1.7089178072637878</v>
      </c>
      <c r="D63">
        <v>6.9379595115487747E-2</v>
      </c>
      <c r="E63">
        <v>-0.20887046389361785</v>
      </c>
      <c r="J63">
        <v>10</v>
      </c>
      <c r="K63">
        <v>-0.52620259793911828</v>
      </c>
      <c r="L63">
        <v>10.273456299356933</v>
      </c>
      <c r="M63">
        <v>20</v>
      </c>
      <c r="N63">
        <v>-0.96931058010341076</v>
      </c>
      <c r="O63">
        <v>146.37388383866377</v>
      </c>
      <c r="P63" s="1">
        <f t="shared" si="0"/>
        <v>5.5945478620721678</v>
      </c>
      <c r="Q63" s="1">
        <f t="shared" si="1"/>
        <v>0.83918217931082517</v>
      </c>
      <c r="R63" s="1">
        <f t="shared" si="2"/>
        <v>0.91606887258045455</v>
      </c>
      <c r="S63" s="1">
        <f t="shared" si="3"/>
        <v>0.48370596952618988</v>
      </c>
      <c r="T63" s="56">
        <f t="shared" si="4"/>
        <v>0.68382197340250872</v>
      </c>
    </row>
    <row r="64" spans="1:20" x14ac:dyDescent="0.25">
      <c r="A64">
        <v>6.8144383999243607E-2</v>
      </c>
      <c r="B64">
        <v>-0.69282577896956354</v>
      </c>
      <c r="D64">
        <v>7.0169988245201265E-2</v>
      </c>
      <c r="E64">
        <v>-1.0581861749869859</v>
      </c>
      <c r="J64">
        <v>10</v>
      </c>
      <c r="K64">
        <v>-0.19050321498070844</v>
      </c>
      <c r="L64">
        <v>7.735197199915083</v>
      </c>
      <c r="M64">
        <v>20</v>
      </c>
      <c r="N64">
        <v>-0.19783886159530084</v>
      </c>
      <c r="O64">
        <v>345.92716382974544</v>
      </c>
      <c r="P64" s="1">
        <f t="shared" si="0"/>
        <v>12.630798608202161</v>
      </c>
      <c r="Q64" s="1">
        <f t="shared" si="1"/>
        <v>1.894619791230324</v>
      </c>
      <c r="R64" s="1">
        <f t="shared" si="2"/>
        <v>1.3764518848221046</v>
      </c>
      <c r="S64" s="1">
        <f t="shared" si="3"/>
        <v>5.3293883320450972E-3</v>
      </c>
      <c r="T64" s="56">
        <f t="shared" si="4"/>
        <v>0.5021072132920319</v>
      </c>
    </row>
    <row r="65" spans="1:20" x14ac:dyDescent="0.25">
      <c r="A65">
        <v>6.8723939467161599E-2</v>
      </c>
      <c r="B65">
        <v>1.1803490451711696</v>
      </c>
      <c r="D65">
        <v>7.1284945179088122E-2</v>
      </c>
      <c r="E65">
        <v>0.42025999050565588</v>
      </c>
      <c r="J65">
        <v>10</v>
      </c>
      <c r="K65">
        <v>0.21464609289978398</v>
      </c>
      <c r="L65">
        <v>9.671240880301939</v>
      </c>
      <c r="M65">
        <v>20</v>
      </c>
      <c r="N65">
        <v>0.79206557416000578</v>
      </c>
      <c r="O65">
        <v>187.77284435175312</v>
      </c>
      <c r="P65" s="1">
        <f t="shared" si="0"/>
        <v>7.0515744725733951</v>
      </c>
      <c r="Q65" s="1">
        <f t="shared" si="1"/>
        <v>1.0577361708860091</v>
      </c>
      <c r="R65" s="1">
        <f t="shared" si="2"/>
        <v>1.0284630138638964</v>
      </c>
      <c r="S65" s="1">
        <f t="shared" si="3"/>
        <v>-0.56143922870972174</v>
      </c>
      <c r="T65" s="56">
        <f t="shared" si="4"/>
        <v>0.28948226711696923</v>
      </c>
    </row>
    <row r="66" spans="1:20" x14ac:dyDescent="0.25">
      <c r="A66">
        <v>6.9119030545117699E-2</v>
      </c>
      <c r="B66">
        <v>-0.84570501712732948</v>
      </c>
      <c r="D66">
        <v>7.193398762065939E-2</v>
      </c>
      <c r="E66">
        <v>-8.6915740700987953</v>
      </c>
      <c r="J66">
        <v>10</v>
      </c>
      <c r="K66">
        <v>-0.60919182942598127</v>
      </c>
      <c r="L66">
        <v>14.576965035511369</v>
      </c>
      <c r="M66">
        <v>20</v>
      </c>
      <c r="N66">
        <v>-0.15904373981356912</v>
      </c>
      <c r="O66">
        <v>235.95979419778348</v>
      </c>
      <c r="P66" s="1">
        <f t="shared" ref="P66:P129" si="5">(L66+O66)/(J66+M66-2)</f>
        <v>8.9477414011891021</v>
      </c>
      <c r="Q66" s="1">
        <f t="shared" ref="Q66:Q129" si="6">P66*0.15</f>
        <v>1.3421612101783653</v>
      </c>
      <c r="R66" s="1">
        <f t="shared" ref="R66:R129" si="7">SQRT(Q66)</f>
        <v>1.1585168148017384</v>
      </c>
      <c r="S66" s="1">
        <f t="shared" ref="S66:S129" si="8">(K66-N66)/R66</f>
        <v>-0.38855550809545031</v>
      </c>
      <c r="T66" s="56">
        <f t="shared" ref="T66:T129" si="9">_xlfn.T.DIST(S66,28,TRUE)</f>
        <v>0.3502719380036341</v>
      </c>
    </row>
    <row r="67" spans="1:20" x14ac:dyDescent="0.25">
      <c r="A67">
        <v>6.9417687292785191E-2</v>
      </c>
      <c r="B67">
        <v>-0.22923131837160327</v>
      </c>
      <c r="D67">
        <v>7.2306076666989183E-2</v>
      </c>
      <c r="E67">
        <v>1.0539640663864702</v>
      </c>
      <c r="J67">
        <v>10</v>
      </c>
      <c r="K67">
        <v>0.22559879653272219</v>
      </c>
      <c r="L67">
        <v>10.778508968852073</v>
      </c>
      <c r="M67">
        <v>20</v>
      </c>
      <c r="N67">
        <v>0.93252947067412606</v>
      </c>
      <c r="O67">
        <v>187.58456476410055</v>
      </c>
      <c r="P67" s="1">
        <f t="shared" si="5"/>
        <v>7.084395490462593</v>
      </c>
      <c r="Q67" s="1">
        <f t="shared" si="6"/>
        <v>1.0626593235693889</v>
      </c>
      <c r="R67" s="1">
        <f t="shared" si="7"/>
        <v>1.0308536867904139</v>
      </c>
      <c r="S67" s="1">
        <f t="shared" si="8"/>
        <v>-0.68577207726001199</v>
      </c>
      <c r="T67" s="56">
        <f t="shared" si="9"/>
        <v>0.2492480511691566</v>
      </c>
    </row>
    <row r="68" spans="1:20" x14ac:dyDescent="0.25">
      <c r="A68">
        <v>6.957466260118772E-2</v>
      </c>
      <c r="B68">
        <v>1.4986062524258159</v>
      </c>
      <c r="D68">
        <v>7.3189797559713887E-2</v>
      </c>
      <c r="E68">
        <v>2.7742391887386475</v>
      </c>
      <c r="J68">
        <v>10</v>
      </c>
      <c r="K68">
        <v>0.19406218143558362</v>
      </c>
      <c r="L68">
        <v>9.9529977615242569</v>
      </c>
      <c r="M68">
        <v>20</v>
      </c>
      <c r="N68">
        <v>0.27650025572256709</v>
      </c>
      <c r="O68">
        <v>206.25746531048222</v>
      </c>
      <c r="P68" s="1">
        <f t="shared" si="5"/>
        <v>7.721802252571659</v>
      </c>
      <c r="Q68" s="1">
        <f t="shared" si="6"/>
        <v>1.1582703378857488</v>
      </c>
      <c r="R68" s="1">
        <f t="shared" si="7"/>
        <v>1.0762296863986558</v>
      </c>
      <c r="S68" s="1">
        <f t="shared" si="8"/>
        <v>-7.6598959616922188E-2</v>
      </c>
      <c r="T68" s="56">
        <f t="shared" si="9"/>
        <v>0.46974365441402655</v>
      </c>
    </row>
    <row r="69" spans="1:20" x14ac:dyDescent="0.25">
      <c r="A69">
        <v>7.0042487776319051E-2</v>
      </c>
      <c r="B69">
        <v>-0.82005726653733291</v>
      </c>
      <c r="D69">
        <v>7.3831122615819034E-2</v>
      </c>
      <c r="E69">
        <v>-1.2303501114274695</v>
      </c>
      <c r="J69">
        <v>10</v>
      </c>
      <c r="K69">
        <v>5.6854787544580176E-3</v>
      </c>
      <c r="L69">
        <v>7.5151336652829022</v>
      </c>
      <c r="M69">
        <v>20</v>
      </c>
      <c r="N69">
        <v>3.0968916462370544E-2</v>
      </c>
      <c r="O69">
        <v>229.81088430197644</v>
      </c>
      <c r="P69" s="1">
        <f t="shared" si="5"/>
        <v>8.4759292131164052</v>
      </c>
      <c r="Q69" s="1">
        <f t="shared" si="6"/>
        <v>1.2713893819674607</v>
      </c>
      <c r="R69" s="1">
        <f t="shared" si="7"/>
        <v>1.1275590370208828</v>
      </c>
      <c r="S69" s="1">
        <f t="shared" si="8"/>
        <v>-2.2423160896935163E-2</v>
      </c>
      <c r="T69" s="56">
        <f t="shared" si="9"/>
        <v>0.4911347211446655</v>
      </c>
    </row>
    <row r="70" spans="1:20" x14ac:dyDescent="0.25">
      <c r="A70">
        <v>7.0344230051250123E-2</v>
      </c>
      <c r="B70">
        <v>-0.66986331148655154</v>
      </c>
      <c r="D70">
        <v>7.5024965380252606E-2</v>
      </c>
      <c r="E70">
        <v>-0.51830102506755793</v>
      </c>
      <c r="J70">
        <v>10</v>
      </c>
      <c r="K70">
        <v>0.10750363799161278</v>
      </c>
      <c r="L70">
        <v>8.338007707841701</v>
      </c>
      <c r="M70">
        <v>20</v>
      </c>
      <c r="N70">
        <v>1.1395446756523597</v>
      </c>
      <c r="O70">
        <v>144.99442592188223</v>
      </c>
      <c r="P70" s="1">
        <f t="shared" si="5"/>
        <v>5.476158343918712</v>
      </c>
      <c r="Q70" s="1">
        <f t="shared" si="6"/>
        <v>0.82142375158780678</v>
      </c>
      <c r="R70" s="1">
        <f t="shared" si="7"/>
        <v>0.90632430817440113</v>
      </c>
      <c r="S70" s="1">
        <f t="shared" si="8"/>
        <v>-1.1387105347969488</v>
      </c>
      <c r="T70" s="56">
        <f t="shared" si="9"/>
        <v>0.13223655833545453</v>
      </c>
    </row>
    <row r="71" spans="1:20" x14ac:dyDescent="0.25">
      <c r="A71">
        <v>7.0538689359388451E-2</v>
      </c>
      <c r="B71">
        <v>-0.46168565859261435</v>
      </c>
      <c r="D71">
        <v>7.5704597210021873E-2</v>
      </c>
      <c r="E71">
        <v>2.9610584954298247</v>
      </c>
      <c r="J71">
        <v>10</v>
      </c>
      <c r="K71">
        <v>0.14036243101145374</v>
      </c>
      <c r="L71">
        <v>3.145705052092687</v>
      </c>
      <c r="M71">
        <v>20</v>
      </c>
      <c r="N71">
        <v>0.27387187287786219</v>
      </c>
      <c r="O71">
        <v>204.96824960782564</v>
      </c>
      <c r="P71" s="1">
        <f t="shared" si="5"/>
        <v>7.4326412378542264</v>
      </c>
      <c r="Q71" s="1">
        <f t="shared" si="6"/>
        <v>1.1148961856781339</v>
      </c>
      <c r="R71" s="1">
        <f t="shared" si="7"/>
        <v>1.0558864454467316</v>
      </c>
      <c r="S71" s="1">
        <f t="shared" si="8"/>
        <v>-0.12644299246584453</v>
      </c>
      <c r="T71" s="56">
        <f t="shared" si="9"/>
        <v>0.45014244414228449</v>
      </c>
    </row>
    <row r="72" spans="1:20" x14ac:dyDescent="0.25">
      <c r="A72">
        <v>7.2338954594624694E-2</v>
      </c>
      <c r="B72">
        <v>-0.11796601029345766</v>
      </c>
      <c r="D72">
        <v>7.675137658040132E-2</v>
      </c>
      <c r="E72">
        <v>-2.5524404952648183</v>
      </c>
      <c r="J72">
        <v>10</v>
      </c>
      <c r="K72">
        <v>0.14071792975300923</v>
      </c>
      <c r="L72">
        <v>5.1484918797083044</v>
      </c>
      <c r="M72">
        <v>20</v>
      </c>
      <c r="N72">
        <v>1.1214727317110373</v>
      </c>
      <c r="O72">
        <v>205.07274464726402</v>
      </c>
      <c r="P72" s="1">
        <f t="shared" si="5"/>
        <v>7.5079013045347258</v>
      </c>
      <c r="Q72" s="1">
        <f t="shared" si="6"/>
        <v>1.1261851956802089</v>
      </c>
      <c r="R72" s="1">
        <f t="shared" si="7"/>
        <v>1.0612187313085879</v>
      </c>
      <c r="S72" s="1">
        <f t="shared" si="8"/>
        <v>-0.92417780898821889</v>
      </c>
      <c r="T72" s="56">
        <f t="shared" si="9"/>
        <v>0.18164514221105388</v>
      </c>
    </row>
    <row r="73" spans="1:20" x14ac:dyDescent="0.25">
      <c r="A73">
        <v>7.2427146968371159E-2</v>
      </c>
      <c r="B73">
        <v>-5.5456439440604299E-3</v>
      </c>
      <c r="D73">
        <v>7.882445286480122E-2</v>
      </c>
      <c r="E73">
        <v>0.9260459103188623</v>
      </c>
      <c r="J73">
        <v>10</v>
      </c>
      <c r="K73">
        <v>0.11544398148544133</v>
      </c>
      <c r="L73">
        <v>10.113677976555371</v>
      </c>
      <c r="M73">
        <v>20</v>
      </c>
      <c r="N73">
        <v>1.6312389982431341</v>
      </c>
      <c r="O73">
        <v>263.84231561540327</v>
      </c>
      <c r="P73" s="1">
        <f t="shared" si="5"/>
        <v>9.7841426282842381</v>
      </c>
      <c r="Q73" s="1">
        <f t="shared" si="6"/>
        <v>1.4676213942426357</v>
      </c>
      <c r="R73" s="1">
        <f t="shared" si="7"/>
        <v>1.2114542476885521</v>
      </c>
      <c r="S73" s="1">
        <f t="shared" si="8"/>
        <v>-1.2512193668475893</v>
      </c>
      <c r="T73" s="56">
        <f t="shared" si="9"/>
        <v>0.11060405772299151</v>
      </c>
    </row>
    <row r="74" spans="1:20" x14ac:dyDescent="0.25">
      <c r="A74">
        <v>7.3901692986532486E-2</v>
      </c>
      <c r="B74">
        <v>1.4117449609329924</v>
      </c>
      <c r="D74">
        <v>8.0231135674058818E-2</v>
      </c>
      <c r="E74">
        <v>1.076378563311664</v>
      </c>
      <c r="J74">
        <v>10</v>
      </c>
      <c r="K74">
        <v>-9.3127027867012657E-2</v>
      </c>
      <c r="L74">
        <v>8.2932268285490967</v>
      </c>
      <c r="M74">
        <v>20</v>
      </c>
      <c r="N74">
        <v>-5.2814986020166543E-2</v>
      </c>
      <c r="O74">
        <v>200.5588275366301</v>
      </c>
      <c r="P74" s="1">
        <f t="shared" si="5"/>
        <v>7.4590019416135434</v>
      </c>
      <c r="Q74" s="1">
        <f t="shared" si="6"/>
        <v>1.1188502912420315</v>
      </c>
      <c r="R74" s="1">
        <f t="shared" si="7"/>
        <v>1.0577571986245387</v>
      </c>
      <c r="S74" s="1">
        <f t="shared" si="8"/>
        <v>-3.8110865044706038E-2</v>
      </c>
      <c r="T74" s="56">
        <f t="shared" si="9"/>
        <v>0.48493485926512625</v>
      </c>
    </row>
    <row r="75" spans="1:20" x14ac:dyDescent="0.25">
      <c r="A75">
        <v>7.58574252629165E-2</v>
      </c>
      <c r="B75">
        <v>1.0946041584247723</v>
      </c>
      <c r="D75">
        <v>8.1096093182994045E-2</v>
      </c>
      <c r="E75">
        <v>-2.9709797252053249</v>
      </c>
      <c r="J75">
        <v>10</v>
      </c>
      <c r="K75">
        <v>0.20859079086221755</v>
      </c>
      <c r="L75">
        <v>9.68660983504539</v>
      </c>
      <c r="M75">
        <v>20</v>
      </c>
      <c r="N75">
        <v>0.45297315068637545</v>
      </c>
      <c r="O75">
        <v>187.2514349531574</v>
      </c>
      <c r="P75" s="1">
        <f t="shared" si="5"/>
        <v>7.0335015995786714</v>
      </c>
      <c r="Q75" s="1">
        <f t="shared" si="6"/>
        <v>1.0550252399368008</v>
      </c>
      <c r="R75" s="1">
        <f t="shared" si="7"/>
        <v>1.0271442157442161</v>
      </c>
      <c r="S75" s="1">
        <f t="shared" si="8"/>
        <v>-0.23792409680961008</v>
      </c>
      <c r="T75" s="56">
        <f t="shared" si="9"/>
        <v>0.4068362337266902</v>
      </c>
    </row>
    <row r="76" spans="1:20" x14ac:dyDescent="0.25">
      <c r="A76">
        <v>7.7705518465405077E-2</v>
      </c>
      <c r="B76">
        <v>-1.5208388504106551</v>
      </c>
      <c r="D76">
        <v>8.1614818567908753E-2</v>
      </c>
      <c r="E76">
        <v>0.49271488592239621</v>
      </c>
      <c r="J76">
        <v>10</v>
      </c>
      <c r="K76">
        <v>-0.11337897376506589</v>
      </c>
      <c r="L76">
        <v>9.9756833292302112</v>
      </c>
      <c r="M76">
        <v>20</v>
      </c>
      <c r="N76">
        <v>0.84245351331446727</v>
      </c>
      <c r="O76">
        <v>194.68208733674416</v>
      </c>
      <c r="P76" s="1">
        <f t="shared" si="5"/>
        <v>7.3092060952133702</v>
      </c>
      <c r="Q76" s="1">
        <f t="shared" si="6"/>
        <v>1.0963809142820056</v>
      </c>
      <c r="R76" s="1">
        <f t="shared" si="7"/>
        <v>1.0470820952924396</v>
      </c>
      <c r="S76" s="1">
        <f t="shared" si="8"/>
        <v>-0.91285343467990321</v>
      </c>
      <c r="T76" s="56">
        <f t="shared" si="9"/>
        <v>0.18455656979305785</v>
      </c>
    </row>
    <row r="77" spans="1:20" x14ac:dyDescent="0.25">
      <c r="A77">
        <v>7.8032198237569128E-2</v>
      </c>
      <c r="B77">
        <v>0.81813141150632873</v>
      </c>
      <c r="D77">
        <v>8.1961108709981412E-2</v>
      </c>
      <c r="E77">
        <v>4.9695092877755087</v>
      </c>
      <c r="J77">
        <v>10</v>
      </c>
      <c r="K77">
        <v>-9.3536186795972753E-2</v>
      </c>
      <c r="L77">
        <v>11.198921238329387</v>
      </c>
      <c r="M77">
        <v>20</v>
      </c>
      <c r="N77">
        <v>-0.36302879266258969</v>
      </c>
      <c r="O77">
        <v>179.69030199780494</v>
      </c>
      <c r="P77" s="1">
        <f t="shared" si="5"/>
        <v>6.8174722584333685</v>
      </c>
      <c r="Q77" s="1">
        <f t="shared" si="6"/>
        <v>1.0226208387650053</v>
      </c>
      <c r="R77" s="1">
        <f t="shared" si="7"/>
        <v>1.0112471699663763</v>
      </c>
      <c r="S77" s="1">
        <f t="shared" si="8"/>
        <v>0.26649528806649464</v>
      </c>
      <c r="T77" s="56">
        <f t="shared" si="9"/>
        <v>0.60409470990063174</v>
      </c>
    </row>
    <row r="78" spans="1:20" x14ac:dyDescent="0.25">
      <c r="A78">
        <v>7.952845556750654E-2</v>
      </c>
      <c r="B78">
        <v>0.76128571890876628</v>
      </c>
      <c r="D78">
        <v>8.2335360891965914E-2</v>
      </c>
      <c r="E78">
        <v>-0.30108981604826113</v>
      </c>
      <c r="J78">
        <v>10</v>
      </c>
      <c r="K78">
        <v>0.12191435416752938</v>
      </c>
      <c r="L78">
        <v>6.8214426328961268</v>
      </c>
      <c r="M78">
        <v>20</v>
      </c>
      <c r="N78">
        <v>0.14571037013411114</v>
      </c>
      <c r="O78">
        <v>110.35126522176151</v>
      </c>
      <c r="P78" s="1">
        <f t="shared" si="5"/>
        <v>4.1847395662377727</v>
      </c>
      <c r="Q78" s="1">
        <f t="shared" si="6"/>
        <v>0.62771093493566588</v>
      </c>
      <c r="R78" s="1">
        <f t="shared" si="7"/>
        <v>0.79228210565155754</v>
      </c>
      <c r="S78" s="1">
        <f t="shared" si="8"/>
        <v>-3.0034776497965175E-2</v>
      </c>
      <c r="T78" s="56">
        <f t="shared" si="9"/>
        <v>0.48812619146361946</v>
      </c>
    </row>
    <row r="79" spans="1:20" x14ac:dyDescent="0.25">
      <c r="A79">
        <v>8.1822991205050433E-2</v>
      </c>
      <c r="B79">
        <v>0.56406406656606123</v>
      </c>
      <c r="D79">
        <v>8.4124691477542424E-2</v>
      </c>
      <c r="E79">
        <v>0.76908986216039921</v>
      </c>
      <c r="J79">
        <v>10</v>
      </c>
      <c r="K79">
        <v>5.4913698477321304E-2</v>
      </c>
      <c r="L79">
        <v>8.5893757914940512</v>
      </c>
      <c r="M79">
        <v>20</v>
      </c>
      <c r="N79">
        <v>0.82063024478884472</v>
      </c>
      <c r="O79">
        <v>212.69017247130927</v>
      </c>
      <c r="P79" s="1">
        <f t="shared" si="5"/>
        <v>7.902841009385833</v>
      </c>
      <c r="Q79" s="1">
        <f t="shared" si="6"/>
        <v>1.185426151407875</v>
      </c>
      <c r="R79" s="1">
        <f t="shared" si="7"/>
        <v>1.0887727730834726</v>
      </c>
      <c r="S79" s="1">
        <f t="shared" si="8"/>
        <v>-0.70328406922131803</v>
      </c>
      <c r="T79" s="56">
        <f t="shared" si="9"/>
        <v>0.24384294846166465</v>
      </c>
    </row>
    <row r="80" spans="1:20" x14ac:dyDescent="0.25">
      <c r="A80">
        <v>8.2269875844882545E-2</v>
      </c>
      <c r="B80">
        <v>-1.4094712241785601</v>
      </c>
      <c r="D80">
        <v>8.4591516474281314E-2</v>
      </c>
      <c r="E80">
        <v>6.9629943448035192</v>
      </c>
      <c r="J80">
        <v>10</v>
      </c>
      <c r="K80">
        <v>0.47848538997641299</v>
      </c>
      <c r="L80">
        <v>8.5695207124727215</v>
      </c>
      <c r="M80">
        <v>20</v>
      </c>
      <c r="N80">
        <v>1.1533560916632268</v>
      </c>
      <c r="O80">
        <v>186.02631572175321</v>
      </c>
      <c r="P80" s="1">
        <f t="shared" si="5"/>
        <v>6.9498513012223544</v>
      </c>
      <c r="Q80" s="1">
        <f t="shared" si="6"/>
        <v>1.0424776951833532</v>
      </c>
      <c r="R80" s="1">
        <f t="shared" si="7"/>
        <v>1.0210179700589765</v>
      </c>
      <c r="S80" s="1">
        <f t="shared" si="8"/>
        <v>-0.66097827998838421</v>
      </c>
      <c r="T80" s="56">
        <f t="shared" si="9"/>
        <v>0.25701425911900344</v>
      </c>
    </row>
    <row r="81" spans="1:20" x14ac:dyDescent="0.25">
      <c r="A81">
        <v>8.2460267282881361E-2</v>
      </c>
      <c r="B81">
        <v>1.1633255780907348</v>
      </c>
      <c r="D81">
        <v>8.5629717218991486E-2</v>
      </c>
      <c r="E81">
        <v>-1.794699531956212</v>
      </c>
      <c r="J81">
        <v>10</v>
      </c>
      <c r="K81">
        <v>0.28764020498783793</v>
      </c>
      <c r="L81">
        <v>8.6546455317645119</v>
      </c>
      <c r="M81">
        <v>20</v>
      </c>
      <c r="N81">
        <v>-0.65660890754770662</v>
      </c>
      <c r="O81">
        <v>166.48119946997437</v>
      </c>
      <c r="P81" s="1">
        <f t="shared" si="5"/>
        <v>6.2548516072049605</v>
      </c>
      <c r="Q81" s="1">
        <f t="shared" si="6"/>
        <v>0.93822774108074403</v>
      </c>
      <c r="R81" s="1">
        <f t="shared" si="7"/>
        <v>0.96862156752817763</v>
      </c>
      <c r="S81" s="1">
        <f t="shared" si="8"/>
        <v>0.97483800091832662</v>
      </c>
      <c r="T81" s="56">
        <f t="shared" si="9"/>
        <v>0.83100601422176745</v>
      </c>
    </row>
    <row r="82" spans="1:20" x14ac:dyDescent="0.25">
      <c r="A82">
        <v>8.3532463980487526E-2</v>
      </c>
      <c r="B82">
        <v>0.1141916072811</v>
      </c>
      <c r="D82">
        <v>8.7480915071717291E-2</v>
      </c>
      <c r="E82">
        <v>-0.30408432735384849</v>
      </c>
      <c r="J82">
        <v>10</v>
      </c>
      <c r="K82">
        <v>0.37177437661739532</v>
      </c>
      <c r="L82">
        <v>5.7218757703931491</v>
      </c>
      <c r="M82">
        <v>20</v>
      </c>
      <c r="N82">
        <v>1.6207135331569589E-2</v>
      </c>
      <c r="O82">
        <v>131.47389973155947</v>
      </c>
      <c r="P82" s="1">
        <f t="shared" si="5"/>
        <v>4.8998491250697365</v>
      </c>
      <c r="Q82" s="1">
        <f t="shared" si="6"/>
        <v>0.73497736876046049</v>
      </c>
      <c r="R82" s="1">
        <f t="shared" si="7"/>
        <v>0.85730821106557731</v>
      </c>
      <c r="S82" s="1">
        <f t="shared" si="8"/>
        <v>0.41474843783880155</v>
      </c>
      <c r="T82" s="56">
        <f t="shared" si="9"/>
        <v>0.65925665342271544</v>
      </c>
    </row>
    <row r="83" spans="1:20" x14ac:dyDescent="0.25">
      <c r="A83">
        <v>8.8770217507495919E-2</v>
      </c>
      <c r="B83">
        <v>-1.2942973626195453</v>
      </c>
      <c r="D83">
        <v>8.9559848891652694E-2</v>
      </c>
      <c r="E83">
        <v>-4.1031505622868281</v>
      </c>
      <c r="J83">
        <v>10</v>
      </c>
      <c r="K83">
        <v>3.8554276216018479E-2</v>
      </c>
      <c r="L83">
        <v>7.4131228189114271</v>
      </c>
      <c r="M83">
        <v>20</v>
      </c>
      <c r="N83">
        <v>-0.41180385665029462</v>
      </c>
      <c r="O83">
        <v>125.86630793396603</v>
      </c>
      <c r="P83" s="1">
        <f t="shared" si="5"/>
        <v>4.7599796697456238</v>
      </c>
      <c r="Q83" s="1">
        <f t="shared" si="6"/>
        <v>0.71399695046184353</v>
      </c>
      <c r="R83" s="1">
        <f t="shared" si="7"/>
        <v>0.84498340247713954</v>
      </c>
      <c r="S83" s="1">
        <f t="shared" si="8"/>
        <v>0.53297867336334714</v>
      </c>
      <c r="T83" s="56">
        <f t="shared" si="9"/>
        <v>0.70087323075590557</v>
      </c>
    </row>
    <row r="84" spans="1:20" x14ac:dyDescent="0.25">
      <c r="A84">
        <v>9.0447816405803239E-2</v>
      </c>
      <c r="B84">
        <v>1.1197380445082672</v>
      </c>
      <c r="D84">
        <v>9.0454634061335137E-2</v>
      </c>
      <c r="E84">
        <v>-5.9837173046162206</v>
      </c>
      <c r="J84">
        <v>10</v>
      </c>
      <c r="K84">
        <v>-0.27863677587447455</v>
      </c>
      <c r="L84">
        <v>12.524497853636799</v>
      </c>
      <c r="M84">
        <v>20</v>
      </c>
      <c r="N84">
        <v>-0.25230162123079936</v>
      </c>
      <c r="O84">
        <v>215.14711136282523</v>
      </c>
      <c r="P84" s="1">
        <f t="shared" si="5"/>
        <v>8.1311289005879299</v>
      </c>
      <c r="Q84" s="1">
        <f t="shared" si="6"/>
        <v>1.2196693350881895</v>
      </c>
      <c r="R84" s="1">
        <f t="shared" si="7"/>
        <v>1.1043864066024127</v>
      </c>
      <c r="S84" s="1">
        <f t="shared" si="8"/>
        <v>-2.3845960513670144E-2</v>
      </c>
      <c r="T84" s="56">
        <f t="shared" si="9"/>
        <v>0.49057230653621142</v>
      </c>
    </row>
    <row r="85" spans="1:20" x14ac:dyDescent="0.25">
      <c r="A85">
        <v>9.0683070393390186E-2</v>
      </c>
      <c r="B85">
        <v>-0.86167347035370767</v>
      </c>
      <c r="D85">
        <v>9.22228891588871E-2</v>
      </c>
      <c r="E85">
        <v>-0.32619186981719395</v>
      </c>
      <c r="J85">
        <v>10</v>
      </c>
      <c r="K85">
        <v>-0.48210426939476747</v>
      </c>
      <c r="L85">
        <v>3.0708034655351297</v>
      </c>
      <c r="M85">
        <v>20</v>
      </c>
      <c r="N85">
        <v>-0.37949076045151742</v>
      </c>
      <c r="O85">
        <v>137.05153460189047</v>
      </c>
      <c r="P85" s="1">
        <f t="shared" si="5"/>
        <v>5.0043692166937719</v>
      </c>
      <c r="Q85" s="1">
        <f t="shared" si="6"/>
        <v>0.75065538250406572</v>
      </c>
      <c r="R85" s="1">
        <f t="shared" si="7"/>
        <v>0.86640370642331954</v>
      </c>
      <c r="S85" s="1">
        <f t="shared" si="8"/>
        <v>-0.11843613800644769</v>
      </c>
      <c r="T85" s="56">
        <f t="shared" si="9"/>
        <v>0.45328384459049198</v>
      </c>
    </row>
    <row r="86" spans="1:20" x14ac:dyDescent="0.25">
      <c r="A86">
        <v>9.1367568275620203E-2</v>
      </c>
      <c r="B86">
        <v>-3.2066600397229195</v>
      </c>
      <c r="D86">
        <v>9.4215122986327393E-2</v>
      </c>
      <c r="E86">
        <v>1.8143311956464458</v>
      </c>
      <c r="J86">
        <v>10</v>
      </c>
      <c r="K86">
        <v>-0.12984901331947185</v>
      </c>
      <c r="L86">
        <v>13.321412087708207</v>
      </c>
      <c r="M86">
        <v>20</v>
      </c>
      <c r="N86">
        <v>1.0390851309693971</v>
      </c>
      <c r="O86">
        <v>174.92917808019257</v>
      </c>
      <c r="P86" s="1">
        <f t="shared" si="5"/>
        <v>6.723235363139314</v>
      </c>
      <c r="Q86" s="1">
        <f t="shared" si="6"/>
        <v>1.008485304470897</v>
      </c>
      <c r="R86" s="1">
        <f t="shared" si="7"/>
        <v>1.0042336901692239</v>
      </c>
      <c r="S86" s="1">
        <f t="shared" si="8"/>
        <v>-1.1640061030932862</v>
      </c>
      <c r="T86" s="56">
        <f t="shared" si="9"/>
        <v>0.12712223682247803</v>
      </c>
    </row>
    <row r="87" spans="1:20" x14ac:dyDescent="0.25">
      <c r="A87">
        <v>9.2475287660167882E-2</v>
      </c>
      <c r="B87">
        <v>-5.1697952585527673E-2</v>
      </c>
      <c r="D87">
        <v>9.5399382042156144E-2</v>
      </c>
      <c r="E87">
        <v>-2.2826650399565551</v>
      </c>
      <c r="J87">
        <v>10</v>
      </c>
      <c r="K87">
        <v>0.22580900349566946</v>
      </c>
      <c r="L87">
        <v>8.8093523544092633</v>
      </c>
      <c r="M87">
        <v>20</v>
      </c>
      <c r="N87">
        <v>-0.1462065631585574</v>
      </c>
      <c r="O87">
        <v>153.42802474920569</v>
      </c>
      <c r="P87" s="1">
        <f t="shared" si="5"/>
        <v>5.7941920394148196</v>
      </c>
      <c r="Q87" s="1">
        <f t="shared" si="6"/>
        <v>0.86912880591222297</v>
      </c>
      <c r="R87" s="1">
        <f t="shared" si="7"/>
        <v>0.93227077928691027</v>
      </c>
      <c r="S87" s="1">
        <f t="shared" si="8"/>
        <v>0.39904239725155805</v>
      </c>
      <c r="T87" s="56">
        <f t="shared" si="9"/>
        <v>0.65355540268891876</v>
      </c>
    </row>
    <row r="88" spans="1:20" x14ac:dyDescent="0.25">
      <c r="A88">
        <v>9.2631890418851226E-2</v>
      </c>
      <c r="B88">
        <v>-0.31298100111598615</v>
      </c>
      <c r="D88">
        <v>9.65653278882872E-2</v>
      </c>
      <c r="E88">
        <v>-0.9850116418874677</v>
      </c>
      <c r="J88">
        <v>10</v>
      </c>
      <c r="K88">
        <v>0.14499300959869288</v>
      </c>
      <c r="L88">
        <v>11.347851163856978</v>
      </c>
      <c r="M88">
        <v>20</v>
      </c>
      <c r="N88">
        <v>0.15725509797448467</v>
      </c>
      <c r="O88">
        <v>117.80851589874757</v>
      </c>
      <c r="P88" s="1">
        <f t="shared" si="5"/>
        <v>4.6127273950930192</v>
      </c>
      <c r="Q88" s="1">
        <f t="shared" si="6"/>
        <v>0.69190910926395288</v>
      </c>
      <c r="R88" s="1">
        <f t="shared" si="7"/>
        <v>0.83181074125305265</v>
      </c>
      <c r="S88" s="1">
        <f t="shared" si="8"/>
        <v>-1.4741440291237392E-2</v>
      </c>
      <c r="T88" s="56">
        <f t="shared" si="9"/>
        <v>0.49417149885139378</v>
      </c>
    </row>
    <row r="89" spans="1:20" x14ac:dyDescent="0.25">
      <c r="A89">
        <v>9.3839048388794755E-2</v>
      </c>
      <c r="B89">
        <v>-0.43293880480632652</v>
      </c>
      <c r="D89">
        <v>9.6984028810724432E-2</v>
      </c>
      <c r="E89">
        <v>-9.0281598693309206</v>
      </c>
      <c r="J89">
        <v>10</v>
      </c>
      <c r="K89">
        <v>8.845177035254892E-2</v>
      </c>
      <c r="L89">
        <v>8.9350271980264449</v>
      </c>
      <c r="M89">
        <v>20</v>
      </c>
      <c r="N89">
        <v>0.79380839338227815</v>
      </c>
      <c r="O89">
        <v>121.77882415744986</v>
      </c>
      <c r="P89" s="1">
        <f t="shared" si="5"/>
        <v>4.6683518341241532</v>
      </c>
      <c r="Q89" s="1">
        <f t="shared" si="6"/>
        <v>0.70025277511862294</v>
      </c>
      <c r="R89" s="1">
        <f t="shared" si="7"/>
        <v>0.83681107492588969</v>
      </c>
      <c r="S89" s="1">
        <f t="shared" si="8"/>
        <v>-0.8429102388399885</v>
      </c>
      <c r="T89" s="56">
        <f t="shared" si="9"/>
        <v>0.2032108703088733</v>
      </c>
    </row>
    <row r="90" spans="1:20" x14ac:dyDescent="0.25">
      <c r="A90">
        <v>9.6635509756905491E-2</v>
      </c>
      <c r="B90">
        <v>-1.6068088370957412</v>
      </c>
      <c r="D90">
        <v>9.7532575585879577E-2</v>
      </c>
      <c r="E90">
        <v>1.6547387497212185</v>
      </c>
      <c r="J90">
        <v>10</v>
      </c>
      <c r="K90">
        <v>-2.4249402486020699E-3</v>
      </c>
      <c r="L90">
        <v>12.282809819155974</v>
      </c>
      <c r="M90">
        <v>20</v>
      </c>
      <c r="N90">
        <v>0.20113406776545162</v>
      </c>
      <c r="O90">
        <v>191.51425517913725</v>
      </c>
      <c r="P90" s="1">
        <f t="shared" si="5"/>
        <v>7.2784666070819011</v>
      </c>
      <c r="Q90" s="1">
        <f t="shared" si="6"/>
        <v>1.0917699910622851</v>
      </c>
      <c r="R90" s="1">
        <f t="shared" si="7"/>
        <v>1.0448779790302241</v>
      </c>
      <c r="S90" s="1">
        <f t="shared" si="8"/>
        <v>-0.19481605708925134</v>
      </c>
      <c r="T90" s="56">
        <f t="shared" si="9"/>
        <v>0.42347182797293337</v>
      </c>
    </row>
    <row r="91" spans="1:20" x14ac:dyDescent="0.25">
      <c r="A91">
        <v>9.6789997697527719E-2</v>
      </c>
      <c r="B91">
        <v>-0.33062406146200374</v>
      </c>
      <c r="D91">
        <v>9.7808023354107987E-2</v>
      </c>
      <c r="E91">
        <v>2.8194365279432532</v>
      </c>
      <c r="J91">
        <v>10</v>
      </c>
      <c r="K91">
        <v>-0.25625092803238658</v>
      </c>
      <c r="L91">
        <v>10.601172224354231</v>
      </c>
      <c r="M91">
        <v>20</v>
      </c>
      <c r="N91">
        <v>-1.9341068230005476</v>
      </c>
      <c r="O91">
        <v>176.83090529026941</v>
      </c>
      <c r="P91" s="1">
        <f t="shared" si="5"/>
        <v>6.6940027683794154</v>
      </c>
      <c r="Q91" s="1">
        <f t="shared" si="6"/>
        <v>1.0041004152569122</v>
      </c>
      <c r="R91" s="1">
        <f t="shared" si="7"/>
        <v>1.0020481102506567</v>
      </c>
      <c r="S91" s="1">
        <f t="shared" si="8"/>
        <v>1.6744264849204245</v>
      </c>
      <c r="T91" s="56">
        <f t="shared" si="9"/>
        <v>0.94740870179625658</v>
      </c>
    </row>
    <row r="92" spans="1:20" x14ac:dyDescent="0.25">
      <c r="A92">
        <v>9.7149232726786661E-2</v>
      </c>
      <c r="B92">
        <v>0.16688773030182347</v>
      </c>
      <c r="D92">
        <v>9.8038279120484018E-2</v>
      </c>
      <c r="E92">
        <v>-1.1048603062135953</v>
      </c>
      <c r="J92">
        <v>10</v>
      </c>
      <c r="K92">
        <v>0.11374152109056013</v>
      </c>
      <c r="L92">
        <v>16.102587148428178</v>
      </c>
      <c r="M92">
        <v>20</v>
      </c>
      <c r="N92">
        <v>0.16689397966729302</v>
      </c>
      <c r="O92">
        <v>115.79144727546782</v>
      </c>
      <c r="P92" s="1">
        <f t="shared" si="5"/>
        <v>4.7105012294248567</v>
      </c>
      <c r="Q92" s="1">
        <f t="shared" si="6"/>
        <v>0.70657518441372846</v>
      </c>
      <c r="R92" s="1">
        <f t="shared" si="7"/>
        <v>0.84058026649079054</v>
      </c>
      <c r="S92" s="1">
        <f t="shared" si="8"/>
        <v>-6.3233055420906958E-2</v>
      </c>
      <c r="T92" s="56">
        <f t="shared" si="9"/>
        <v>0.47501509105194312</v>
      </c>
    </row>
    <row r="93" spans="1:20" x14ac:dyDescent="0.25">
      <c r="A93">
        <v>9.8576161515339433E-2</v>
      </c>
      <c r="B93">
        <v>-0.22279550648818258</v>
      </c>
      <c r="D93">
        <v>9.8547127344237984E-2</v>
      </c>
      <c r="E93">
        <v>1.7249801624075189</v>
      </c>
      <c r="J93">
        <v>10</v>
      </c>
      <c r="K93">
        <v>-0.53030100843898254</v>
      </c>
      <c r="L93">
        <v>9.7591363465014282</v>
      </c>
      <c r="M93">
        <v>20</v>
      </c>
      <c r="N93">
        <v>0.9958794146314176</v>
      </c>
      <c r="O93">
        <v>133.66350172613568</v>
      </c>
      <c r="P93" s="1">
        <f t="shared" si="5"/>
        <v>5.1222370740227543</v>
      </c>
      <c r="Q93" s="1">
        <f t="shared" si="6"/>
        <v>0.76833556110341317</v>
      </c>
      <c r="R93" s="1">
        <f t="shared" si="7"/>
        <v>0.87654752358523791</v>
      </c>
      <c r="S93" s="1">
        <f t="shared" si="8"/>
        <v>-1.7411268436741982</v>
      </c>
      <c r="T93" s="56">
        <f t="shared" si="9"/>
        <v>4.6320277245597175E-2</v>
      </c>
    </row>
    <row r="94" spans="1:20" x14ac:dyDescent="0.25">
      <c r="A94">
        <v>9.9999196711127669E-2</v>
      </c>
      <c r="B94">
        <v>0.48805986807565205</v>
      </c>
      <c r="D94">
        <v>9.8730250823578225E-2</v>
      </c>
      <c r="E94">
        <v>1.9597935045112536</v>
      </c>
      <c r="J94">
        <v>10</v>
      </c>
      <c r="K94">
        <v>-9.0945945885323454E-2</v>
      </c>
      <c r="L94">
        <v>3.541423843253193</v>
      </c>
      <c r="M94">
        <v>20</v>
      </c>
      <c r="N94">
        <v>1.1103836607162521</v>
      </c>
      <c r="O94">
        <v>119.16487531062867</v>
      </c>
      <c r="P94" s="1">
        <f t="shared" si="5"/>
        <v>4.3823678269243524</v>
      </c>
      <c r="Q94" s="1">
        <f t="shared" si="6"/>
        <v>0.65735517403865285</v>
      </c>
      <c r="R94" s="1">
        <f t="shared" si="7"/>
        <v>0.81077442857964688</v>
      </c>
      <c r="S94" s="1">
        <f t="shared" si="8"/>
        <v>-1.4817063344068728</v>
      </c>
      <c r="T94" s="56">
        <f t="shared" si="9"/>
        <v>7.4792938845224657E-2</v>
      </c>
    </row>
    <row r="95" spans="1:20" x14ac:dyDescent="0.25">
      <c r="A95">
        <v>0.10077010267532116</v>
      </c>
      <c r="B95">
        <v>-0.62198523664847016</v>
      </c>
      <c r="D95">
        <v>0.10228318538929981</v>
      </c>
      <c r="E95">
        <v>-2.1654766476331133</v>
      </c>
      <c r="J95">
        <v>10</v>
      </c>
      <c r="K95">
        <v>4.0231498132925481E-2</v>
      </c>
      <c r="L95">
        <v>8.9321834281711379</v>
      </c>
      <c r="M95">
        <v>20</v>
      </c>
      <c r="N95">
        <v>-0.74886031939058739</v>
      </c>
      <c r="O95">
        <v>229.89751850084451</v>
      </c>
      <c r="P95" s="1">
        <f t="shared" si="5"/>
        <v>8.5296322117505579</v>
      </c>
      <c r="Q95" s="1">
        <f t="shared" si="6"/>
        <v>1.2794448317625837</v>
      </c>
      <c r="R95" s="1">
        <f t="shared" si="7"/>
        <v>1.1311254712730077</v>
      </c>
      <c r="S95" s="1">
        <f t="shared" si="8"/>
        <v>0.69761652227267212</v>
      </c>
      <c r="T95" s="56">
        <f t="shared" si="9"/>
        <v>0.75441508557802406</v>
      </c>
    </row>
    <row r="96" spans="1:20" x14ac:dyDescent="0.25">
      <c r="A96">
        <v>0.10255885638740192</v>
      </c>
      <c r="B96">
        <v>-0.63222842072718777</v>
      </c>
      <c r="D96">
        <v>0.10256699638485423</v>
      </c>
      <c r="E96">
        <v>0.15443742654497328</v>
      </c>
      <c r="J96">
        <v>10</v>
      </c>
      <c r="K96">
        <v>-0.20387176391523099</v>
      </c>
      <c r="L96">
        <v>9.5507404825018405</v>
      </c>
      <c r="M96">
        <v>20</v>
      </c>
      <c r="N96">
        <v>-0.86553695041402534</v>
      </c>
      <c r="O96">
        <v>180.55606919809145</v>
      </c>
      <c r="P96" s="1">
        <f t="shared" si="5"/>
        <v>6.7895289171640467</v>
      </c>
      <c r="Q96" s="1">
        <f t="shared" si="6"/>
        <v>1.018429337574607</v>
      </c>
      <c r="R96" s="1">
        <f t="shared" si="7"/>
        <v>1.0091726004874524</v>
      </c>
      <c r="S96" s="1">
        <f t="shared" si="8"/>
        <v>0.65565116034580773</v>
      </c>
      <c r="T96" s="56">
        <f t="shared" si="9"/>
        <v>0.74129994814735811</v>
      </c>
    </row>
    <row r="97" spans="1:20" x14ac:dyDescent="0.25">
      <c r="A97">
        <v>0.10299526631516054</v>
      </c>
      <c r="B97">
        <v>-1.1054908100049943E-2</v>
      </c>
      <c r="D97">
        <v>0.10622501903497039</v>
      </c>
      <c r="E97">
        <v>-2.8479046284246579</v>
      </c>
      <c r="J97">
        <v>10</v>
      </c>
      <c r="K97">
        <v>0.23083919131750008</v>
      </c>
      <c r="L97">
        <v>10.252587238728349</v>
      </c>
      <c r="M97">
        <v>20</v>
      </c>
      <c r="N97">
        <v>-0.46235311742748308</v>
      </c>
      <c r="O97">
        <v>237.12492937502216</v>
      </c>
      <c r="P97" s="1">
        <f t="shared" si="5"/>
        <v>8.8349113076339467</v>
      </c>
      <c r="Q97" s="1">
        <f t="shared" si="6"/>
        <v>1.3252366961450919</v>
      </c>
      <c r="R97" s="1">
        <f t="shared" si="7"/>
        <v>1.151189252966293</v>
      </c>
      <c r="S97" s="1">
        <f t="shared" si="8"/>
        <v>0.60215321412949285</v>
      </c>
      <c r="T97" s="56">
        <f t="shared" si="9"/>
        <v>0.72404118208994195</v>
      </c>
    </row>
    <row r="98" spans="1:20" x14ac:dyDescent="0.25">
      <c r="A98">
        <v>0.10647464791593853</v>
      </c>
      <c r="B98">
        <v>7.8299535744008608E-2</v>
      </c>
      <c r="D98">
        <v>0.10634009794455468</v>
      </c>
      <c r="E98">
        <v>-3.6076987760225165</v>
      </c>
      <c r="J98">
        <v>10</v>
      </c>
      <c r="K98">
        <v>-7.0184569267439656E-3</v>
      </c>
      <c r="L98">
        <v>4.3353969896000466</v>
      </c>
      <c r="M98">
        <v>20</v>
      </c>
      <c r="N98">
        <v>1.0201247243912803</v>
      </c>
      <c r="O98">
        <v>161.03953645330876</v>
      </c>
      <c r="P98" s="1">
        <f t="shared" si="5"/>
        <v>5.9062476229610281</v>
      </c>
      <c r="Q98" s="1">
        <f t="shared" si="6"/>
        <v>0.8859371434441542</v>
      </c>
      <c r="R98" s="1">
        <f t="shared" si="7"/>
        <v>0.94124234044381694</v>
      </c>
      <c r="S98" s="1">
        <f t="shared" si="8"/>
        <v>-1.0912632562127444</v>
      </c>
      <c r="T98" s="56">
        <f t="shared" si="9"/>
        <v>0.1422293952322502</v>
      </c>
    </row>
    <row r="99" spans="1:20" x14ac:dyDescent="0.25">
      <c r="A99">
        <v>0.10730886594521627</v>
      </c>
      <c r="B99">
        <v>-1.413404788763728</v>
      </c>
      <c r="D99">
        <v>0.10647766238126777</v>
      </c>
      <c r="E99">
        <v>1.1544814208264143</v>
      </c>
      <c r="J99">
        <v>10</v>
      </c>
      <c r="K99">
        <v>9.2394770945247728E-2</v>
      </c>
      <c r="L99">
        <v>9.1936412794123044</v>
      </c>
      <c r="M99">
        <v>20</v>
      </c>
      <c r="N99">
        <v>0.5397826009811979</v>
      </c>
      <c r="O99">
        <v>280.63396045243911</v>
      </c>
      <c r="P99" s="1">
        <f t="shared" si="5"/>
        <v>10.35098577613755</v>
      </c>
      <c r="Q99" s="1">
        <f t="shared" si="6"/>
        <v>1.5526478664206325</v>
      </c>
      <c r="R99" s="1">
        <f t="shared" si="7"/>
        <v>1.2460529147755453</v>
      </c>
      <c r="S99" s="1">
        <f t="shared" si="8"/>
        <v>-0.35904400586113094</v>
      </c>
      <c r="T99" s="56">
        <f t="shared" si="9"/>
        <v>0.3611277971281468</v>
      </c>
    </row>
    <row r="100" spans="1:20" x14ac:dyDescent="0.25">
      <c r="A100">
        <v>0.10745118832764111</v>
      </c>
      <c r="B100">
        <v>1.5259684005286545</v>
      </c>
      <c r="D100">
        <v>0.1082283281776073</v>
      </c>
      <c r="E100">
        <v>-4.4246478444165405</v>
      </c>
      <c r="J100">
        <v>10</v>
      </c>
      <c r="K100">
        <v>-0.44659623199549969</v>
      </c>
      <c r="L100">
        <v>8.5037366796248861</v>
      </c>
      <c r="M100">
        <v>20</v>
      </c>
      <c r="N100">
        <v>7.6085765385869308E-2</v>
      </c>
      <c r="O100">
        <v>171.87681068636331</v>
      </c>
      <c r="P100" s="1">
        <f t="shared" si="5"/>
        <v>6.4421624059281504</v>
      </c>
      <c r="Q100" s="1">
        <f t="shared" si="6"/>
        <v>0.96632436088922247</v>
      </c>
      <c r="R100" s="1">
        <f t="shared" si="7"/>
        <v>0.98301798604563817</v>
      </c>
      <c r="S100" s="1">
        <f t="shared" si="8"/>
        <v>-0.53171153000358495</v>
      </c>
      <c r="T100" s="56">
        <f t="shared" si="9"/>
        <v>0.29955972543562487</v>
      </c>
    </row>
    <row r="101" spans="1:20" x14ac:dyDescent="0.25">
      <c r="A101">
        <v>0.10847955573709855</v>
      </c>
      <c r="B101">
        <v>0.42555711843306199</v>
      </c>
      <c r="D101">
        <v>0.11037410051078</v>
      </c>
      <c r="E101">
        <v>0.10545431564423779</v>
      </c>
      <c r="J101">
        <v>10</v>
      </c>
      <c r="K101">
        <v>-4.1289922592113726E-2</v>
      </c>
      <c r="L101">
        <v>8.0181866949009528</v>
      </c>
      <c r="M101">
        <v>20</v>
      </c>
      <c r="N101">
        <v>0.71542978844263416</v>
      </c>
      <c r="O101">
        <v>332.11214489983792</v>
      </c>
      <c r="P101" s="1">
        <f t="shared" si="5"/>
        <v>12.147511842669246</v>
      </c>
      <c r="Q101" s="1">
        <f t="shared" si="6"/>
        <v>1.8221267764003868</v>
      </c>
      <c r="R101" s="1">
        <f t="shared" si="7"/>
        <v>1.349861761959493</v>
      </c>
      <c r="S101" s="1">
        <f t="shared" si="8"/>
        <v>-0.56059052294086376</v>
      </c>
      <c r="T101" s="56">
        <f t="shared" si="9"/>
        <v>0.2897676316472419</v>
      </c>
    </row>
    <row r="102" spans="1:20" x14ac:dyDescent="0.25">
      <c r="A102">
        <v>0.10919368360510051</v>
      </c>
      <c r="B102">
        <v>0.34861614039982669</v>
      </c>
      <c r="D102">
        <v>0.11110181897371696</v>
      </c>
      <c r="E102">
        <v>-1.3453734482027357E-3</v>
      </c>
      <c r="J102">
        <v>10</v>
      </c>
      <c r="K102">
        <v>-0.14964336969569558</v>
      </c>
      <c r="L102">
        <v>15.064632974034545</v>
      </c>
      <c r="M102">
        <v>20</v>
      </c>
      <c r="N102">
        <v>-0.62620097537546826</v>
      </c>
      <c r="O102">
        <v>215.98760640880838</v>
      </c>
      <c r="P102" s="1">
        <f t="shared" si="5"/>
        <v>8.2518656922443903</v>
      </c>
      <c r="Q102" s="1">
        <f t="shared" si="6"/>
        <v>1.2377798538366585</v>
      </c>
      <c r="R102" s="1">
        <f t="shared" si="7"/>
        <v>1.1125555508992162</v>
      </c>
      <c r="S102" s="1">
        <f t="shared" si="8"/>
        <v>0.42834499840893148</v>
      </c>
      <c r="T102" s="56">
        <f t="shared" si="9"/>
        <v>0.66416144204707317</v>
      </c>
    </row>
    <row r="103" spans="1:20" x14ac:dyDescent="0.25">
      <c r="A103">
        <v>0.11216397690497959</v>
      </c>
      <c r="B103">
        <v>-0.96500116342213005</v>
      </c>
      <c r="D103">
        <v>0.11267725083727598</v>
      </c>
      <c r="E103">
        <v>1.7025520230617985</v>
      </c>
      <c r="J103">
        <v>10</v>
      </c>
      <c r="K103">
        <v>-7.469634510925971E-2</v>
      </c>
      <c r="L103">
        <v>9.9832425200965815</v>
      </c>
      <c r="M103">
        <v>20</v>
      </c>
      <c r="N103">
        <v>-0.61356962874015153</v>
      </c>
      <c r="O103">
        <v>205.20218098886983</v>
      </c>
      <c r="P103" s="1">
        <f t="shared" si="5"/>
        <v>7.6851936967487999</v>
      </c>
      <c r="Q103" s="1">
        <f t="shared" si="6"/>
        <v>1.15277905451232</v>
      </c>
      <c r="R103" s="1">
        <f t="shared" si="7"/>
        <v>1.0736754884565074</v>
      </c>
      <c r="S103" s="1">
        <f t="shared" si="8"/>
        <v>0.50189586092308425</v>
      </c>
      <c r="T103" s="56">
        <f t="shared" si="9"/>
        <v>0.69016762417661703</v>
      </c>
    </row>
    <row r="104" spans="1:20" x14ac:dyDescent="0.25">
      <c r="A104">
        <v>0.11429670037048512</v>
      </c>
      <c r="B104">
        <v>-1.2111513569834642</v>
      </c>
      <c r="D104">
        <v>0.11308055763520886</v>
      </c>
      <c r="E104">
        <v>3.7423189917262789</v>
      </c>
      <c r="J104">
        <v>10</v>
      </c>
      <c r="K104">
        <v>0.72029376951832091</v>
      </c>
      <c r="L104">
        <v>10.657087817727589</v>
      </c>
      <c r="M104">
        <v>20</v>
      </c>
      <c r="N104">
        <v>1.0870448898003815</v>
      </c>
      <c r="O104">
        <v>158.41383546327981</v>
      </c>
      <c r="P104" s="1">
        <f t="shared" si="5"/>
        <v>6.0382472600359787</v>
      </c>
      <c r="Q104" s="1">
        <f t="shared" si="6"/>
        <v>0.90573708900539673</v>
      </c>
      <c r="R104" s="1">
        <f t="shared" si="7"/>
        <v>0.95170220605260591</v>
      </c>
      <c r="S104" s="1">
        <f t="shared" si="8"/>
        <v>-0.38536331843050092</v>
      </c>
      <c r="T104" s="56">
        <f t="shared" si="9"/>
        <v>0.35144018630276003</v>
      </c>
    </row>
    <row r="105" spans="1:20" x14ac:dyDescent="0.25">
      <c r="A105">
        <v>0.11475339743188928</v>
      </c>
      <c r="B105">
        <v>-1.0357848623243626</v>
      </c>
      <c r="D105">
        <v>0.11437408843006447</v>
      </c>
      <c r="E105">
        <v>-1.0422006687349494</v>
      </c>
      <c r="J105">
        <v>10</v>
      </c>
      <c r="K105">
        <v>-0.18871173779189121</v>
      </c>
      <c r="L105">
        <v>8.3730143848480427</v>
      </c>
      <c r="M105">
        <v>20</v>
      </c>
      <c r="N105">
        <v>-0.83195954289294605</v>
      </c>
      <c r="O105">
        <v>250.4061675456316</v>
      </c>
      <c r="P105" s="1">
        <f t="shared" si="5"/>
        <v>9.2421136403742725</v>
      </c>
      <c r="Q105" s="1">
        <f t="shared" si="6"/>
        <v>1.3863170460561409</v>
      </c>
      <c r="R105" s="1">
        <f t="shared" si="7"/>
        <v>1.1774196558815131</v>
      </c>
      <c r="S105" s="1">
        <f t="shared" si="8"/>
        <v>0.54631991396429225</v>
      </c>
      <c r="T105" s="56">
        <f t="shared" si="9"/>
        <v>0.70541336902211138</v>
      </c>
    </row>
    <row r="106" spans="1:20" x14ac:dyDescent="0.25">
      <c r="A106">
        <v>0.11478847726186281</v>
      </c>
      <c r="B106">
        <v>-0.32070261113403831</v>
      </c>
      <c r="D106">
        <v>0.1152279767742006</v>
      </c>
      <c r="E106">
        <v>8.7523887907536846</v>
      </c>
      <c r="J106">
        <v>10</v>
      </c>
      <c r="K106">
        <v>-2.1834694052813575E-3</v>
      </c>
      <c r="L106">
        <v>4.8004016730302226</v>
      </c>
      <c r="M106">
        <v>20</v>
      </c>
      <c r="N106">
        <v>0.32973349220810633</v>
      </c>
      <c r="O106">
        <v>206.60819633539199</v>
      </c>
      <c r="P106" s="1">
        <f t="shared" si="5"/>
        <v>7.5503070717293648</v>
      </c>
      <c r="Q106" s="1">
        <f t="shared" si="6"/>
        <v>1.1325460607594047</v>
      </c>
      <c r="R106" s="1">
        <f t="shared" si="7"/>
        <v>1.0642114737021984</v>
      </c>
      <c r="S106" s="1">
        <f t="shared" si="8"/>
        <v>-0.3118900423603862</v>
      </c>
      <c r="T106" s="56">
        <f t="shared" si="9"/>
        <v>0.37871738771765429</v>
      </c>
    </row>
    <row r="107" spans="1:20" x14ac:dyDescent="0.25">
      <c r="A107">
        <v>0.11743457173740257</v>
      </c>
      <c r="B107">
        <v>1.8435503079672344</v>
      </c>
      <c r="D107">
        <v>0.11600791815999056</v>
      </c>
      <c r="E107">
        <v>6.545372567643426</v>
      </c>
      <c r="J107">
        <v>10</v>
      </c>
      <c r="K107">
        <v>-0.76622427513939328</v>
      </c>
      <c r="L107">
        <v>19.592126382886946</v>
      </c>
      <c r="M107">
        <v>20</v>
      </c>
      <c r="N107">
        <v>-0.84058632751293771</v>
      </c>
      <c r="O107">
        <v>272.82335661690837</v>
      </c>
      <c r="P107" s="1">
        <f t="shared" si="5"/>
        <v>10.443410107135547</v>
      </c>
      <c r="Q107" s="1">
        <f t="shared" si="6"/>
        <v>1.566511516070332</v>
      </c>
      <c r="R107" s="1">
        <f t="shared" si="7"/>
        <v>1.2516035778433729</v>
      </c>
      <c r="S107" s="1">
        <f t="shared" si="8"/>
        <v>5.9413422660293945E-2</v>
      </c>
      <c r="T107" s="56">
        <f t="shared" si="9"/>
        <v>0.52347757701814335</v>
      </c>
    </row>
    <row r="108" spans="1:20" x14ac:dyDescent="0.25">
      <c r="A108">
        <v>0.11989294423240571</v>
      </c>
      <c r="B108">
        <v>0.32545813155593351</v>
      </c>
      <c r="D108">
        <v>0.11678163156105548</v>
      </c>
      <c r="E108">
        <v>1.513290723096361</v>
      </c>
      <c r="J108">
        <v>10</v>
      </c>
      <c r="K108">
        <v>7.3149976742570288E-2</v>
      </c>
      <c r="L108">
        <v>16.298978039858063</v>
      </c>
      <c r="M108">
        <v>20</v>
      </c>
      <c r="N108">
        <v>-0.85253077827474044</v>
      </c>
      <c r="O108">
        <v>174.89691447288166</v>
      </c>
      <c r="P108" s="1">
        <f t="shared" si="5"/>
        <v>6.8284247325978473</v>
      </c>
      <c r="Q108" s="1">
        <f t="shared" si="6"/>
        <v>1.024263709889677</v>
      </c>
      <c r="R108" s="1">
        <f t="shared" si="7"/>
        <v>1.012059143474173</v>
      </c>
      <c r="S108" s="1">
        <f t="shared" si="8"/>
        <v>0.91465084919805717</v>
      </c>
      <c r="T108" s="56">
        <f t="shared" si="9"/>
        <v>0.81590756705457523</v>
      </c>
    </row>
    <row r="109" spans="1:20" x14ac:dyDescent="0.25">
      <c r="A109">
        <v>0.12076595468951823</v>
      </c>
      <c r="B109">
        <v>1.6828198567964137</v>
      </c>
      <c r="D109">
        <v>0.11705358920204623</v>
      </c>
      <c r="E109">
        <v>-3.4494330554935004</v>
      </c>
      <c r="J109">
        <v>10</v>
      </c>
      <c r="K109">
        <v>0.30950195650802925</v>
      </c>
      <c r="L109">
        <v>7.2538671034535058</v>
      </c>
      <c r="M109">
        <v>20</v>
      </c>
      <c r="N109">
        <v>1.7539943507927092</v>
      </c>
      <c r="O109">
        <v>341.15880330833829</v>
      </c>
      <c r="P109" s="1">
        <f t="shared" si="5"/>
        <v>12.443309657563992</v>
      </c>
      <c r="Q109" s="1">
        <f t="shared" si="6"/>
        <v>1.8664964486345987</v>
      </c>
      <c r="R109" s="1">
        <f t="shared" si="7"/>
        <v>1.3661978072865579</v>
      </c>
      <c r="S109" s="1">
        <f t="shared" si="8"/>
        <v>-1.0573083828568171</v>
      </c>
      <c r="T109" s="56">
        <f t="shared" si="9"/>
        <v>0.14970401199600433</v>
      </c>
    </row>
    <row r="110" spans="1:20" x14ac:dyDescent="0.25">
      <c r="A110">
        <v>0.12087740251241252</v>
      </c>
      <c r="B110">
        <v>1.3769658835371956</v>
      </c>
      <c r="D110">
        <v>0.11761416695571325</v>
      </c>
      <c r="E110">
        <v>1.5275368207312567</v>
      </c>
      <c r="J110">
        <v>10</v>
      </c>
      <c r="K110">
        <v>0.13966007372800959</v>
      </c>
      <c r="L110">
        <v>8.7701451232486818</v>
      </c>
      <c r="M110">
        <v>20</v>
      </c>
      <c r="N110">
        <v>-0.63363234289681714</v>
      </c>
      <c r="O110">
        <v>262.04509627490921</v>
      </c>
      <c r="P110" s="1">
        <f t="shared" si="5"/>
        <v>9.6719729070770679</v>
      </c>
      <c r="Q110" s="1">
        <f t="shared" si="6"/>
        <v>1.4507959360615601</v>
      </c>
      <c r="R110" s="1">
        <f t="shared" si="7"/>
        <v>1.2044899069986266</v>
      </c>
      <c r="S110" s="1">
        <f t="shared" si="8"/>
        <v>0.64200821620144011</v>
      </c>
      <c r="T110" s="56">
        <f t="shared" si="9"/>
        <v>0.73695519852847613</v>
      </c>
    </row>
    <row r="111" spans="1:20" x14ac:dyDescent="0.25">
      <c r="A111">
        <v>0.125147240350172</v>
      </c>
      <c r="B111">
        <v>1.3901126294513233</v>
      </c>
      <c r="D111">
        <v>0.11915772983249795</v>
      </c>
      <c r="E111">
        <v>-0.21553478632085898</v>
      </c>
      <c r="J111">
        <v>10</v>
      </c>
      <c r="K111">
        <v>-0.6221947614903911</v>
      </c>
      <c r="L111">
        <v>3.8967677640691436</v>
      </c>
      <c r="M111">
        <v>20</v>
      </c>
      <c r="N111">
        <v>3.9475818311984767E-2</v>
      </c>
      <c r="O111">
        <v>286.52077358811408</v>
      </c>
      <c r="P111" s="1">
        <f t="shared" si="5"/>
        <v>10.372055048292257</v>
      </c>
      <c r="Q111" s="1">
        <f t="shared" si="6"/>
        <v>1.5558082572438385</v>
      </c>
      <c r="R111" s="1">
        <f t="shared" si="7"/>
        <v>1.2473204308612276</v>
      </c>
      <c r="S111" s="1">
        <f t="shared" si="8"/>
        <v>-0.53047361642710955</v>
      </c>
      <c r="T111" s="56">
        <f t="shared" si="9"/>
        <v>0.29998298336389129</v>
      </c>
    </row>
    <row r="112" spans="1:20" x14ac:dyDescent="0.25">
      <c r="A112">
        <v>0.12677798693357223</v>
      </c>
      <c r="B112">
        <v>0.65670860749378335</v>
      </c>
      <c r="D112">
        <v>0.12013370541959889</v>
      </c>
      <c r="E112">
        <v>-1.3791070648494497</v>
      </c>
      <c r="J112">
        <v>10</v>
      </c>
      <c r="K112">
        <v>-0.21881817247049185</v>
      </c>
      <c r="L112">
        <v>7.0484580575693858</v>
      </c>
      <c r="M112">
        <v>20</v>
      </c>
      <c r="N112">
        <v>0.56184392974500952</v>
      </c>
      <c r="O112">
        <v>172.06635283053768</v>
      </c>
      <c r="P112" s="1">
        <f t="shared" si="5"/>
        <v>6.3969575317181091</v>
      </c>
      <c r="Q112" s="1">
        <f t="shared" si="6"/>
        <v>0.95954362975771634</v>
      </c>
      <c r="R112" s="1">
        <f t="shared" si="7"/>
        <v>0.97956297896445454</v>
      </c>
      <c r="S112" s="1">
        <f t="shared" si="8"/>
        <v>-0.79694937332235505</v>
      </c>
      <c r="T112" s="56">
        <f t="shared" si="9"/>
        <v>0.21609333485221849</v>
      </c>
    </row>
    <row r="113" spans="1:20" x14ac:dyDescent="0.25">
      <c r="A113">
        <v>0.12792583518980494</v>
      </c>
      <c r="B113">
        <v>-0.82746851148840506</v>
      </c>
      <c r="D113">
        <v>0.12016001033522328</v>
      </c>
      <c r="E113">
        <v>3.6100420823004242</v>
      </c>
      <c r="J113">
        <v>10</v>
      </c>
      <c r="K113">
        <v>-0.20154789126536343</v>
      </c>
      <c r="L113">
        <v>8.1630458919588005</v>
      </c>
      <c r="M113">
        <v>20</v>
      </c>
      <c r="N113">
        <v>-0.44672794160760532</v>
      </c>
      <c r="O113">
        <v>258.02392137435243</v>
      </c>
      <c r="P113" s="1">
        <f t="shared" si="5"/>
        <v>9.5066774023682576</v>
      </c>
      <c r="Q113" s="1">
        <f t="shared" si="6"/>
        <v>1.4260016103552386</v>
      </c>
      <c r="R113" s="1">
        <f t="shared" si="7"/>
        <v>1.194153093349106</v>
      </c>
      <c r="S113" s="1">
        <f t="shared" si="8"/>
        <v>0.20531710021753841</v>
      </c>
      <c r="T113" s="56">
        <f t="shared" si="9"/>
        <v>0.58059511485342008</v>
      </c>
    </row>
    <row r="114" spans="1:20" x14ac:dyDescent="0.25">
      <c r="A114">
        <v>0.13028341606582516</v>
      </c>
      <c r="B114">
        <v>-1.7252887118957005</v>
      </c>
      <c r="D114">
        <v>0.12231935806736527</v>
      </c>
      <c r="E114">
        <v>-3.0321455176363088</v>
      </c>
      <c r="J114">
        <v>10</v>
      </c>
      <c r="K114">
        <v>-6.6931988840224221E-3</v>
      </c>
      <c r="L114">
        <v>9.9036853707593213</v>
      </c>
      <c r="M114">
        <v>20</v>
      </c>
      <c r="N114">
        <v>0.15368555864370137</v>
      </c>
      <c r="O114">
        <v>250.13457495794574</v>
      </c>
      <c r="P114" s="1">
        <f t="shared" si="5"/>
        <v>9.2870807260251809</v>
      </c>
      <c r="Q114" s="1">
        <f t="shared" si="6"/>
        <v>1.3930621089037771</v>
      </c>
      <c r="R114" s="1">
        <f t="shared" si="7"/>
        <v>1.1802805212760978</v>
      </c>
      <c r="S114" s="1">
        <f t="shared" si="8"/>
        <v>-0.13588189810531245</v>
      </c>
      <c r="T114" s="56">
        <f t="shared" si="9"/>
        <v>0.44644343567456363</v>
      </c>
    </row>
    <row r="115" spans="1:20" x14ac:dyDescent="0.25">
      <c r="A115">
        <v>0.13054154999689238</v>
      </c>
      <c r="B115">
        <v>0.98966665973421186</v>
      </c>
      <c r="D115">
        <v>0.12391531411856838</v>
      </c>
      <c r="E115">
        <v>6.9665413741404336</v>
      </c>
      <c r="J115">
        <v>10</v>
      </c>
      <c r="K115">
        <v>3.6612163967220113E-2</v>
      </c>
      <c r="L115">
        <v>5.776700883368135</v>
      </c>
      <c r="M115">
        <v>20</v>
      </c>
      <c r="N115">
        <v>-0.34587020877552277</v>
      </c>
      <c r="O115">
        <v>218.79503855778705</v>
      </c>
      <c r="P115" s="1">
        <f t="shared" si="5"/>
        <v>8.0204192657555424</v>
      </c>
      <c r="Q115" s="1">
        <f t="shared" si="6"/>
        <v>1.2030628898633313</v>
      </c>
      <c r="R115" s="1">
        <f t="shared" si="7"/>
        <v>1.0968422356306906</v>
      </c>
      <c r="S115" s="1">
        <f t="shared" si="8"/>
        <v>0.34871229454691205</v>
      </c>
      <c r="T115" s="56">
        <f t="shared" si="9"/>
        <v>0.63504305517309712</v>
      </c>
    </row>
    <row r="116" spans="1:20" x14ac:dyDescent="0.25">
      <c r="A116">
        <v>0.1314907045118523</v>
      </c>
      <c r="B116">
        <v>1.0985127119056415</v>
      </c>
      <c r="D116">
        <v>0.12432614096039629</v>
      </c>
      <c r="E116">
        <v>-3.0075345910063334</v>
      </c>
      <c r="J116">
        <v>10</v>
      </c>
      <c r="K116">
        <v>8.3330519373703282E-2</v>
      </c>
      <c r="L116">
        <v>12.28755236212853</v>
      </c>
      <c r="M116">
        <v>20</v>
      </c>
      <c r="N116">
        <v>-2.0438793626453844E-2</v>
      </c>
      <c r="O116">
        <v>135.41299782417025</v>
      </c>
      <c r="P116" s="1">
        <f t="shared" si="5"/>
        <v>5.2750196495106705</v>
      </c>
      <c r="Q116" s="1">
        <f t="shared" si="6"/>
        <v>0.79125294742660057</v>
      </c>
      <c r="R116" s="1">
        <f t="shared" si="7"/>
        <v>0.88952400047812119</v>
      </c>
      <c r="S116" s="1">
        <f t="shared" si="8"/>
        <v>0.11665712554622572</v>
      </c>
      <c r="T116" s="56">
        <f t="shared" si="9"/>
        <v>0.54601775347704828</v>
      </c>
    </row>
    <row r="117" spans="1:20" x14ac:dyDescent="0.25">
      <c r="A117">
        <v>0.13248085864484349</v>
      </c>
      <c r="B117">
        <v>6.9171619543340057E-2</v>
      </c>
      <c r="D117">
        <v>0.12642826981518096</v>
      </c>
      <c r="E117">
        <v>-1.3207379686264176</v>
      </c>
      <c r="J117">
        <v>10</v>
      </c>
      <c r="K117">
        <v>5.0307562560192309E-2</v>
      </c>
      <c r="L117">
        <v>9.3718429945150685</v>
      </c>
      <c r="M117">
        <v>20</v>
      </c>
      <c r="N117">
        <v>-0.66953458940588462</v>
      </c>
      <c r="O117">
        <v>125.63682747743945</v>
      </c>
      <c r="P117" s="1">
        <f t="shared" si="5"/>
        <v>4.8217382311412331</v>
      </c>
      <c r="Q117" s="1">
        <f t="shared" si="6"/>
        <v>0.7232607346711849</v>
      </c>
      <c r="R117" s="1">
        <f t="shared" si="7"/>
        <v>0.8504473732519755</v>
      </c>
      <c r="S117" s="1">
        <f t="shared" si="8"/>
        <v>0.84642762692477369</v>
      </c>
      <c r="T117" s="56">
        <f t="shared" si="9"/>
        <v>0.79775474369730692</v>
      </c>
    </row>
    <row r="118" spans="1:20" x14ac:dyDescent="0.25">
      <c r="A118">
        <v>0.13483258157011391</v>
      </c>
      <c r="B118">
        <v>-0.27702299121301621</v>
      </c>
      <c r="D118">
        <v>0.12781936025051999</v>
      </c>
      <c r="E118">
        <v>-4.9376437834780518</v>
      </c>
      <c r="J118">
        <v>10</v>
      </c>
      <c r="K118">
        <v>-7.0366468207794242E-2</v>
      </c>
      <c r="L118">
        <v>9.3481098463349994</v>
      </c>
      <c r="M118">
        <v>20</v>
      </c>
      <c r="N118">
        <v>0.83567919887173048</v>
      </c>
      <c r="O118">
        <v>242.22466437453289</v>
      </c>
      <c r="P118" s="1">
        <f t="shared" si="5"/>
        <v>8.9847419364595673</v>
      </c>
      <c r="Q118" s="1">
        <f t="shared" si="6"/>
        <v>1.347711290468935</v>
      </c>
      <c r="R118" s="1">
        <f t="shared" si="7"/>
        <v>1.1609096823047584</v>
      </c>
      <c r="S118" s="1">
        <f t="shared" si="8"/>
        <v>-0.78046180584931357</v>
      </c>
      <c r="T118" s="56">
        <f t="shared" si="9"/>
        <v>0.22083376301197205</v>
      </c>
    </row>
    <row r="119" spans="1:20" x14ac:dyDescent="0.25">
      <c r="A119">
        <v>0.1352929049365974</v>
      </c>
      <c r="B119">
        <v>0.95989662440842949</v>
      </c>
      <c r="D119">
        <v>0.12839005884809129</v>
      </c>
      <c r="E119">
        <v>-8.7208234197078127</v>
      </c>
      <c r="J119">
        <v>10</v>
      </c>
      <c r="K119">
        <v>-0.31252920962288044</v>
      </c>
      <c r="L119">
        <v>9.8826188987807164</v>
      </c>
      <c r="M119">
        <v>20</v>
      </c>
      <c r="N119">
        <v>-1.1327362017254927E-2</v>
      </c>
      <c r="O119">
        <v>171.26617175056282</v>
      </c>
      <c r="P119" s="1">
        <f t="shared" si="5"/>
        <v>6.4695996660479835</v>
      </c>
      <c r="Q119" s="1">
        <f t="shared" si="6"/>
        <v>0.97043994990719751</v>
      </c>
      <c r="R119" s="1">
        <f t="shared" si="7"/>
        <v>0.9851091055853648</v>
      </c>
      <c r="S119" s="1">
        <f t="shared" si="8"/>
        <v>-0.30575481020109685</v>
      </c>
      <c r="T119" s="56">
        <f t="shared" si="9"/>
        <v>0.38102653075998022</v>
      </c>
    </row>
    <row r="120" spans="1:20" x14ac:dyDescent="0.25">
      <c r="A120">
        <v>0.13589157550823494</v>
      </c>
      <c r="B120">
        <v>-0.81375674199080095</v>
      </c>
      <c r="D120">
        <v>0.12858655243949058</v>
      </c>
      <c r="E120">
        <v>3.2936061381860782</v>
      </c>
      <c r="J120">
        <v>10</v>
      </c>
      <c r="K120">
        <v>-3.106845269940095E-2</v>
      </c>
      <c r="L120">
        <v>6.0731826436717053</v>
      </c>
      <c r="M120">
        <v>20</v>
      </c>
      <c r="N120">
        <v>0.76199699719836644</v>
      </c>
      <c r="O120">
        <v>259.34217937033509</v>
      </c>
      <c r="P120" s="1">
        <f t="shared" si="5"/>
        <v>9.4791200719288149</v>
      </c>
      <c r="Q120" s="1">
        <f t="shared" si="6"/>
        <v>1.4218680107893222</v>
      </c>
      <c r="R120" s="1">
        <f t="shared" si="7"/>
        <v>1.192421071094151</v>
      </c>
      <c r="S120" s="1">
        <f t="shared" si="8"/>
        <v>-0.66508842314406624</v>
      </c>
      <c r="T120" s="56">
        <f t="shared" si="9"/>
        <v>0.25571771273938959</v>
      </c>
    </row>
    <row r="121" spans="1:20" x14ac:dyDescent="0.25">
      <c r="A121">
        <v>0.13633324122752288</v>
      </c>
      <c r="B121">
        <v>0.35912080420530401</v>
      </c>
      <c r="D121">
        <v>0.13025306885182286</v>
      </c>
      <c r="E121">
        <v>-3.6693079471206147</v>
      </c>
      <c r="J121">
        <v>10</v>
      </c>
      <c r="K121">
        <v>0.12831162621296244</v>
      </c>
      <c r="L121">
        <v>4.3509724451678053</v>
      </c>
      <c r="M121">
        <v>20</v>
      </c>
      <c r="N121">
        <v>-2.5130592575806077E-2</v>
      </c>
      <c r="O121">
        <v>158.69508787274106</v>
      </c>
      <c r="P121" s="1">
        <f t="shared" si="5"/>
        <v>5.8230735827824587</v>
      </c>
      <c r="Q121" s="1">
        <f t="shared" si="6"/>
        <v>0.8734610374173688</v>
      </c>
      <c r="R121" s="1">
        <f t="shared" si="7"/>
        <v>0.93459137456824881</v>
      </c>
      <c r="S121" s="1">
        <f t="shared" si="8"/>
        <v>0.16418107738224513</v>
      </c>
      <c r="T121" s="56">
        <f t="shared" si="9"/>
        <v>0.56461597739464964</v>
      </c>
    </row>
    <row r="122" spans="1:20" x14ac:dyDescent="0.25">
      <c r="A122">
        <v>0.1380684647502588</v>
      </c>
      <c r="B122">
        <v>1.2357304512988776</v>
      </c>
      <c r="D122">
        <v>0.13049869869656783</v>
      </c>
      <c r="E122">
        <v>1.7140287093297957</v>
      </c>
      <c r="J122">
        <v>10</v>
      </c>
      <c r="K122">
        <v>-2.13651674130233E-2</v>
      </c>
      <c r="L122">
        <v>10.872223012235638</v>
      </c>
      <c r="M122">
        <v>20</v>
      </c>
      <c r="N122">
        <v>0.43539983721530007</v>
      </c>
      <c r="O122">
        <v>229.21959831766529</v>
      </c>
      <c r="P122" s="1">
        <f t="shared" si="5"/>
        <v>8.57470790463932</v>
      </c>
      <c r="Q122" s="1">
        <f t="shared" si="6"/>
        <v>1.286206185695898</v>
      </c>
      <c r="R122" s="1">
        <f t="shared" si="7"/>
        <v>1.134110305788594</v>
      </c>
      <c r="S122" s="1">
        <f t="shared" si="8"/>
        <v>-0.40275183313030183</v>
      </c>
      <c r="T122" s="56">
        <f t="shared" si="9"/>
        <v>0.34509470765987804</v>
      </c>
    </row>
    <row r="123" spans="1:20" x14ac:dyDescent="0.25">
      <c r="A123">
        <v>0.138448311545458</v>
      </c>
      <c r="B123">
        <v>0.48212314140982926</v>
      </c>
      <c r="D123">
        <v>0.13215324694411501</v>
      </c>
      <c r="E123">
        <v>-1.2145249036166206</v>
      </c>
      <c r="J123">
        <v>10</v>
      </c>
      <c r="K123">
        <v>6.1064497458573896E-2</v>
      </c>
      <c r="L123">
        <v>11.661157739512113</v>
      </c>
      <c r="M123">
        <v>20</v>
      </c>
      <c r="N123">
        <v>1.2228834941652167</v>
      </c>
      <c r="O123">
        <v>234.93121551686767</v>
      </c>
      <c r="P123" s="1">
        <f t="shared" si="5"/>
        <v>8.8068704734421352</v>
      </c>
      <c r="Q123" s="1">
        <f t="shared" si="6"/>
        <v>1.3210305710163202</v>
      </c>
      <c r="R123" s="1">
        <f t="shared" si="7"/>
        <v>1.1493609402691221</v>
      </c>
      <c r="S123" s="1">
        <f t="shared" si="8"/>
        <v>-1.0108391158956591</v>
      </c>
      <c r="T123" s="56">
        <f t="shared" si="9"/>
        <v>0.16037471016577215</v>
      </c>
    </row>
    <row r="124" spans="1:20" x14ac:dyDescent="0.25">
      <c r="A124">
        <v>0.138817091714454</v>
      </c>
      <c r="B124">
        <v>-0.57522129282006063</v>
      </c>
      <c r="D124">
        <v>0.13449110107220275</v>
      </c>
      <c r="E124">
        <v>-4.9061297920616198</v>
      </c>
      <c r="J124">
        <v>10</v>
      </c>
      <c r="K124">
        <v>0.34332504128542496</v>
      </c>
      <c r="L124">
        <v>10.751622286376943</v>
      </c>
      <c r="M124">
        <v>20</v>
      </c>
      <c r="N124">
        <v>0.52832160349680635</v>
      </c>
      <c r="O124">
        <v>157.81985296112433</v>
      </c>
      <c r="P124" s="1">
        <f t="shared" si="5"/>
        <v>6.0204098302679023</v>
      </c>
      <c r="Q124" s="1">
        <f t="shared" si="6"/>
        <v>0.90306147454018526</v>
      </c>
      <c r="R124" s="1">
        <f t="shared" si="7"/>
        <v>0.95029546696813472</v>
      </c>
      <c r="S124" s="1">
        <f t="shared" si="8"/>
        <v>-0.19467267670086097</v>
      </c>
      <c r="T124" s="56">
        <f t="shared" si="9"/>
        <v>0.42352741830558244</v>
      </c>
    </row>
    <row r="125" spans="1:20" x14ac:dyDescent="0.25">
      <c r="A125">
        <v>0.13988590146859403</v>
      </c>
      <c r="B125">
        <v>0.32779780667624436</v>
      </c>
      <c r="D125">
        <v>0.13543071684281494</v>
      </c>
      <c r="E125">
        <v>-2.0694612919669453</v>
      </c>
      <c r="J125">
        <v>10</v>
      </c>
      <c r="K125">
        <v>-0.38946041058807168</v>
      </c>
      <c r="L125">
        <v>3.4474344974960212</v>
      </c>
      <c r="M125">
        <v>20</v>
      </c>
      <c r="N125">
        <v>-0.10172903216698614</v>
      </c>
      <c r="O125">
        <v>276.00858194225628</v>
      </c>
      <c r="P125" s="1">
        <f t="shared" si="5"/>
        <v>9.9805720157054392</v>
      </c>
      <c r="Q125" s="1">
        <f t="shared" si="6"/>
        <v>1.4970858023558158</v>
      </c>
      <c r="R125" s="1">
        <f t="shared" si="7"/>
        <v>1.2235545767785823</v>
      </c>
      <c r="S125" s="1">
        <f t="shared" si="8"/>
        <v>-0.23516023222979957</v>
      </c>
      <c r="T125" s="56">
        <f t="shared" si="9"/>
        <v>0.40789787710044906</v>
      </c>
    </row>
    <row r="126" spans="1:20" x14ac:dyDescent="0.25">
      <c r="A126">
        <v>0.14038849219113425</v>
      </c>
      <c r="B126">
        <v>0.84100975072942674</v>
      </c>
      <c r="D126">
        <v>0.13555878692623169</v>
      </c>
      <c r="E126">
        <v>0.31336139386439754</v>
      </c>
      <c r="J126">
        <v>10</v>
      </c>
      <c r="K126">
        <v>-0.6273163535297499</v>
      </c>
      <c r="L126">
        <v>14.186814347637013</v>
      </c>
      <c r="M126">
        <v>20</v>
      </c>
      <c r="N126">
        <v>0.55912516586431593</v>
      </c>
      <c r="O126">
        <v>217.13449681815112</v>
      </c>
      <c r="P126" s="1">
        <f t="shared" si="5"/>
        <v>8.2614753987781473</v>
      </c>
      <c r="Q126" s="1">
        <f t="shared" si="6"/>
        <v>1.239221309816722</v>
      </c>
      <c r="R126" s="1">
        <f t="shared" si="7"/>
        <v>1.1132031754431542</v>
      </c>
      <c r="S126" s="1">
        <f t="shared" si="8"/>
        <v>-1.0657906351387798</v>
      </c>
      <c r="T126" s="56">
        <f t="shared" si="9"/>
        <v>0.14781135440319976</v>
      </c>
    </row>
    <row r="127" spans="1:20" x14ac:dyDescent="0.25">
      <c r="A127">
        <v>0.14255217583485402</v>
      </c>
      <c r="B127">
        <v>0.58554178394842893</v>
      </c>
      <c r="D127">
        <v>0.13612192721311545</v>
      </c>
      <c r="E127">
        <v>-4.1438595451381843</v>
      </c>
      <c r="J127">
        <v>10</v>
      </c>
      <c r="K127">
        <v>-4.5842284635000397E-2</v>
      </c>
      <c r="L127">
        <v>11.655352992691718</v>
      </c>
      <c r="M127">
        <v>20</v>
      </c>
      <c r="N127">
        <v>-0.36292169966145593</v>
      </c>
      <c r="O127">
        <v>128.29921436544279</v>
      </c>
      <c r="P127" s="1">
        <f t="shared" si="5"/>
        <v>4.9983774056476609</v>
      </c>
      <c r="Q127" s="1">
        <f t="shared" si="6"/>
        <v>0.74975661084714906</v>
      </c>
      <c r="R127" s="1">
        <f t="shared" si="7"/>
        <v>0.86588487158925986</v>
      </c>
      <c r="S127" s="1">
        <f t="shared" si="8"/>
        <v>0.36619119403770456</v>
      </c>
      <c r="T127" s="56">
        <f t="shared" si="9"/>
        <v>0.64151256874701945</v>
      </c>
    </row>
    <row r="128" spans="1:20" x14ac:dyDescent="0.25">
      <c r="A128">
        <v>0.14299007829162624</v>
      </c>
      <c r="B128">
        <v>1.124044501921162</v>
      </c>
      <c r="D128">
        <v>0.13613225108422167</v>
      </c>
      <c r="E128">
        <v>-5.7638287705685798</v>
      </c>
      <c r="J128">
        <v>10</v>
      </c>
      <c r="K128">
        <v>0.31109061637835111</v>
      </c>
      <c r="L128">
        <v>5.8902071187646685</v>
      </c>
      <c r="M128">
        <v>20</v>
      </c>
      <c r="N128">
        <v>-0.10918785505964479</v>
      </c>
      <c r="O128">
        <v>204.59467629017297</v>
      </c>
      <c r="P128" s="1">
        <f t="shared" si="5"/>
        <v>7.5173172646049151</v>
      </c>
      <c r="Q128" s="1">
        <f t="shared" si="6"/>
        <v>1.1275975896907373</v>
      </c>
      <c r="R128" s="1">
        <f t="shared" si="7"/>
        <v>1.0618839812760796</v>
      </c>
      <c r="S128" s="1">
        <f t="shared" si="8"/>
        <v>0.39578567795414132</v>
      </c>
      <c r="T128" s="56">
        <f t="shared" si="9"/>
        <v>0.65236856153844536</v>
      </c>
    </row>
    <row r="129" spans="1:20" x14ac:dyDescent="0.25">
      <c r="A129">
        <v>0.14456763972795961</v>
      </c>
      <c r="B129">
        <v>1.0621761248330586</v>
      </c>
      <c r="D129">
        <v>0.136658871846848</v>
      </c>
      <c r="E129">
        <v>-1.9538520098194567</v>
      </c>
      <c r="J129">
        <v>10</v>
      </c>
      <c r="K129">
        <v>0.48455808610015083</v>
      </c>
      <c r="L129">
        <v>9.2932468519419533</v>
      </c>
      <c r="M129">
        <v>20</v>
      </c>
      <c r="N129">
        <v>5.2778713097723085E-2</v>
      </c>
      <c r="O129">
        <v>190.79480047448249</v>
      </c>
      <c r="P129" s="1">
        <f t="shared" si="5"/>
        <v>7.1460016902294443</v>
      </c>
      <c r="Q129" s="1">
        <f t="shared" si="6"/>
        <v>1.0719002535344166</v>
      </c>
      <c r="R129" s="1">
        <f t="shared" si="7"/>
        <v>1.0353261580460607</v>
      </c>
      <c r="S129" s="1">
        <f t="shared" si="8"/>
        <v>0.41704671484135175</v>
      </c>
      <c r="T129" s="56">
        <f t="shared" si="9"/>
        <v>0.66008775413123888</v>
      </c>
    </row>
    <row r="130" spans="1:20" x14ac:dyDescent="0.25">
      <c r="A130">
        <v>0.1446246956198306</v>
      </c>
      <c r="B130">
        <v>-1.8086984709952958</v>
      </c>
      <c r="D130">
        <v>0.13734881130768872</v>
      </c>
      <c r="E130">
        <v>0.29463035048138408</v>
      </c>
      <c r="J130">
        <v>10</v>
      </c>
      <c r="K130">
        <v>0.98815735327661969</v>
      </c>
      <c r="L130">
        <v>15.864111854683889</v>
      </c>
      <c r="M130">
        <v>20</v>
      </c>
      <c r="N130">
        <v>-0.97450902444506937</v>
      </c>
      <c r="O130">
        <v>88.384488293681201</v>
      </c>
      <c r="P130" s="1">
        <f t="shared" ref="P130:P193" si="10">(L130+O130)/(J130+M130-2)</f>
        <v>3.7231642910130387</v>
      </c>
      <c r="Q130" s="1">
        <f t="shared" ref="Q130:Q193" si="11">P130*0.15</f>
        <v>0.55847464365195576</v>
      </c>
      <c r="R130" s="1">
        <f t="shared" ref="R130:R193" si="12">SQRT(Q130)</f>
        <v>0.74731161081034714</v>
      </c>
      <c r="S130" s="1">
        <f t="shared" ref="S130:S193" si="13">(K130-N130)/R130</f>
        <v>2.6263025347531697</v>
      </c>
      <c r="T130" s="56">
        <f t="shared" ref="T130:T193" si="14">_xlfn.T.DIST(S130,28,TRUE)</f>
        <v>0.99308135352529869</v>
      </c>
    </row>
    <row r="131" spans="1:20" x14ac:dyDescent="0.25">
      <c r="A131">
        <v>0.14521763939938659</v>
      </c>
      <c r="B131">
        <v>-0.28538011065393221</v>
      </c>
      <c r="D131">
        <v>0.13918315737853737</v>
      </c>
      <c r="E131">
        <v>-5.1132899477579485</v>
      </c>
      <c r="J131">
        <v>10</v>
      </c>
      <c r="K131">
        <v>-0.11824579360109055</v>
      </c>
      <c r="L131">
        <v>6.4393134432752497</v>
      </c>
      <c r="M131">
        <v>20</v>
      </c>
      <c r="N131">
        <v>-1.4260451769132487</v>
      </c>
      <c r="O131">
        <v>161.2629350617805</v>
      </c>
      <c r="P131" s="1">
        <f t="shared" si="10"/>
        <v>5.9893660180377051</v>
      </c>
      <c r="Q131" s="1">
        <f t="shared" si="11"/>
        <v>0.89840490270565576</v>
      </c>
      <c r="R131" s="1">
        <f t="shared" si="12"/>
        <v>0.94784223513497001</v>
      </c>
      <c r="S131" s="1">
        <f t="shared" si="13"/>
        <v>1.3797648330430552</v>
      </c>
      <c r="T131" s="56">
        <f t="shared" si="14"/>
        <v>0.91071065724520894</v>
      </c>
    </row>
    <row r="132" spans="1:20" x14ac:dyDescent="0.25">
      <c r="A132">
        <v>0.14575501292564141</v>
      </c>
      <c r="B132">
        <v>-0.17736965673975646</v>
      </c>
      <c r="D132">
        <v>0.14029893095734447</v>
      </c>
      <c r="E132">
        <v>3.3160274563215353</v>
      </c>
      <c r="J132">
        <v>10</v>
      </c>
      <c r="K132">
        <v>-7.0255282480502501E-2</v>
      </c>
      <c r="L132">
        <v>12.16487454553083</v>
      </c>
      <c r="M132">
        <v>20</v>
      </c>
      <c r="N132">
        <v>0.16470914601995901</v>
      </c>
      <c r="O132">
        <v>124.75326514099959</v>
      </c>
      <c r="P132" s="1">
        <f t="shared" si="10"/>
        <v>4.8899335602332297</v>
      </c>
      <c r="Q132" s="1">
        <f t="shared" si="11"/>
        <v>0.73349003403498447</v>
      </c>
      <c r="R132" s="1">
        <f t="shared" si="12"/>
        <v>0.85644032718863983</v>
      </c>
      <c r="S132" s="1">
        <f t="shared" si="13"/>
        <v>-0.2743500288826406</v>
      </c>
      <c r="T132" s="56">
        <f t="shared" si="14"/>
        <v>0.39291482502029684</v>
      </c>
    </row>
    <row r="133" spans="1:20" x14ac:dyDescent="0.25">
      <c r="A133">
        <v>0.14687229290858417</v>
      </c>
      <c r="B133">
        <v>-0.61994342104298994</v>
      </c>
      <c r="D133">
        <v>0.14071568159199932</v>
      </c>
      <c r="E133">
        <v>-4.7343853600523289</v>
      </c>
      <c r="J133">
        <v>10</v>
      </c>
      <c r="K133">
        <v>-8.1320308709109668E-2</v>
      </c>
      <c r="L133">
        <v>5.7103866958640381</v>
      </c>
      <c r="M133">
        <v>20</v>
      </c>
      <c r="N133">
        <v>0.25354654212605965</v>
      </c>
      <c r="O133">
        <v>149.91656528497396</v>
      </c>
      <c r="P133" s="1">
        <f t="shared" si="10"/>
        <v>5.558105427887071</v>
      </c>
      <c r="Q133" s="1">
        <f t="shared" si="11"/>
        <v>0.83371581418306062</v>
      </c>
      <c r="R133" s="1">
        <f t="shared" si="12"/>
        <v>0.91308039853183831</v>
      </c>
      <c r="S133" s="1">
        <f t="shared" si="13"/>
        <v>-0.36674410202388413</v>
      </c>
      <c r="T133" s="56">
        <f t="shared" si="14"/>
        <v>0.35828346691258861</v>
      </c>
    </row>
    <row r="134" spans="1:20" x14ac:dyDescent="0.25">
      <c r="A134">
        <v>0.14731245013386018</v>
      </c>
      <c r="B134">
        <v>-1.7480488168075681E-2</v>
      </c>
      <c r="D134">
        <v>0.14333445829986324</v>
      </c>
      <c r="E134">
        <v>-2.1984571992561541</v>
      </c>
      <c r="J134">
        <v>10</v>
      </c>
      <c r="K134">
        <v>-0.20364382180559915</v>
      </c>
      <c r="L134">
        <v>17.951036464963007</v>
      </c>
      <c r="M134">
        <v>20</v>
      </c>
      <c r="N134">
        <v>-1.6331284234638588</v>
      </c>
      <c r="O134">
        <v>162.41935031747542</v>
      </c>
      <c r="P134" s="1">
        <f t="shared" si="10"/>
        <v>6.4417995279442293</v>
      </c>
      <c r="Q134" s="1">
        <f t="shared" si="11"/>
        <v>0.96626992919163435</v>
      </c>
      <c r="R134" s="1">
        <f t="shared" si="12"/>
        <v>0.98299029964269447</v>
      </c>
      <c r="S134" s="1">
        <f t="shared" si="13"/>
        <v>1.4542204558660046</v>
      </c>
      <c r="T134" s="56">
        <f t="shared" si="14"/>
        <v>0.92149805614914815</v>
      </c>
    </row>
    <row r="135" spans="1:20" x14ac:dyDescent="0.25">
      <c r="A135">
        <v>0.14810519590824367</v>
      </c>
      <c r="B135">
        <v>-0.96903022495098412</v>
      </c>
      <c r="D135">
        <v>0.14423417363198154</v>
      </c>
      <c r="E135">
        <v>0.17262277310692298</v>
      </c>
      <c r="J135">
        <v>10</v>
      </c>
      <c r="K135">
        <v>0.10951771400868893</v>
      </c>
      <c r="L135">
        <v>2.7654484568370563</v>
      </c>
      <c r="M135">
        <v>20</v>
      </c>
      <c r="N135">
        <v>0.81339566918359196</v>
      </c>
      <c r="O135">
        <v>373.95881711295704</v>
      </c>
      <c r="P135" s="1">
        <f t="shared" si="10"/>
        <v>13.454438056064076</v>
      </c>
      <c r="Q135" s="1">
        <f t="shared" si="11"/>
        <v>2.0181657084096112</v>
      </c>
      <c r="R135" s="1">
        <f t="shared" si="12"/>
        <v>1.4206215922650236</v>
      </c>
      <c r="S135" s="1">
        <f t="shared" si="13"/>
        <v>-0.4954718124850177</v>
      </c>
      <c r="T135" s="56">
        <f t="shared" si="14"/>
        <v>0.31206676293102664</v>
      </c>
    </row>
    <row r="136" spans="1:20" x14ac:dyDescent="0.25">
      <c r="A136">
        <v>0.15007051527251714</v>
      </c>
      <c r="B136">
        <v>-0.21229880076134577</v>
      </c>
      <c r="D136">
        <v>0.14718957192804105</v>
      </c>
      <c r="E136">
        <v>0.30758041816625337</v>
      </c>
      <c r="J136">
        <v>10</v>
      </c>
      <c r="K136">
        <v>-0.560710532226949</v>
      </c>
      <c r="L136">
        <v>6.0548165826291971</v>
      </c>
      <c r="M136">
        <v>20</v>
      </c>
      <c r="N136">
        <v>4.5973703208801453E-2</v>
      </c>
      <c r="O136">
        <v>297.16254071777115</v>
      </c>
      <c r="P136" s="1">
        <f t="shared" si="10"/>
        <v>10.829191332157155</v>
      </c>
      <c r="Q136" s="1">
        <f t="shared" si="11"/>
        <v>1.6243786998235732</v>
      </c>
      <c r="R136" s="1">
        <f t="shared" si="12"/>
        <v>1.2745111611216173</v>
      </c>
      <c r="S136" s="1">
        <f t="shared" si="13"/>
        <v>-0.47601327782947439</v>
      </c>
      <c r="T136" s="56">
        <f t="shared" si="14"/>
        <v>0.31887909333905529</v>
      </c>
    </row>
    <row r="137" spans="1:20" x14ac:dyDescent="0.25">
      <c r="A137">
        <v>0.15034790140536669</v>
      </c>
      <c r="B137">
        <v>0.1425769369234331</v>
      </c>
      <c r="D137">
        <v>0.14879042924920571</v>
      </c>
      <c r="E137">
        <v>1.961526091918131</v>
      </c>
      <c r="J137">
        <v>10</v>
      </c>
      <c r="K137">
        <v>-0.34301092455280013</v>
      </c>
      <c r="L137">
        <v>5.0351783231443719</v>
      </c>
      <c r="M137">
        <v>20</v>
      </c>
      <c r="N137">
        <v>0.26417961521474354</v>
      </c>
      <c r="O137">
        <v>215.2752601930203</v>
      </c>
      <c r="P137" s="1">
        <f t="shared" si="10"/>
        <v>7.8682299470058812</v>
      </c>
      <c r="Q137" s="1">
        <f t="shared" si="11"/>
        <v>1.180234492050882</v>
      </c>
      <c r="R137" s="1">
        <f t="shared" si="12"/>
        <v>1.0863859774734217</v>
      </c>
      <c r="S137" s="1">
        <f t="shared" si="13"/>
        <v>-0.55890866815095519</v>
      </c>
      <c r="T137" s="56">
        <f t="shared" si="14"/>
        <v>0.29033354077682383</v>
      </c>
    </row>
    <row r="138" spans="1:20" x14ac:dyDescent="0.25">
      <c r="A138">
        <v>0.15127256755263119</v>
      </c>
      <c r="B138">
        <v>0.33887658901221585</v>
      </c>
      <c r="D138">
        <v>0.15293711719825376</v>
      </c>
      <c r="E138">
        <v>-3.9761396271842386</v>
      </c>
      <c r="J138">
        <v>10</v>
      </c>
      <c r="K138">
        <v>0.34303980100958142</v>
      </c>
      <c r="L138">
        <v>7.7878378005401157</v>
      </c>
      <c r="M138">
        <v>20</v>
      </c>
      <c r="N138">
        <v>0.79302583003482141</v>
      </c>
      <c r="O138">
        <v>200.24830323127645</v>
      </c>
      <c r="P138" s="1">
        <f t="shared" si="10"/>
        <v>7.429862179707734</v>
      </c>
      <c r="Q138" s="1">
        <f t="shared" si="11"/>
        <v>1.1144793269561601</v>
      </c>
      <c r="R138" s="1">
        <f t="shared" si="12"/>
        <v>1.0556890294760859</v>
      </c>
      <c r="S138" s="1">
        <f t="shared" si="13"/>
        <v>-0.4262486551068525</v>
      </c>
      <c r="T138" s="56">
        <f t="shared" si="14"/>
        <v>0.33659289532569092</v>
      </c>
    </row>
    <row r="139" spans="1:20" x14ac:dyDescent="0.25">
      <c r="A139">
        <v>0.15147364975428101</v>
      </c>
      <c r="B139">
        <v>0.47714479478599969</v>
      </c>
      <c r="D139">
        <v>0.15324677150792387</v>
      </c>
      <c r="E139">
        <v>-1.4999516258740186</v>
      </c>
      <c r="J139">
        <v>10</v>
      </c>
      <c r="K139">
        <v>0.35112168461637339</v>
      </c>
      <c r="L139">
        <v>6.1173297476179904</v>
      </c>
      <c r="M139">
        <v>20</v>
      </c>
      <c r="N139">
        <v>-0.50389599323352741</v>
      </c>
      <c r="O139">
        <v>196.31223207614687</v>
      </c>
      <c r="P139" s="1">
        <f t="shared" si="10"/>
        <v>7.2296272079916024</v>
      </c>
      <c r="Q139" s="1">
        <f t="shared" si="11"/>
        <v>1.0844440811987404</v>
      </c>
      <c r="R139" s="1">
        <f t="shared" si="12"/>
        <v>1.0413664490460313</v>
      </c>
      <c r="S139" s="1">
        <f t="shared" si="13"/>
        <v>0.82105360570542696</v>
      </c>
      <c r="T139" s="56">
        <f t="shared" si="14"/>
        <v>0.79072412290001681</v>
      </c>
    </row>
    <row r="140" spans="1:20" x14ac:dyDescent="0.25">
      <c r="A140">
        <v>0.15178774451439536</v>
      </c>
      <c r="B140">
        <v>-0.5142544523550896</v>
      </c>
      <c r="D140">
        <v>0.15538368288576099</v>
      </c>
      <c r="E140">
        <v>0.31659805813433195</v>
      </c>
      <c r="J140">
        <v>10</v>
      </c>
      <c r="K140">
        <v>2.0630182007153053E-2</v>
      </c>
      <c r="L140">
        <v>7.2736910306902445</v>
      </c>
      <c r="M140">
        <v>20</v>
      </c>
      <c r="N140">
        <v>-0.5145901161540678</v>
      </c>
      <c r="O140">
        <v>180.05520732854097</v>
      </c>
      <c r="P140" s="1">
        <f t="shared" si="10"/>
        <v>6.6903177985439726</v>
      </c>
      <c r="Q140" s="1">
        <f t="shared" si="11"/>
        <v>1.0035476697815959</v>
      </c>
      <c r="R140" s="1">
        <f t="shared" si="12"/>
        <v>1.0017722644301927</v>
      </c>
      <c r="S140" s="1">
        <f t="shared" si="13"/>
        <v>0.53427342437520342</v>
      </c>
      <c r="T140" s="56">
        <f t="shared" si="14"/>
        <v>0.70131531033231187</v>
      </c>
    </row>
    <row r="141" spans="1:20" x14ac:dyDescent="0.25">
      <c r="A141">
        <v>0.15214234312003128</v>
      </c>
      <c r="B141">
        <v>-0.61633272707695141</v>
      </c>
      <c r="D141">
        <v>0.15763009801570549</v>
      </c>
      <c r="E141">
        <v>-1.3849187359937787</v>
      </c>
      <c r="J141">
        <v>10</v>
      </c>
      <c r="K141">
        <v>-0.17368063254252775</v>
      </c>
      <c r="L141">
        <v>12.413457089821847</v>
      </c>
      <c r="M141">
        <v>20</v>
      </c>
      <c r="N141">
        <v>-6.0739185983038624E-2</v>
      </c>
      <c r="O141">
        <v>142.95888551818305</v>
      </c>
      <c r="P141" s="1">
        <f t="shared" si="10"/>
        <v>5.5490122360001743</v>
      </c>
      <c r="Q141" s="1">
        <f t="shared" si="11"/>
        <v>0.83235183540002611</v>
      </c>
      <c r="R141" s="1">
        <f t="shared" si="12"/>
        <v>0.91233318223115512</v>
      </c>
      <c r="S141" s="1">
        <f t="shared" si="13"/>
        <v>-0.12379407957439992</v>
      </c>
      <c r="T141" s="56">
        <f t="shared" si="14"/>
        <v>0.45118136154644373</v>
      </c>
    </row>
    <row r="142" spans="1:20" x14ac:dyDescent="0.25">
      <c r="A142">
        <v>0.15269958129191508</v>
      </c>
      <c r="B142">
        <v>0.6968184607103467</v>
      </c>
      <c r="D142">
        <v>0.1576376837764617</v>
      </c>
      <c r="E142">
        <v>-2.2556018882369244</v>
      </c>
      <c r="J142">
        <v>10</v>
      </c>
      <c r="K142">
        <v>-0.11114821063529234</v>
      </c>
      <c r="L142">
        <v>5.8183879614391785</v>
      </c>
      <c r="M142">
        <v>20</v>
      </c>
      <c r="N142">
        <v>0.11611518516474462</v>
      </c>
      <c r="O142">
        <v>139.65883136365622</v>
      </c>
      <c r="P142" s="1">
        <f t="shared" si="10"/>
        <v>5.1956149758962642</v>
      </c>
      <c r="Q142" s="1">
        <f t="shared" si="11"/>
        <v>0.77934224638443961</v>
      </c>
      <c r="R142" s="1">
        <f t="shared" si="12"/>
        <v>0.88280362843864635</v>
      </c>
      <c r="S142" s="1">
        <f t="shared" si="13"/>
        <v>-0.25743369021033818</v>
      </c>
      <c r="T142" s="56">
        <f t="shared" si="14"/>
        <v>0.39936326220631407</v>
      </c>
    </row>
    <row r="143" spans="1:20" x14ac:dyDescent="0.25">
      <c r="A143">
        <v>0.15299261605323156</v>
      </c>
      <c r="B143">
        <v>-0.38774828681198414</v>
      </c>
      <c r="D143">
        <v>0.15814125266835499</v>
      </c>
      <c r="E143">
        <v>-5.3305454946439568</v>
      </c>
      <c r="J143">
        <v>10</v>
      </c>
      <c r="K143">
        <v>-0.44502723994810367</v>
      </c>
      <c r="L143">
        <v>8.0403951388017667</v>
      </c>
      <c r="M143">
        <v>20</v>
      </c>
      <c r="N143">
        <v>-0.31540173836219765</v>
      </c>
      <c r="O143">
        <v>165.8571084454808</v>
      </c>
      <c r="P143" s="1">
        <f t="shared" si="10"/>
        <v>6.2106251280100917</v>
      </c>
      <c r="Q143" s="1">
        <f t="shared" si="11"/>
        <v>0.93159376920151371</v>
      </c>
      <c r="R143" s="1">
        <f t="shared" si="12"/>
        <v>0.9651910532125304</v>
      </c>
      <c r="S143" s="1">
        <f t="shared" si="13"/>
        <v>-0.13430035551455025</v>
      </c>
      <c r="T143" s="56">
        <f t="shared" si="14"/>
        <v>0.44706289252360815</v>
      </c>
    </row>
    <row r="144" spans="1:20" x14ac:dyDescent="0.25">
      <c r="A144">
        <v>0.15368925996571992</v>
      </c>
      <c r="B144">
        <v>-0.90841467681457289</v>
      </c>
      <c r="D144">
        <v>0.15820362376857133</v>
      </c>
      <c r="E144">
        <v>-4.0704360378640558</v>
      </c>
      <c r="J144">
        <v>10</v>
      </c>
      <c r="K144">
        <v>0.57558497701393208</v>
      </c>
      <c r="L144">
        <v>6.3833626267869299</v>
      </c>
      <c r="M144">
        <v>20</v>
      </c>
      <c r="N144">
        <v>1.5269631569481135</v>
      </c>
      <c r="O144">
        <v>166.64564158307113</v>
      </c>
      <c r="P144" s="1">
        <f t="shared" si="10"/>
        <v>6.1796072932092159</v>
      </c>
      <c r="Q144" s="1">
        <f t="shared" si="11"/>
        <v>0.92694109398138236</v>
      </c>
      <c r="R144" s="1">
        <f t="shared" si="12"/>
        <v>0.96277780093923149</v>
      </c>
      <c r="S144" s="1">
        <f t="shared" si="13"/>
        <v>-0.98815965532864458</v>
      </c>
      <c r="T144" s="56">
        <f t="shared" si="14"/>
        <v>0.16576862966594091</v>
      </c>
    </row>
    <row r="145" spans="1:20" x14ac:dyDescent="0.25">
      <c r="A145">
        <v>0.15545936076254185</v>
      </c>
      <c r="B145">
        <v>4.518824425758794E-2</v>
      </c>
      <c r="D145">
        <v>0.15910872865228654</v>
      </c>
      <c r="E145">
        <v>2.2864612640205451</v>
      </c>
      <c r="J145">
        <v>10</v>
      </c>
      <c r="K145">
        <v>-0.28631961868086364</v>
      </c>
      <c r="L145">
        <v>9.5336409841529708</v>
      </c>
      <c r="M145">
        <v>20</v>
      </c>
      <c r="N145">
        <v>-0.94589848117720976</v>
      </c>
      <c r="O145">
        <v>174.78910488799121</v>
      </c>
      <c r="P145" s="1">
        <f t="shared" si="10"/>
        <v>6.5829552097194357</v>
      </c>
      <c r="Q145" s="1">
        <f t="shared" si="11"/>
        <v>0.98744328145791527</v>
      </c>
      <c r="R145" s="1">
        <f t="shared" si="12"/>
        <v>0.99370180711213119</v>
      </c>
      <c r="S145" s="1">
        <f t="shared" si="13"/>
        <v>0.66375934689421168</v>
      </c>
      <c r="T145" s="56">
        <f t="shared" si="14"/>
        <v>0.7438634238353049</v>
      </c>
    </row>
    <row r="146" spans="1:20" x14ac:dyDescent="0.25">
      <c r="A146">
        <v>0.15830484340446971</v>
      </c>
      <c r="B146">
        <v>-0.41103021430899389</v>
      </c>
      <c r="D146">
        <v>0.1599323959789456</v>
      </c>
      <c r="E146">
        <v>1.6938276951350417</v>
      </c>
      <c r="J146">
        <v>10</v>
      </c>
      <c r="K146">
        <v>-8.6995783021848183E-2</v>
      </c>
      <c r="L146">
        <v>6.8050607697186933</v>
      </c>
      <c r="M146">
        <v>20</v>
      </c>
      <c r="N146">
        <v>-0.18926664665741555</v>
      </c>
      <c r="O146">
        <v>109.64073839718424</v>
      </c>
      <c r="P146" s="1">
        <f t="shared" si="10"/>
        <v>4.1587785416751046</v>
      </c>
      <c r="Q146" s="1">
        <f t="shared" si="11"/>
        <v>0.62381678125126572</v>
      </c>
      <c r="R146" s="1">
        <f t="shared" si="12"/>
        <v>0.78982072728643027</v>
      </c>
      <c r="S146" s="1">
        <f t="shared" si="13"/>
        <v>0.12948617338384766</v>
      </c>
      <c r="T146" s="56">
        <f t="shared" si="14"/>
        <v>0.55105066225429011</v>
      </c>
    </row>
    <row r="147" spans="1:20" x14ac:dyDescent="0.25">
      <c r="A147">
        <v>0.15879425800727187</v>
      </c>
      <c r="B147">
        <v>-0.15998807612049859</v>
      </c>
      <c r="D147">
        <v>0.1618199778072178</v>
      </c>
      <c r="E147">
        <v>1.5862231032315321</v>
      </c>
      <c r="J147">
        <v>10</v>
      </c>
      <c r="K147">
        <v>-0.28714498512272257</v>
      </c>
      <c r="L147">
        <v>5.4599038746658488</v>
      </c>
      <c r="M147">
        <v>20</v>
      </c>
      <c r="N147">
        <v>0.70636388841194275</v>
      </c>
      <c r="O147">
        <v>254.41469372528724</v>
      </c>
      <c r="P147" s="1">
        <f t="shared" si="10"/>
        <v>9.2812356285697515</v>
      </c>
      <c r="Q147" s="1">
        <f t="shared" si="11"/>
        <v>1.3921853442854626</v>
      </c>
      <c r="R147" s="1">
        <f t="shared" si="12"/>
        <v>1.1799090406829937</v>
      </c>
      <c r="S147" s="1">
        <f t="shared" si="13"/>
        <v>-0.84202157901898089</v>
      </c>
      <c r="T147" s="56">
        <f t="shared" si="14"/>
        <v>0.20345528880141461</v>
      </c>
    </row>
    <row r="148" spans="1:20" x14ac:dyDescent="0.25">
      <c r="A148">
        <v>0.16001666535048131</v>
      </c>
      <c r="B148">
        <v>-0.2851402314263396</v>
      </c>
      <c r="D148">
        <v>0.16186150845414971</v>
      </c>
      <c r="E148">
        <v>4.745719021457262</v>
      </c>
      <c r="J148">
        <v>10</v>
      </c>
      <c r="K148">
        <v>0.48165372845687671</v>
      </c>
      <c r="L148">
        <v>4.4830185189766487</v>
      </c>
      <c r="M148">
        <v>20</v>
      </c>
      <c r="N148">
        <v>0.10034403544523229</v>
      </c>
      <c r="O148">
        <v>266.57624629081431</v>
      </c>
      <c r="P148" s="1">
        <f t="shared" si="10"/>
        <v>9.6806880289211055</v>
      </c>
      <c r="Q148" s="1">
        <f t="shared" si="11"/>
        <v>1.4521032043381659</v>
      </c>
      <c r="R148" s="1">
        <f t="shared" si="12"/>
        <v>1.2050324494959319</v>
      </c>
      <c r="S148" s="1">
        <f t="shared" si="13"/>
        <v>0.31643105807743782</v>
      </c>
      <c r="T148" s="56">
        <f t="shared" si="14"/>
        <v>0.6229888038155037</v>
      </c>
    </row>
    <row r="149" spans="1:20" x14ac:dyDescent="0.25">
      <c r="A149">
        <v>0.16089713812217266</v>
      </c>
      <c r="B149">
        <v>-0.79085339166340418</v>
      </c>
      <c r="D149">
        <v>0.16237208219682397</v>
      </c>
      <c r="E149">
        <v>-0.16109811781461758</v>
      </c>
      <c r="J149">
        <v>10</v>
      </c>
      <c r="K149">
        <v>-0.22017582068656338</v>
      </c>
      <c r="L149">
        <v>3.322622720998484</v>
      </c>
      <c r="M149">
        <v>20</v>
      </c>
      <c r="N149">
        <v>-1.0852602406430378</v>
      </c>
      <c r="O149">
        <v>301.47726261572637</v>
      </c>
      <c r="P149" s="1">
        <f t="shared" si="10"/>
        <v>10.885710190597317</v>
      </c>
      <c r="Q149" s="1">
        <f t="shared" si="11"/>
        <v>1.6328565285895975</v>
      </c>
      <c r="R149" s="1">
        <f t="shared" si="12"/>
        <v>1.2778327467198505</v>
      </c>
      <c r="S149" s="1">
        <f t="shared" si="13"/>
        <v>0.67699346583276587</v>
      </c>
      <c r="T149" s="56">
        <f t="shared" si="14"/>
        <v>0.7480173328518287</v>
      </c>
    </row>
    <row r="150" spans="1:20" x14ac:dyDescent="0.25">
      <c r="A150">
        <v>0.16089911278342128</v>
      </c>
      <c r="B150">
        <v>1.6217290976783261</v>
      </c>
      <c r="D150">
        <v>0.16329761137782217</v>
      </c>
      <c r="E150">
        <v>4.1863252101848047</v>
      </c>
      <c r="J150">
        <v>10</v>
      </c>
      <c r="K150">
        <v>0.48698223054088885</v>
      </c>
      <c r="L150">
        <v>4.0162289725459699</v>
      </c>
      <c r="M150">
        <v>20</v>
      </c>
      <c r="N150">
        <v>-3.9040404544721241E-2</v>
      </c>
      <c r="O150">
        <v>268.81516016017792</v>
      </c>
      <c r="P150" s="1">
        <f t="shared" si="10"/>
        <v>9.7439781833115671</v>
      </c>
      <c r="Q150" s="1">
        <f t="shared" si="11"/>
        <v>1.461596727496735</v>
      </c>
      <c r="R150" s="1">
        <f t="shared" si="12"/>
        <v>1.2089651473457517</v>
      </c>
      <c r="S150" s="1">
        <f t="shared" si="13"/>
        <v>0.43510157115817416</v>
      </c>
      <c r="T150" s="56">
        <f t="shared" si="14"/>
        <v>0.66658793755257217</v>
      </c>
    </row>
    <row r="151" spans="1:20" x14ac:dyDescent="0.25">
      <c r="A151">
        <v>0.16193508041308491</v>
      </c>
      <c r="B151">
        <v>-0.24701648726477288</v>
      </c>
      <c r="D151">
        <v>0.16399710206471996</v>
      </c>
      <c r="E151">
        <v>1.8883345057929546</v>
      </c>
      <c r="J151">
        <v>10</v>
      </c>
      <c r="K151">
        <v>0.27818873604701366</v>
      </c>
      <c r="L151">
        <v>2.4998423174148856</v>
      </c>
      <c r="M151">
        <v>20</v>
      </c>
      <c r="N151">
        <v>0.36061635114492674</v>
      </c>
      <c r="O151">
        <v>360.01757957522682</v>
      </c>
      <c r="P151" s="1">
        <f t="shared" si="10"/>
        <v>12.947050781880062</v>
      </c>
      <c r="Q151" s="1">
        <f t="shared" si="11"/>
        <v>1.9420576172820092</v>
      </c>
      <c r="R151" s="1">
        <f t="shared" si="12"/>
        <v>1.3935772735237932</v>
      </c>
      <c r="S151" s="1">
        <f t="shared" si="13"/>
        <v>-5.9148219954453601E-2</v>
      </c>
      <c r="T151" s="56">
        <f t="shared" si="14"/>
        <v>0.47662709266338754</v>
      </c>
    </row>
    <row r="152" spans="1:20" x14ac:dyDescent="0.25">
      <c r="A152">
        <v>0.16212413705167605</v>
      </c>
      <c r="B152">
        <v>-1.3159910849935841</v>
      </c>
      <c r="D152">
        <v>0.16424863839833947</v>
      </c>
      <c r="E152">
        <v>1.7499935404430289</v>
      </c>
      <c r="J152">
        <v>10</v>
      </c>
      <c r="K152">
        <v>-0.46587717861257261</v>
      </c>
      <c r="L152">
        <v>10.381432821661551</v>
      </c>
      <c r="M152">
        <v>20</v>
      </c>
      <c r="N152">
        <v>1.4813415384651307</v>
      </c>
      <c r="O152">
        <v>171.24955379780835</v>
      </c>
      <c r="P152" s="1">
        <f t="shared" si="10"/>
        <v>6.4868209506953534</v>
      </c>
      <c r="Q152" s="1">
        <f t="shared" si="11"/>
        <v>0.973023142604303</v>
      </c>
      <c r="R152" s="1">
        <f t="shared" si="12"/>
        <v>0.98641935433379602</v>
      </c>
      <c r="S152" s="1">
        <f t="shared" si="13"/>
        <v>-1.9740272821317544</v>
      </c>
      <c r="T152" s="56">
        <f t="shared" si="14"/>
        <v>2.9159306590349196E-2</v>
      </c>
    </row>
    <row r="153" spans="1:20" x14ac:dyDescent="0.25">
      <c r="A153">
        <v>0.1636192568074798</v>
      </c>
      <c r="B153">
        <v>0.82070073403883725</v>
      </c>
      <c r="D153">
        <v>0.16458143154631266</v>
      </c>
      <c r="E153">
        <v>-2.4857188270743791</v>
      </c>
      <c r="J153">
        <v>10</v>
      </c>
      <c r="K153">
        <v>-0.15222553884086665</v>
      </c>
      <c r="L153">
        <v>14.724621999025498</v>
      </c>
      <c r="M153">
        <v>20</v>
      </c>
      <c r="N153">
        <v>9.2475087285492918E-2</v>
      </c>
      <c r="O153">
        <v>305.66950829135146</v>
      </c>
      <c r="P153" s="1">
        <f t="shared" si="10"/>
        <v>11.442647510370605</v>
      </c>
      <c r="Q153" s="1">
        <f t="shared" si="11"/>
        <v>1.7163971265555908</v>
      </c>
      <c r="R153" s="1">
        <f t="shared" si="12"/>
        <v>1.3101134021738694</v>
      </c>
      <c r="S153" s="1">
        <f t="shared" si="13"/>
        <v>-0.18677820234517725</v>
      </c>
      <c r="T153" s="56">
        <f t="shared" si="14"/>
        <v>0.42659064805505198</v>
      </c>
    </row>
    <row r="154" spans="1:20" x14ac:dyDescent="0.25">
      <c r="A154">
        <v>0.16376642403358022</v>
      </c>
      <c r="B154">
        <v>4.6029526856727898E-2</v>
      </c>
      <c r="D154">
        <v>0.1646172665851684</v>
      </c>
      <c r="E154">
        <v>4.6796897061085474</v>
      </c>
      <c r="J154">
        <v>10</v>
      </c>
      <c r="K154">
        <v>0.28552517505886499</v>
      </c>
      <c r="L154">
        <v>9.5220160578365807</v>
      </c>
      <c r="M154">
        <v>20</v>
      </c>
      <c r="N154">
        <v>-8.8253390231329831E-2</v>
      </c>
      <c r="O154">
        <v>224.09524800817093</v>
      </c>
      <c r="P154" s="1">
        <f t="shared" si="10"/>
        <v>8.3434737166431265</v>
      </c>
      <c r="Q154" s="1">
        <f t="shared" si="11"/>
        <v>1.251521057496469</v>
      </c>
      <c r="R154" s="1">
        <f t="shared" si="12"/>
        <v>1.1187140195315641</v>
      </c>
      <c r="S154" s="1">
        <f t="shared" si="13"/>
        <v>0.33411449107136965</v>
      </c>
      <c r="T154" s="56">
        <f t="shared" si="14"/>
        <v>0.6296085952756354</v>
      </c>
    </row>
    <row r="155" spans="1:20" x14ac:dyDescent="0.25">
      <c r="A155">
        <v>0.16591958274407892</v>
      </c>
      <c r="B155">
        <v>0.73898831942642573</v>
      </c>
      <c r="D155">
        <v>0.16675345068626557</v>
      </c>
      <c r="E155">
        <v>-0.35546168305700121</v>
      </c>
      <c r="J155">
        <v>10</v>
      </c>
      <c r="K155">
        <v>0.39369456317217555</v>
      </c>
      <c r="L155">
        <v>7.6760050925281202</v>
      </c>
      <c r="M155">
        <v>20</v>
      </c>
      <c r="N155">
        <v>0.81666763321663893</v>
      </c>
      <c r="O155">
        <v>419.75186122132038</v>
      </c>
      <c r="P155" s="1">
        <f t="shared" si="10"/>
        <v>15.265280939780302</v>
      </c>
      <c r="Q155" s="1">
        <f t="shared" si="11"/>
        <v>2.2897921409670454</v>
      </c>
      <c r="R155" s="1">
        <f t="shared" si="12"/>
        <v>1.5132059149260042</v>
      </c>
      <c r="S155" s="1">
        <f t="shared" si="13"/>
        <v>-0.2795211582722017</v>
      </c>
      <c r="T155" s="56">
        <f t="shared" si="14"/>
        <v>0.39094968606016628</v>
      </c>
    </row>
    <row r="156" spans="1:20" x14ac:dyDescent="0.25">
      <c r="A156">
        <v>0.16596574838466649</v>
      </c>
      <c r="B156">
        <v>-0.56262933867401443</v>
      </c>
      <c r="D156">
        <v>0.16766528188387531</v>
      </c>
      <c r="E156">
        <v>0.6459704275130207</v>
      </c>
      <c r="J156">
        <v>10</v>
      </c>
      <c r="K156">
        <v>0.17363572624162771</v>
      </c>
      <c r="L156">
        <v>6.9722171890838291</v>
      </c>
      <c r="M156">
        <v>20</v>
      </c>
      <c r="N156">
        <v>0.55026134418767469</v>
      </c>
      <c r="O156">
        <v>535.39696011534124</v>
      </c>
      <c r="P156" s="1">
        <f t="shared" si="10"/>
        <v>19.370327760872325</v>
      </c>
      <c r="Q156" s="1">
        <f t="shared" si="11"/>
        <v>2.9055491641308486</v>
      </c>
      <c r="R156" s="1">
        <f t="shared" si="12"/>
        <v>1.7045671486130574</v>
      </c>
      <c r="S156" s="1">
        <f t="shared" si="13"/>
        <v>-0.22095088377861394</v>
      </c>
      <c r="T156" s="56">
        <f t="shared" si="14"/>
        <v>0.4133670000169965</v>
      </c>
    </row>
    <row r="157" spans="1:20" x14ac:dyDescent="0.25">
      <c r="A157">
        <v>0.16701446925326879</v>
      </c>
      <c r="B157">
        <v>-2.4119071895256639</v>
      </c>
      <c r="D157">
        <v>0.16919019449598816</v>
      </c>
      <c r="E157">
        <v>1.3249980349883117</v>
      </c>
      <c r="J157">
        <v>10</v>
      </c>
      <c r="K157">
        <v>-5.525180313270539E-3</v>
      </c>
      <c r="L157">
        <v>6.5561290619564563</v>
      </c>
      <c r="M157">
        <v>20</v>
      </c>
      <c r="N157">
        <v>-1.085251202539439</v>
      </c>
      <c r="O157">
        <v>326.89113744711619</v>
      </c>
      <c r="P157" s="1">
        <f t="shared" si="10"/>
        <v>11.908830946752596</v>
      </c>
      <c r="Q157" s="1">
        <f t="shared" si="11"/>
        <v>1.7863246420128893</v>
      </c>
      <c r="R157" s="1">
        <f t="shared" si="12"/>
        <v>1.3365345644662128</v>
      </c>
      <c r="S157" s="1">
        <f t="shared" si="13"/>
        <v>0.80785491893162609</v>
      </c>
      <c r="T157" s="56">
        <f t="shared" si="14"/>
        <v>0.78700777007132316</v>
      </c>
    </row>
    <row r="158" spans="1:20" x14ac:dyDescent="0.25">
      <c r="A158">
        <v>0.16801513664389345</v>
      </c>
      <c r="B158">
        <v>1.6965304894256406</v>
      </c>
      <c r="D158">
        <v>0.17018072476254131</v>
      </c>
      <c r="E158">
        <v>0.20716879248539044</v>
      </c>
      <c r="J158">
        <v>10</v>
      </c>
      <c r="K158">
        <v>0.14585612007067539</v>
      </c>
      <c r="L158">
        <v>4.0547760791534477</v>
      </c>
      <c r="M158">
        <v>20</v>
      </c>
      <c r="N158">
        <v>2.0004354689717729</v>
      </c>
      <c r="O158">
        <v>147.72423126394409</v>
      </c>
      <c r="P158" s="1">
        <f t="shared" si="10"/>
        <v>5.4206788336820546</v>
      </c>
      <c r="Q158" s="1">
        <f t="shared" si="11"/>
        <v>0.81310182505230821</v>
      </c>
      <c r="R158" s="1">
        <f t="shared" si="12"/>
        <v>0.90172158954541404</v>
      </c>
      <c r="S158" s="1">
        <f t="shared" si="13"/>
        <v>-2.0567094881647989</v>
      </c>
      <c r="T158" s="56">
        <f t="shared" si="14"/>
        <v>2.4569891681430481E-2</v>
      </c>
    </row>
    <row r="159" spans="1:20" x14ac:dyDescent="0.25">
      <c r="A159">
        <v>0.16844048923948896</v>
      </c>
      <c r="B159">
        <v>0.59191052059759386</v>
      </c>
      <c r="D159">
        <v>0.1754225459638209</v>
      </c>
      <c r="E159">
        <v>3.5040131899677363</v>
      </c>
      <c r="J159">
        <v>10</v>
      </c>
      <c r="K159">
        <v>0.2367135039094137</v>
      </c>
      <c r="L159">
        <v>2.6794244930067936</v>
      </c>
      <c r="M159">
        <v>20</v>
      </c>
      <c r="N159">
        <v>-0.37627183132826758</v>
      </c>
      <c r="O159">
        <v>156.22129597948725</v>
      </c>
      <c r="P159" s="1">
        <f t="shared" si="10"/>
        <v>5.6750257311605017</v>
      </c>
      <c r="Q159" s="1">
        <f t="shared" si="11"/>
        <v>0.85125385967407519</v>
      </c>
      <c r="R159" s="1">
        <f t="shared" si="12"/>
        <v>0.92263419602466246</v>
      </c>
      <c r="S159" s="1">
        <f t="shared" si="13"/>
        <v>0.66438610001541276</v>
      </c>
      <c r="T159" s="56">
        <f t="shared" si="14"/>
        <v>0.74406099445142848</v>
      </c>
    </row>
    <row r="160" spans="1:20" x14ac:dyDescent="0.25">
      <c r="A160">
        <v>0.16949675493107841</v>
      </c>
      <c r="B160">
        <v>-7.5997377280145884E-2</v>
      </c>
      <c r="D160">
        <v>0.17576295846879642</v>
      </c>
      <c r="E160">
        <v>3.1563224604269635</v>
      </c>
      <c r="J160">
        <v>10</v>
      </c>
      <c r="K160">
        <v>-0.26628356408764375</v>
      </c>
      <c r="L160">
        <v>11.362986955375494</v>
      </c>
      <c r="M160">
        <v>20</v>
      </c>
      <c r="N160">
        <v>-1.1121695740712312</v>
      </c>
      <c r="O160">
        <v>207.42779251843857</v>
      </c>
      <c r="P160" s="1">
        <f t="shared" si="10"/>
        <v>7.8139564097790739</v>
      </c>
      <c r="Q160" s="1">
        <f t="shared" si="11"/>
        <v>1.172093461466861</v>
      </c>
      <c r="R160" s="1">
        <f t="shared" si="12"/>
        <v>1.0826326530577493</v>
      </c>
      <c r="S160" s="1">
        <f t="shared" si="13"/>
        <v>0.78132320099019459</v>
      </c>
      <c r="T160" s="56">
        <f t="shared" si="14"/>
        <v>0.77941544599163803</v>
      </c>
    </row>
    <row r="161" spans="1:20" x14ac:dyDescent="0.25">
      <c r="A161">
        <v>0.17019316690745545</v>
      </c>
      <c r="B161">
        <v>-0.31466811378777493</v>
      </c>
      <c r="D161">
        <v>0.17602005950788457</v>
      </c>
      <c r="E161">
        <v>-1.2902369269340852</v>
      </c>
      <c r="J161">
        <v>10</v>
      </c>
      <c r="K161">
        <v>-0.36160452054900816</v>
      </c>
      <c r="L161">
        <v>7.4356170909151604</v>
      </c>
      <c r="M161">
        <v>20</v>
      </c>
      <c r="N161">
        <v>0.81067332416751015</v>
      </c>
      <c r="O161">
        <v>202.9701659383623</v>
      </c>
      <c r="P161" s="1">
        <f t="shared" si="10"/>
        <v>7.514492251045624</v>
      </c>
      <c r="Q161" s="1">
        <f t="shared" si="11"/>
        <v>1.1271738376568436</v>
      </c>
      <c r="R161" s="1">
        <f t="shared" si="12"/>
        <v>1.0616844341219493</v>
      </c>
      <c r="S161" s="1">
        <f t="shared" si="13"/>
        <v>-1.1041678742196439</v>
      </c>
      <c r="T161" s="56">
        <f t="shared" si="14"/>
        <v>0.13945961330298892</v>
      </c>
    </row>
    <row r="162" spans="1:20" x14ac:dyDescent="0.25">
      <c r="A162">
        <v>0.17428877880351556</v>
      </c>
      <c r="B162">
        <v>-0.89474724518368021</v>
      </c>
      <c r="D162">
        <v>0.17641313634412403</v>
      </c>
      <c r="E162">
        <v>3.2590567082024791</v>
      </c>
      <c r="J162">
        <v>10</v>
      </c>
      <c r="K162">
        <v>-0.13996361758472631</v>
      </c>
      <c r="L162">
        <v>7.04718729874463</v>
      </c>
      <c r="M162">
        <v>20</v>
      </c>
      <c r="N162">
        <v>-0.49277929633717577</v>
      </c>
      <c r="O162">
        <v>191.61814463176017</v>
      </c>
      <c r="P162" s="1">
        <f t="shared" si="10"/>
        <v>7.0951904260894576</v>
      </c>
      <c r="Q162" s="1">
        <f t="shared" si="11"/>
        <v>1.0642785639134187</v>
      </c>
      <c r="R162" s="1">
        <f t="shared" si="12"/>
        <v>1.0316387758868986</v>
      </c>
      <c r="S162" s="1">
        <f t="shared" si="13"/>
        <v>0.34199536407414916</v>
      </c>
      <c r="T162" s="56">
        <f t="shared" si="14"/>
        <v>0.63254595253751289</v>
      </c>
    </row>
    <row r="163" spans="1:20" x14ac:dyDescent="0.25">
      <c r="A163">
        <v>0.17534543546375447</v>
      </c>
      <c r="B163">
        <v>-0.34666527426452376</v>
      </c>
      <c r="D163">
        <v>0.1777503108719386</v>
      </c>
      <c r="E163">
        <v>2.6090704034231749</v>
      </c>
      <c r="J163">
        <v>10</v>
      </c>
      <c r="K163">
        <v>-0.70581995714746881</v>
      </c>
      <c r="L163">
        <v>8.5979662443770977</v>
      </c>
      <c r="M163">
        <v>20</v>
      </c>
      <c r="N163">
        <v>-0.80954180589287716</v>
      </c>
      <c r="O163">
        <v>106.27973925433905</v>
      </c>
      <c r="P163" s="1">
        <f t="shared" si="10"/>
        <v>4.1027751963827201</v>
      </c>
      <c r="Q163" s="1">
        <f t="shared" si="11"/>
        <v>0.61541627945740796</v>
      </c>
      <c r="R163" s="1">
        <f t="shared" si="12"/>
        <v>0.78448472225876265</v>
      </c>
      <c r="S163" s="1">
        <f t="shared" si="13"/>
        <v>0.13221653118592622</v>
      </c>
      <c r="T163" s="56">
        <f t="shared" si="14"/>
        <v>0.55212070977475469</v>
      </c>
    </row>
    <row r="164" spans="1:20" x14ac:dyDescent="0.25">
      <c r="A164">
        <v>0.17551424542175731</v>
      </c>
      <c r="B164">
        <v>-0.30607907319790684</v>
      </c>
      <c r="D164">
        <v>0.17940612911817333</v>
      </c>
      <c r="E164">
        <v>1.6431256392479554</v>
      </c>
      <c r="J164">
        <v>10</v>
      </c>
      <c r="K164">
        <v>0.28524698336696019</v>
      </c>
      <c r="L164">
        <v>15.798684938157338</v>
      </c>
      <c r="M164">
        <v>20</v>
      </c>
      <c r="N164">
        <v>-1.0660677423857123</v>
      </c>
      <c r="O164">
        <v>146.40014860460218</v>
      </c>
      <c r="P164" s="1">
        <f t="shared" si="10"/>
        <v>5.7928154836699832</v>
      </c>
      <c r="Q164" s="1">
        <f t="shared" si="11"/>
        <v>0.86892232255049751</v>
      </c>
      <c r="R164" s="1">
        <f t="shared" si="12"/>
        <v>0.93216003054759733</v>
      </c>
      <c r="S164" s="1">
        <f t="shared" si="13"/>
        <v>1.4496595879130785</v>
      </c>
      <c r="T164" s="56">
        <f t="shared" si="14"/>
        <v>0.92086861109377793</v>
      </c>
    </row>
    <row r="165" spans="1:20" x14ac:dyDescent="0.25">
      <c r="A165">
        <v>0.17986913863643883</v>
      </c>
      <c r="B165">
        <v>-0.85492956714006141</v>
      </c>
      <c r="D165">
        <v>0.1795486023854006</v>
      </c>
      <c r="E165">
        <v>-5.4911713539240736</v>
      </c>
      <c r="J165">
        <v>10</v>
      </c>
      <c r="K165">
        <v>4.5006913751421962E-2</v>
      </c>
      <c r="L165">
        <v>11.764767557809776</v>
      </c>
      <c r="M165">
        <v>20</v>
      </c>
      <c r="N165">
        <v>-0.14993384297667944</v>
      </c>
      <c r="O165">
        <v>209.000047155445</v>
      </c>
      <c r="P165" s="1">
        <f t="shared" si="10"/>
        <v>7.8844576683305281</v>
      </c>
      <c r="Q165" s="1">
        <f t="shared" si="11"/>
        <v>1.1826686502495791</v>
      </c>
      <c r="R165" s="1">
        <f t="shared" si="12"/>
        <v>1.0875057012492297</v>
      </c>
      <c r="S165" s="1">
        <f t="shared" si="13"/>
        <v>0.17925492850673869</v>
      </c>
      <c r="T165" s="56">
        <f t="shared" si="14"/>
        <v>0.57048580219934641</v>
      </c>
    </row>
    <row r="166" spans="1:20" x14ac:dyDescent="0.25">
      <c r="A166">
        <v>0.1806322337505416</v>
      </c>
      <c r="B166">
        <v>-1.5348496162914671</v>
      </c>
      <c r="D166">
        <v>0.18065018994334692</v>
      </c>
      <c r="E166">
        <v>1.4163408616241213</v>
      </c>
      <c r="J166">
        <v>10</v>
      </c>
      <c r="K166">
        <v>-0.33368235108355293</v>
      </c>
      <c r="L166">
        <v>12.87142862266287</v>
      </c>
      <c r="M166">
        <v>20</v>
      </c>
      <c r="N166">
        <v>0.21642960859935556</v>
      </c>
      <c r="O166">
        <v>147.89249473919799</v>
      </c>
      <c r="P166" s="1">
        <f t="shared" si="10"/>
        <v>5.741568691495031</v>
      </c>
      <c r="Q166" s="1">
        <f t="shared" si="11"/>
        <v>0.86123530372425461</v>
      </c>
      <c r="R166" s="1">
        <f t="shared" si="12"/>
        <v>0.92802764168113794</v>
      </c>
      <c r="S166" s="1">
        <f t="shared" si="13"/>
        <v>-0.59277540342049651</v>
      </c>
      <c r="T166" s="56">
        <f t="shared" si="14"/>
        <v>0.27904455670685568</v>
      </c>
    </row>
    <row r="167" spans="1:20" x14ac:dyDescent="0.25">
      <c r="A167">
        <v>0.18094669613573366</v>
      </c>
      <c r="B167">
        <v>-0.82940914580831304</v>
      </c>
      <c r="D167">
        <v>0.18434803177289449</v>
      </c>
      <c r="E167">
        <v>3.1335532605680783</v>
      </c>
      <c r="J167">
        <v>10</v>
      </c>
      <c r="K167">
        <v>9.1738911578431726E-2</v>
      </c>
      <c r="L167">
        <v>5.8377971174523484</v>
      </c>
      <c r="M167">
        <v>20</v>
      </c>
      <c r="N167">
        <v>-4.7168217633952736E-2</v>
      </c>
      <c r="O167">
        <v>218.71577631793906</v>
      </c>
      <c r="P167" s="1">
        <f t="shared" si="10"/>
        <v>8.0197704798354064</v>
      </c>
      <c r="Q167" s="1">
        <f t="shared" si="11"/>
        <v>1.202965571975311</v>
      </c>
      <c r="R167" s="1">
        <f t="shared" si="12"/>
        <v>1.0967978719779279</v>
      </c>
      <c r="S167" s="1">
        <f t="shared" si="13"/>
        <v>0.12664788359033199</v>
      </c>
      <c r="T167" s="56">
        <f t="shared" si="14"/>
        <v>0.54993790031145662</v>
      </c>
    </row>
    <row r="168" spans="1:20" x14ac:dyDescent="0.25">
      <c r="A168">
        <v>0.18094818130594026</v>
      </c>
      <c r="B168">
        <v>-0.14203692444425542</v>
      </c>
      <c r="D168">
        <v>0.18594950456827841</v>
      </c>
      <c r="E168">
        <v>2.2532283276177623</v>
      </c>
      <c r="J168">
        <v>10</v>
      </c>
      <c r="K168">
        <v>0.228281123781926</v>
      </c>
      <c r="L168">
        <v>4.0494005542823714</v>
      </c>
      <c r="M168">
        <v>20</v>
      </c>
      <c r="N168">
        <v>0.38231496205298754</v>
      </c>
      <c r="O168">
        <v>165.23102494935509</v>
      </c>
      <c r="P168" s="1">
        <f t="shared" si="10"/>
        <v>6.0457294822727663</v>
      </c>
      <c r="Q168" s="1">
        <f t="shared" si="11"/>
        <v>0.90685942234091488</v>
      </c>
      <c r="R168" s="1">
        <f t="shared" si="12"/>
        <v>0.95229166873438253</v>
      </c>
      <c r="S168" s="1">
        <f t="shared" si="13"/>
        <v>-0.16175069396099626</v>
      </c>
      <c r="T168" s="56">
        <f t="shared" si="14"/>
        <v>0.43633186874039553</v>
      </c>
    </row>
    <row r="169" spans="1:20" x14ac:dyDescent="0.25">
      <c r="A169">
        <v>0.18125021405915287</v>
      </c>
      <c r="B169">
        <v>-0.13539420251618139</v>
      </c>
      <c r="D169">
        <v>0.18600770162634073</v>
      </c>
      <c r="E169">
        <v>-1.6437018109627388</v>
      </c>
      <c r="J169">
        <v>10</v>
      </c>
      <c r="K169">
        <v>-0.22039671421225648</v>
      </c>
      <c r="L169">
        <v>6.6876969382122571</v>
      </c>
      <c r="M169">
        <v>20</v>
      </c>
      <c r="N169">
        <v>0.14025885889168421</v>
      </c>
      <c r="O169">
        <v>216.92800803290461</v>
      </c>
      <c r="P169" s="1">
        <f t="shared" si="10"/>
        <v>7.9862751775398886</v>
      </c>
      <c r="Q169" s="1">
        <f t="shared" si="11"/>
        <v>1.1979412766309832</v>
      </c>
      <c r="R169" s="1">
        <f t="shared" si="12"/>
        <v>1.0945050372798579</v>
      </c>
      <c r="S169" s="1">
        <f t="shared" si="13"/>
        <v>-0.32951476769834487</v>
      </c>
      <c r="T169" s="56">
        <f t="shared" si="14"/>
        <v>0.37210951567198836</v>
      </c>
    </row>
    <row r="170" spans="1:20" x14ac:dyDescent="0.25">
      <c r="A170">
        <v>0.18499284258754167</v>
      </c>
      <c r="B170">
        <v>0.85041847341926768</v>
      </c>
      <c r="D170">
        <v>0.18677648746155118</v>
      </c>
      <c r="E170">
        <v>2.1329226422039937</v>
      </c>
      <c r="J170">
        <v>10</v>
      </c>
      <c r="K170">
        <v>-0.51979498039145255</v>
      </c>
      <c r="L170">
        <v>10.874918803760666</v>
      </c>
      <c r="M170">
        <v>20</v>
      </c>
      <c r="N170">
        <v>0.77076975571799267</v>
      </c>
      <c r="O170">
        <v>131.7621498736323</v>
      </c>
      <c r="P170" s="1">
        <f t="shared" si="10"/>
        <v>5.094181024192606</v>
      </c>
      <c r="Q170" s="1">
        <f t="shared" si="11"/>
        <v>0.76412715362889083</v>
      </c>
      <c r="R170" s="1">
        <f t="shared" si="12"/>
        <v>0.87414366875753946</v>
      </c>
      <c r="S170" s="1">
        <f t="shared" si="13"/>
        <v>-1.4763760034363507</v>
      </c>
      <c r="T170" s="56">
        <f t="shared" si="14"/>
        <v>7.5501003249683216E-2</v>
      </c>
    </row>
    <row r="171" spans="1:20" x14ac:dyDescent="0.25">
      <c r="A171">
        <v>0.18537472034814395</v>
      </c>
      <c r="B171">
        <v>-2.1348023437894881</v>
      </c>
      <c r="D171">
        <v>0.18759392895164417</v>
      </c>
      <c r="E171">
        <v>-3.7858960729408864</v>
      </c>
      <c r="J171">
        <v>10</v>
      </c>
      <c r="K171">
        <v>-9.0579305833671242E-2</v>
      </c>
      <c r="L171">
        <v>6.8922711659020202</v>
      </c>
      <c r="M171">
        <v>20</v>
      </c>
      <c r="N171">
        <v>-0.5753324819579575</v>
      </c>
      <c r="O171">
        <v>232.08149494485573</v>
      </c>
      <c r="P171" s="1">
        <f t="shared" si="10"/>
        <v>8.5347773610984916</v>
      </c>
      <c r="Q171" s="1">
        <f t="shared" si="11"/>
        <v>1.2802166041647738</v>
      </c>
      <c r="R171" s="1">
        <f t="shared" si="12"/>
        <v>1.1314665722701549</v>
      </c>
      <c r="S171" s="1">
        <f t="shared" si="13"/>
        <v>0.42842907426923438</v>
      </c>
      <c r="T171" s="56">
        <f t="shared" si="14"/>
        <v>0.66419168095911063</v>
      </c>
    </row>
    <row r="172" spans="1:20" x14ac:dyDescent="0.25">
      <c r="A172">
        <v>0.18550265424469969</v>
      </c>
      <c r="B172">
        <v>0.19145318219671026</v>
      </c>
      <c r="D172">
        <v>0.1878821672030031</v>
      </c>
      <c r="E172">
        <v>0.52567156330951548</v>
      </c>
      <c r="J172">
        <v>10</v>
      </c>
      <c r="K172">
        <v>-3.1994545679481234E-2</v>
      </c>
      <c r="L172">
        <v>2.8943517769818001</v>
      </c>
      <c r="M172">
        <v>20</v>
      </c>
      <c r="N172">
        <v>-1.2697018439666863</v>
      </c>
      <c r="O172">
        <v>210.64395338496294</v>
      </c>
      <c r="P172" s="1">
        <f t="shared" si="10"/>
        <v>7.6263680414980266</v>
      </c>
      <c r="Q172" s="1">
        <f t="shared" si="11"/>
        <v>1.143955206224704</v>
      </c>
      <c r="R172" s="1">
        <f t="shared" si="12"/>
        <v>1.0695584164620013</v>
      </c>
      <c r="S172" s="1">
        <f t="shared" si="13"/>
        <v>1.1572133688419044</v>
      </c>
      <c r="T172" s="56">
        <f t="shared" si="14"/>
        <v>0.87151884705123983</v>
      </c>
    </row>
    <row r="173" spans="1:20" x14ac:dyDescent="0.25">
      <c r="A173">
        <v>0.18572563860478097</v>
      </c>
      <c r="B173">
        <v>-0.92413074526120909</v>
      </c>
      <c r="D173">
        <v>0.18804665210735816</v>
      </c>
      <c r="E173">
        <v>-1.3604374123588059</v>
      </c>
      <c r="J173">
        <v>10</v>
      </c>
      <c r="K173">
        <v>0.16468641206301982</v>
      </c>
      <c r="L173">
        <v>2.891856811341798</v>
      </c>
      <c r="M173">
        <v>20</v>
      </c>
      <c r="N173">
        <v>0.52334979386614577</v>
      </c>
      <c r="O173">
        <v>72.886129917875394</v>
      </c>
      <c r="P173" s="1">
        <f t="shared" si="10"/>
        <v>2.706356668900614</v>
      </c>
      <c r="Q173" s="1">
        <f t="shared" si="11"/>
        <v>0.40595350033509209</v>
      </c>
      <c r="R173" s="1">
        <f t="shared" si="12"/>
        <v>0.63714480327088296</v>
      </c>
      <c r="S173" s="1">
        <f t="shared" si="13"/>
        <v>-0.56292287084799431</v>
      </c>
      <c r="T173" s="56">
        <f t="shared" si="14"/>
        <v>0.28898374931321047</v>
      </c>
    </row>
    <row r="174" spans="1:20" x14ac:dyDescent="0.25">
      <c r="A174">
        <v>0.18586998850388314</v>
      </c>
      <c r="B174">
        <v>-1.3492672223947011</v>
      </c>
      <c r="D174">
        <v>0.18881865541167919</v>
      </c>
      <c r="E174">
        <v>-1.3187359434141399</v>
      </c>
      <c r="J174">
        <v>10</v>
      </c>
      <c r="K174">
        <v>-0.29367652132350486</v>
      </c>
      <c r="L174">
        <v>13.644785327230768</v>
      </c>
      <c r="M174">
        <v>20</v>
      </c>
      <c r="N174">
        <v>-0.35265015071672678</v>
      </c>
      <c r="O174">
        <v>196.89261322623747</v>
      </c>
      <c r="P174" s="1">
        <f t="shared" si="10"/>
        <v>7.5191928054810093</v>
      </c>
      <c r="Q174" s="1">
        <f t="shared" si="11"/>
        <v>1.1278789208221514</v>
      </c>
      <c r="R174" s="1">
        <f t="shared" si="12"/>
        <v>1.062016440937781</v>
      </c>
      <c r="S174" s="1">
        <f t="shared" si="13"/>
        <v>5.552986481183575E-2</v>
      </c>
      <c r="T174" s="56">
        <f t="shared" si="14"/>
        <v>0.52194465539691759</v>
      </c>
    </row>
    <row r="175" spans="1:20" x14ac:dyDescent="0.25">
      <c r="A175">
        <v>0.1867638037084276</v>
      </c>
      <c r="B175">
        <v>0.33321157388854772</v>
      </c>
      <c r="D175">
        <v>0.18949868280407023</v>
      </c>
      <c r="E175">
        <v>-3.5179998610601615</v>
      </c>
      <c r="J175">
        <v>10</v>
      </c>
      <c r="K175">
        <v>-0.18506761989556253</v>
      </c>
      <c r="L175">
        <v>8.5292662276122382</v>
      </c>
      <c r="M175">
        <v>20</v>
      </c>
      <c r="N175">
        <v>0.39708168856122938</v>
      </c>
      <c r="O175">
        <v>256.66838858775128</v>
      </c>
      <c r="P175" s="1">
        <f t="shared" si="10"/>
        <v>9.4713448148344117</v>
      </c>
      <c r="Q175" s="1">
        <f t="shared" si="11"/>
        <v>1.4207017222251617</v>
      </c>
      <c r="R175" s="1">
        <f t="shared" si="12"/>
        <v>1.1919319285198973</v>
      </c>
      <c r="S175" s="1">
        <f t="shared" si="13"/>
        <v>-0.48840818382949619</v>
      </c>
      <c r="T175" s="56">
        <f t="shared" si="14"/>
        <v>0.3145320459290129</v>
      </c>
    </row>
    <row r="176" spans="1:20" x14ac:dyDescent="0.25">
      <c r="A176">
        <v>0.18752601007517133</v>
      </c>
      <c r="B176">
        <v>1.7844922695076093</v>
      </c>
      <c r="D176">
        <v>0.19090167996993535</v>
      </c>
      <c r="E176">
        <v>-3.9905675066620461E-2</v>
      </c>
      <c r="J176">
        <v>10</v>
      </c>
      <c r="K176">
        <v>-0.51993686156492913</v>
      </c>
      <c r="L176">
        <v>11.888013963979361</v>
      </c>
      <c r="M176">
        <v>20</v>
      </c>
      <c r="N176">
        <v>-1.0805125077695266</v>
      </c>
      <c r="O176">
        <v>213.06572619630793</v>
      </c>
      <c r="P176" s="1">
        <f t="shared" si="10"/>
        <v>8.0340621485816879</v>
      </c>
      <c r="Q176" s="1">
        <f t="shared" si="11"/>
        <v>1.2051093222872531</v>
      </c>
      <c r="R176" s="1">
        <f t="shared" si="12"/>
        <v>1.0977747138130178</v>
      </c>
      <c r="S176" s="1">
        <f t="shared" si="13"/>
        <v>0.5106472568105439</v>
      </c>
      <c r="T176" s="56">
        <f t="shared" si="14"/>
        <v>0.69319960777935652</v>
      </c>
    </row>
    <row r="177" spans="1:20" x14ac:dyDescent="0.25">
      <c r="A177">
        <v>0.18925290663842753</v>
      </c>
      <c r="B177">
        <v>-0.47021330829011276</v>
      </c>
      <c r="D177">
        <v>0.19098986525280526</v>
      </c>
      <c r="E177">
        <v>2.4402352175911801</v>
      </c>
      <c r="J177">
        <v>10</v>
      </c>
      <c r="K177">
        <v>-0.18610910501593025</v>
      </c>
      <c r="L177">
        <v>5.8863433199548636</v>
      </c>
      <c r="M177">
        <v>20</v>
      </c>
      <c r="N177">
        <v>-5.508423214450886E-2</v>
      </c>
      <c r="O177">
        <v>71.682213508162022</v>
      </c>
      <c r="P177" s="1">
        <f t="shared" si="10"/>
        <v>2.7703056010041744</v>
      </c>
      <c r="Q177" s="1">
        <f t="shared" si="11"/>
        <v>0.41554584015062618</v>
      </c>
      <c r="R177" s="1">
        <f t="shared" si="12"/>
        <v>0.6446284512419741</v>
      </c>
      <c r="S177" s="1">
        <f t="shared" si="13"/>
        <v>-0.20325642254694495</v>
      </c>
      <c r="T177" s="56">
        <f t="shared" si="14"/>
        <v>0.42020226335463062</v>
      </c>
    </row>
    <row r="178" spans="1:20" x14ac:dyDescent="0.25">
      <c r="A178">
        <v>0.18932930634451572</v>
      </c>
      <c r="B178">
        <v>0.20206016415613703</v>
      </c>
      <c r="D178">
        <v>0.19138491580405115</v>
      </c>
      <c r="E178">
        <v>1.5426151060182747</v>
      </c>
      <c r="J178">
        <v>10</v>
      </c>
      <c r="K178">
        <v>-0.17495926840638276</v>
      </c>
      <c r="L178">
        <v>3.2393918060825411</v>
      </c>
      <c r="M178">
        <v>20</v>
      </c>
      <c r="N178">
        <v>-0.58327561077931023</v>
      </c>
      <c r="O178">
        <v>236.49526611484461</v>
      </c>
      <c r="P178" s="1">
        <f t="shared" si="10"/>
        <v>8.5619520686045423</v>
      </c>
      <c r="Q178" s="1">
        <f t="shared" si="11"/>
        <v>1.2842928102906812</v>
      </c>
      <c r="R178" s="1">
        <f t="shared" si="12"/>
        <v>1.1332664339380574</v>
      </c>
      <c r="S178" s="1">
        <f t="shared" si="13"/>
        <v>0.36030039375122391</v>
      </c>
      <c r="T178" s="56">
        <f t="shared" si="14"/>
        <v>0.63933685686340191</v>
      </c>
    </row>
    <row r="179" spans="1:20" x14ac:dyDescent="0.25">
      <c r="A179">
        <v>0.18958797942241479</v>
      </c>
      <c r="B179">
        <v>0.22852418624097481</v>
      </c>
      <c r="D179">
        <v>0.19146438985835923</v>
      </c>
      <c r="E179">
        <v>-4.2578828958994563</v>
      </c>
      <c r="J179">
        <v>10</v>
      </c>
      <c r="K179">
        <v>0.20658455923694419</v>
      </c>
      <c r="L179">
        <v>12.971336563338667</v>
      </c>
      <c r="M179">
        <v>20</v>
      </c>
      <c r="N179">
        <v>0.53218616017147724</v>
      </c>
      <c r="O179">
        <v>330.87183503695246</v>
      </c>
      <c r="P179" s="1">
        <f t="shared" si="10"/>
        <v>12.280113271438969</v>
      </c>
      <c r="Q179" s="1">
        <f t="shared" si="11"/>
        <v>1.8420169907158452</v>
      </c>
      <c r="R179" s="1">
        <f t="shared" si="12"/>
        <v>1.3572092656314447</v>
      </c>
      <c r="S179" s="1">
        <f t="shared" si="13"/>
        <v>-0.23990522993006988</v>
      </c>
      <c r="T179" s="56">
        <f t="shared" si="14"/>
        <v>0.40607569307347519</v>
      </c>
    </row>
    <row r="180" spans="1:20" x14ac:dyDescent="0.25">
      <c r="A180">
        <v>0.19040555788092917</v>
      </c>
      <c r="B180">
        <v>0.45276806304173078</v>
      </c>
      <c r="D180">
        <v>0.19351116180114691</v>
      </c>
      <c r="E180">
        <v>0.76503465265886916</v>
      </c>
      <c r="J180">
        <v>10</v>
      </c>
      <c r="K180">
        <v>0.41904002046067035</v>
      </c>
      <c r="L180">
        <v>7.3289256245242669</v>
      </c>
      <c r="M180">
        <v>20</v>
      </c>
      <c r="N180">
        <v>0.55377631383635162</v>
      </c>
      <c r="O180">
        <v>183.26171232131563</v>
      </c>
      <c r="P180" s="1">
        <f t="shared" si="10"/>
        <v>6.8068084980657106</v>
      </c>
      <c r="Q180" s="1">
        <f t="shared" si="11"/>
        <v>1.0210212747098566</v>
      </c>
      <c r="R180" s="1">
        <f t="shared" si="12"/>
        <v>1.0104559736623149</v>
      </c>
      <c r="S180" s="1">
        <f t="shared" si="13"/>
        <v>-0.13334207218087951</v>
      </c>
      <c r="T180" s="56">
        <f t="shared" si="14"/>
        <v>0.44743829824293668</v>
      </c>
    </row>
    <row r="181" spans="1:20" x14ac:dyDescent="0.25">
      <c r="A181">
        <v>0.19067980898944314</v>
      </c>
      <c r="B181">
        <v>-1.253656591870822</v>
      </c>
      <c r="D181">
        <v>0.19528867598140198</v>
      </c>
      <c r="E181">
        <v>2.2702745320657414</v>
      </c>
      <c r="J181">
        <v>10</v>
      </c>
      <c r="K181">
        <v>-3.0065393730183132E-2</v>
      </c>
      <c r="L181">
        <v>7.6235475229544205</v>
      </c>
      <c r="M181">
        <v>20</v>
      </c>
      <c r="N181">
        <v>-1.5088896282122732</v>
      </c>
      <c r="O181">
        <v>271.02649235643366</v>
      </c>
      <c r="P181" s="1">
        <f t="shared" si="10"/>
        <v>9.9517871385495749</v>
      </c>
      <c r="Q181" s="1">
        <f t="shared" si="11"/>
        <v>1.4927680707824362</v>
      </c>
      <c r="R181" s="1">
        <f t="shared" si="12"/>
        <v>1.2217888814285536</v>
      </c>
      <c r="S181" s="1">
        <f t="shared" si="13"/>
        <v>1.2103762417227131</v>
      </c>
      <c r="T181" s="56">
        <f t="shared" si="14"/>
        <v>0.88187330766462113</v>
      </c>
    </row>
    <row r="182" spans="1:20" x14ac:dyDescent="0.25">
      <c r="A182">
        <v>0.19143461682859408</v>
      </c>
      <c r="B182">
        <v>0.29487409847206436</v>
      </c>
      <c r="D182">
        <v>0.19606927220765935</v>
      </c>
      <c r="E182">
        <v>-5.9629808254157979</v>
      </c>
      <c r="J182">
        <v>10</v>
      </c>
      <c r="K182">
        <v>-0.29008685942244483</v>
      </c>
      <c r="L182">
        <v>6.1205189174190409</v>
      </c>
      <c r="M182">
        <v>20</v>
      </c>
      <c r="N182">
        <v>0.38455572962448059</v>
      </c>
      <c r="O182">
        <v>357.31412426901971</v>
      </c>
      <c r="P182" s="1">
        <f t="shared" si="10"/>
        <v>12.979808685229955</v>
      </c>
      <c r="Q182" s="1">
        <f t="shared" si="11"/>
        <v>1.946971302784493</v>
      </c>
      <c r="R182" s="1">
        <f t="shared" si="12"/>
        <v>1.395339135402033</v>
      </c>
      <c r="S182" s="1">
        <f t="shared" si="13"/>
        <v>-0.48349721722134853</v>
      </c>
      <c r="T182" s="56">
        <f t="shared" si="14"/>
        <v>0.31625118848907396</v>
      </c>
    </row>
    <row r="183" spans="1:20" x14ac:dyDescent="0.25">
      <c r="A183">
        <v>0.19494681258288415</v>
      </c>
      <c r="B183">
        <v>-3.5311131796333939E-2</v>
      </c>
      <c r="D183">
        <v>0.19656970709521593</v>
      </c>
      <c r="E183">
        <v>-0.80091740869647765</v>
      </c>
      <c r="J183">
        <v>10</v>
      </c>
      <c r="K183">
        <v>0.38747521102777682</v>
      </c>
      <c r="L183">
        <v>8.6410606779889214</v>
      </c>
      <c r="M183">
        <v>20</v>
      </c>
      <c r="N183">
        <v>-0.72794529501152283</v>
      </c>
      <c r="O183">
        <v>254.21713688806807</v>
      </c>
      <c r="P183" s="1">
        <f t="shared" si="10"/>
        <v>9.387792770216322</v>
      </c>
      <c r="Q183" s="1">
        <f t="shared" si="11"/>
        <v>1.4081689155324482</v>
      </c>
      <c r="R183" s="1">
        <f t="shared" si="12"/>
        <v>1.1866629325686584</v>
      </c>
      <c r="S183" s="1">
        <f t="shared" si="13"/>
        <v>0.93996405839091401</v>
      </c>
      <c r="T183" s="56">
        <f t="shared" si="14"/>
        <v>0.8223625679696499</v>
      </c>
    </row>
    <row r="184" spans="1:20" x14ac:dyDescent="0.25">
      <c r="A184">
        <v>0.19574062411620508</v>
      </c>
      <c r="B184">
        <v>-0.52968289310229011</v>
      </c>
      <c r="D184">
        <v>0.19668632101781192</v>
      </c>
      <c r="E184">
        <v>0.99098383202544937</v>
      </c>
      <c r="J184">
        <v>10</v>
      </c>
      <c r="K184">
        <v>0.1373770146528841</v>
      </c>
      <c r="L184">
        <v>16.600688729578714</v>
      </c>
      <c r="M184">
        <v>20</v>
      </c>
      <c r="N184">
        <v>-0.16282797673738969</v>
      </c>
      <c r="O184">
        <v>153.02835597912414</v>
      </c>
      <c r="P184" s="1">
        <f t="shared" si="10"/>
        <v>6.0581801681679588</v>
      </c>
      <c r="Q184" s="1">
        <f t="shared" si="11"/>
        <v>0.90872702522519377</v>
      </c>
      <c r="R184" s="1">
        <f t="shared" si="12"/>
        <v>0.95327174783751656</v>
      </c>
      <c r="S184" s="1">
        <f t="shared" si="13"/>
        <v>0.31492068454906436</v>
      </c>
      <c r="T184" s="56">
        <f t="shared" si="14"/>
        <v>0.62242159162297506</v>
      </c>
    </row>
    <row r="185" spans="1:20" x14ac:dyDescent="0.25">
      <c r="A185">
        <v>0.19651637208125039</v>
      </c>
      <c r="B185">
        <v>3.9062797441147268E-2</v>
      </c>
      <c r="D185">
        <v>0.19761905760681731</v>
      </c>
      <c r="E185">
        <v>-0.81014650618271844</v>
      </c>
      <c r="J185">
        <v>10</v>
      </c>
      <c r="K185">
        <v>0.28806334739783779</v>
      </c>
      <c r="L185">
        <v>21.306300991642587</v>
      </c>
      <c r="M185">
        <v>20</v>
      </c>
      <c r="N185">
        <v>0.25366182057950937</v>
      </c>
      <c r="O185">
        <v>196.70570209543436</v>
      </c>
      <c r="P185" s="1">
        <f t="shared" si="10"/>
        <v>7.7861429673956053</v>
      </c>
      <c r="Q185" s="1">
        <f t="shared" si="11"/>
        <v>1.1679214451093407</v>
      </c>
      <c r="R185" s="1">
        <f t="shared" si="12"/>
        <v>1.0807041431906055</v>
      </c>
      <c r="S185" s="1">
        <f t="shared" si="13"/>
        <v>3.183251127062716E-2</v>
      </c>
      <c r="T185" s="56">
        <f t="shared" si="14"/>
        <v>0.51258427505230186</v>
      </c>
    </row>
    <row r="186" spans="1:20" x14ac:dyDescent="0.25">
      <c r="A186">
        <v>0.19667566745015141</v>
      </c>
      <c r="B186">
        <v>-1.0473650036146864</v>
      </c>
      <c r="D186">
        <v>0.19995985205311451</v>
      </c>
      <c r="E186">
        <v>3.4492184079226718</v>
      </c>
      <c r="J186">
        <v>10</v>
      </c>
      <c r="K186">
        <v>-0.3514620630085119</v>
      </c>
      <c r="L186">
        <v>7.3882594167206648</v>
      </c>
      <c r="M186">
        <v>20</v>
      </c>
      <c r="N186">
        <v>-0.23417254965352186</v>
      </c>
      <c r="O186">
        <v>300.88024385283569</v>
      </c>
      <c r="P186" s="1">
        <f t="shared" si="10"/>
        <v>11.009589402484155</v>
      </c>
      <c r="Q186" s="1">
        <f t="shared" si="11"/>
        <v>1.6514384103726232</v>
      </c>
      <c r="R186" s="1">
        <f t="shared" si="12"/>
        <v>1.2850830363726007</v>
      </c>
      <c r="S186" s="1">
        <f t="shared" si="13"/>
        <v>-9.1269988035997063E-2</v>
      </c>
      <c r="T186" s="56">
        <f t="shared" si="14"/>
        <v>0.46396395066172302</v>
      </c>
    </row>
    <row r="187" spans="1:20" x14ac:dyDescent="0.25">
      <c r="A187">
        <v>0.19680241079583993</v>
      </c>
      <c r="B187">
        <v>0.81855887401616201</v>
      </c>
      <c r="D187">
        <v>0.2006555487392907</v>
      </c>
      <c r="E187">
        <v>1.0500282280645479</v>
      </c>
      <c r="J187">
        <v>10</v>
      </c>
      <c r="K187">
        <v>-0.49919503908313345</v>
      </c>
      <c r="L187">
        <v>6.0556107930850169</v>
      </c>
      <c r="M187">
        <v>20</v>
      </c>
      <c r="N187">
        <v>-0.56200861195065954</v>
      </c>
      <c r="O187">
        <v>112.9538059650646</v>
      </c>
      <c r="P187" s="1">
        <f t="shared" si="10"/>
        <v>4.2503363127910578</v>
      </c>
      <c r="Q187" s="1">
        <f t="shared" si="11"/>
        <v>0.6375504469186587</v>
      </c>
      <c r="R187" s="1">
        <f t="shared" si="12"/>
        <v>0.79846756159449506</v>
      </c>
      <c r="S187" s="1">
        <f t="shared" si="13"/>
        <v>7.8667657759434712E-2</v>
      </c>
      <c r="T187" s="56">
        <f t="shared" si="14"/>
        <v>0.53107175360570946</v>
      </c>
    </row>
    <row r="188" spans="1:20" x14ac:dyDescent="0.25">
      <c r="A188">
        <v>0.19687827030367333</v>
      </c>
      <c r="B188">
        <v>0.91409447122714482</v>
      </c>
      <c r="D188">
        <v>0.20205592520242532</v>
      </c>
      <c r="E188">
        <v>0.35642710486172291</v>
      </c>
      <c r="J188">
        <v>10</v>
      </c>
      <c r="K188">
        <v>3.6755182009073906E-2</v>
      </c>
      <c r="L188">
        <v>8.8365683965738331</v>
      </c>
      <c r="M188">
        <v>20</v>
      </c>
      <c r="N188">
        <v>0.14964961906116514</v>
      </c>
      <c r="O188">
        <v>226.83884304886172</v>
      </c>
      <c r="P188" s="1">
        <f t="shared" si="10"/>
        <v>8.416978980194127</v>
      </c>
      <c r="Q188" s="1">
        <f t="shared" si="11"/>
        <v>1.262546847029119</v>
      </c>
      <c r="R188" s="1">
        <f t="shared" si="12"/>
        <v>1.1236310991731757</v>
      </c>
      <c r="S188" s="1">
        <f t="shared" si="13"/>
        <v>-0.10047286617036912</v>
      </c>
      <c r="T188" s="56">
        <f t="shared" si="14"/>
        <v>0.46034245019063419</v>
      </c>
    </row>
    <row r="189" spans="1:20" x14ac:dyDescent="0.25">
      <c r="A189">
        <v>0.19898481267750812</v>
      </c>
      <c r="B189">
        <v>0.42338115235907026</v>
      </c>
      <c r="D189">
        <v>0.20427432336086115</v>
      </c>
      <c r="E189">
        <v>4.7374380721976195</v>
      </c>
      <c r="J189">
        <v>10</v>
      </c>
      <c r="K189">
        <v>-8.5929514170857146E-2</v>
      </c>
      <c r="L189">
        <v>2.257705555474594</v>
      </c>
      <c r="M189">
        <v>20</v>
      </c>
      <c r="N189">
        <v>0.73124084224218677</v>
      </c>
      <c r="O189">
        <v>224.22984320349983</v>
      </c>
      <c r="P189" s="1">
        <f t="shared" si="10"/>
        <v>8.0888410271062288</v>
      </c>
      <c r="Q189" s="1">
        <f t="shared" si="11"/>
        <v>1.2133261540659344</v>
      </c>
      <c r="R189" s="1">
        <f t="shared" si="12"/>
        <v>1.1015108506346791</v>
      </c>
      <c r="S189" s="1">
        <f t="shared" si="13"/>
        <v>-0.74186319267050238</v>
      </c>
      <c r="T189" s="56">
        <f t="shared" si="14"/>
        <v>0.23217402723848984</v>
      </c>
    </row>
    <row r="190" spans="1:20" x14ac:dyDescent="0.25">
      <c r="A190">
        <v>0.19923767019133953</v>
      </c>
      <c r="B190">
        <v>4.1435441744397394E-2</v>
      </c>
      <c r="D190">
        <v>0.20470391582190017</v>
      </c>
      <c r="E190">
        <v>3.8548143913885724</v>
      </c>
      <c r="J190">
        <v>10</v>
      </c>
      <c r="K190">
        <v>0.21434959762700601</v>
      </c>
      <c r="L190">
        <v>9.2574611016716162</v>
      </c>
      <c r="M190">
        <v>20</v>
      </c>
      <c r="N190">
        <v>-0.58579724168339453</v>
      </c>
      <c r="O190">
        <v>176.48108013917087</v>
      </c>
      <c r="P190" s="1">
        <f t="shared" si="10"/>
        <v>6.6335193300300892</v>
      </c>
      <c r="Q190" s="1">
        <f t="shared" si="11"/>
        <v>0.99502789950451331</v>
      </c>
      <c r="R190" s="1">
        <f t="shared" si="12"/>
        <v>0.99751085182293298</v>
      </c>
      <c r="S190" s="1">
        <f t="shared" si="13"/>
        <v>0.80214349332455548</v>
      </c>
      <c r="T190" s="56">
        <f t="shared" si="14"/>
        <v>0.78538709340507062</v>
      </c>
    </row>
    <row r="191" spans="1:20" x14ac:dyDescent="0.25">
      <c r="A191">
        <v>0.20075895315054193</v>
      </c>
      <c r="B191">
        <v>-0.48263814278470818</v>
      </c>
      <c r="D191">
        <v>0.20631907269572614</v>
      </c>
      <c r="E191">
        <v>-3.2947416491424519</v>
      </c>
      <c r="J191">
        <v>10</v>
      </c>
      <c r="K191">
        <v>0.21658172499883221</v>
      </c>
      <c r="L191">
        <v>10.517528360722377</v>
      </c>
      <c r="M191">
        <v>20</v>
      </c>
      <c r="N191">
        <v>1.7037772829553433</v>
      </c>
      <c r="O191">
        <v>107.4764020370676</v>
      </c>
      <c r="P191" s="1">
        <f t="shared" si="10"/>
        <v>4.2140689427782139</v>
      </c>
      <c r="Q191" s="1">
        <f t="shared" si="11"/>
        <v>0.63211034141673206</v>
      </c>
      <c r="R191" s="1">
        <f t="shared" si="12"/>
        <v>0.79505367203524824</v>
      </c>
      <c r="S191" s="1">
        <f t="shared" si="13"/>
        <v>-1.87055995119104</v>
      </c>
      <c r="T191" s="56">
        <f t="shared" si="14"/>
        <v>3.5946382959218773E-2</v>
      </c>
    </row>
    <row r="192" spans="1:20" x14ac:dyDescent="0.25">
      <c r="A192">
        <v>0.20349782690480256</v>
      </c>
      <c r="B192">
        <v>1.6387730283895507</v>
      </c>
      <c r="D192">
        <v>0.20670130671951725</v>
      </c>
      <c r="E192">
        <v>-5.6875403549838666</v>
      </c>
      <c r="J192">
        <v>10</v>
      </c>
      <c r="K192">
        <v>-0.15642888229194796</v>
      </c>
      <c r="L192">
        <v>5.424882072983185</v>
      </c>
      <c r="M192">
        <v>20</v>
      </c>
      <c r="N192">
        <v>-0.30621373866779322</v>
      </c>
      <c r="O192">
        <v>246.3695153878177</v>
      </c>
      <c r="P192" s="1">
        <f t="shared" si="10"/>
        <v>8.9926570521714613</v>
      </c>
      <c r="Q192" s="1">
        <f t="shared" si="11"/>
        <v>1.3488985578257191</v>
      </c>
      <c r="R192" s="1">
        <f t="shared" si="12"/>
        <v>1.1614209218994289</v>
      </c>
      <c r="S192" s="1">
        <f t="shared" si="13"/>
        <v>0.1289669004161573</v>
      </c>
      <c r="T192" s="56">
        <f t="shared" si="14"/>
        <v>0.55084711074353587</v>
      </c>
    </row>
    <row r="193" spans="1:20" x14ac:dyDescent="0.25">
      <c r="A193">
        <v>0.20359461980621951</v>
      </c>
      <c r="B193">
        <v>-0.7370795174210798</v>
      </c>
      <c r="D193">
        <v>0.20739292414548915</v>
      </c>
      <c r="E193">
        <v>-1.1009585739429895</v>
      </c>
      <c r="J193">
        <v>10</v>
      </c>
      <c r="K193">
        <v>-0.67547341586760012</v>
      </c>
      <c r="L193">
        <v>10.806903665036142</v>
      </c>
      <c r="M193">
        <v>20</v>
      </c>
      <c r="N193">
        <v>0.96186613177451363</v>
      </c>
      <c r="O193">
        <v>282.86014569203604</v>
      </c>
      <c r="P193" s="1">
        <f t="shared" si="10"/>
        <v>10.488108905609721</v>
      </c>
      <c r="Q193" s="1">
        <f t="shared" si="11"/>
        <v>1.5732163358414581</v>
      </c>
      <c r="R193" s="1">
        <f t="shared" si="12"/>
        <v>1.2542792096823809</v>
      </c>
      <c r="S193" s="1">
        <f t="shared" si="13"/>
        <v>-1.3054027643946475</v>
      </c>
      <c r="T193" s="56">
        <f t="shared" si="14"/>
        <v>0.10119053917588997</v>
      </c>
    </row>
    <row r="194" spans="1:20" x14ac:dyDescent="0.25">
      <c r="A194">
        <v>0.20362046911460796</v>
      </c>
      <c r="B194">
        <v>0.81077814684249461</v>
      </c>
      <c r="D194">
        <v>0.20753947885100643</v>
      </c>
      <c r="E194">
        <v>0.36222172298039368</v>
      </c>
      <c r="J194">
        <v>10</v>
      </c>
      <c r="K194">
        <v>-4.7014623305585701E-2</v>
      </c>
      <c r="L194">
        <v>7.7225359008782668</v>
      </c>
      <c r="M194">
        <v>20</v>
      </c>
      <c r="N194">
        <v>-1.4371415807090671</v>
      </c>
      <c r="O194">
        <v>135.04055532386056</v>
      </c>
      <c r="P194" s="1">
        <f t="shared" ref="P194:P257" si="15">(L194+O194)/(J194+M194-2)</f>
        <v>5.0986818294549581</v>
      </c>
      <c r="Q194" s="1">
        <f t="shared" ref="Q194:Q257" si="16">P194*0.15</f>
        <v>0.76480227441824367</v>
      </c>
      <c r="R194" s="1">
        <f t="shared" ref="R194:R257" si="17">SQRT(Q194)</f>
        <v>0.87452974473041434</v>
      </c>
      <c r="S194" s="1">
        <f t="shared" ref="S194:S257" si="18">(K194-N194)/R194</f>
        <v>1.5895708130911053</v>
      </c>
      <c r="T194" s="56">
        <f t="shared" ref="T194:T257" si="19">_xlfn.T.DIST(S194,28,TRUE)</f>
        <v>0.93841961511771577</v>
      </c>
    </row>
    <row r="195" spans="1:20" x14ac:dyDescent="0.25">
      <c r="A195">
        <v>0.20551922196009298</v>
      </c>
      <c r="B195">
        <v>-1.1597217053349596</v>
      </c>
      <c r="D195">
        <v>0.21051539413264886</v>
      </c>
      <c r="E195">
        <v>-3.3256485528454505</v>
      </c>
      <c r="J195">
        <v>10</v>
      </c>
      <c r="K195">
        <v>0.17772902083379449</v>
      </c>
      <c r="L195">
        <v>7.2910589740205634</v>
      </c>
      <c r="M195">
        <v>20</v>
      </c>
      <c r="N195">
        <v>-0.44414815988602641</v>
      </c>
      <c r="O195">
        <v>172.2260169051257</v>
      </c>
      <c r="P195" s="1">
        <f t="shared" si="15"/>
        <v>6.4113241385409383</v>
      </c>
      <c r="Q195" s="1">
        <f t="shared" si="16"/>
        <v>0.96169862078114066</v>
      </c>
      <c r="R195" s="1">
        <f t="shared" si="17"/>
        <v>0.98066233780090717</v>
      </c>
      <c r="S195" s="1">
        <f t="shared" si="18"/>
        <v>0.63413996515289206</v>
      </c>
      <c r="T195" s="56">
        <f t="shared" si="19"/>
        <v>0.73443169631089045</v>
      </c>
    </row>
    <row r="196" spans="1:20" x14ac:dyDescent="0.25">
      <c r="A196">
        <v>0.20612877340723856</v>
      </c>
      <c r="B196">
        <v>0.3422007921471959</v>
      </c>
      <c r="D196">
        <v>0.21174848426901727</v>
      </c>
      <c r="E196">
        <v>-3.8927912589770131</v>
      </c>
      <c r="J196">
        <v>10</v>
      </c>
      <c r="K196">
        <v>-0.77219601735123433</v>
      </c>
      <c r="L196">
        <v>6.3161099566982069</v>
      </c>
      <c r="M196">
        <v>20</v>
      </c>
      <c r="N196">
        <v>0.74937673502972757</v>
      </c>
      <c r="O196">
        <v>214.21726534406559</v>
      </c>
      <c r="P196" s="1">
        <f t="shared" si="15"/>
        <v>7.876191975027278</v>
      </c>
      <c r="Q196" s="1">
        <f t="shared" si="16"/>
        <v>1.1814287962540917</v>
      </c>
      <c r="R196" s="1">
        <f t="shared" si="17"/>
        <v>1.0869355069433015</v>
      </c>
      <c r="S196" s="1">
        <f t="shared" si="18"/>
        <v>-1.3998739968114158</v>
      </c>
      <c r="T196" s="56">
        <f t="shared" si="19"/>
        <v>8.6267010452726361E-2</v>
      </c>
    </row>
    <row r="197" spans="1:20" x14ac:dyDescent="0.25">
      <c r="A197">
        <v>0.20670097823777456</v>
      </c>
      <c r="B197">
        <v>-0.86578438640572131</v>
      </c>
      <c r="D197">
        <v>0.21266353971383323</v>
      </c>
      <c r="E197">
        <v>2.3767399818552803</v>
      </c>
      <c r="J197">
        <v>10</v>
      </c>
      <c r="K197">
        <v>0.10213614132226212</v>
      </c>
      <c r="L197">
        <v>7.1916266691080759</v>
      </c>
      <c r="M197">
        <v>20</v>
      </c>
      <c r="N197">
        <v>-0.34802878076334309</v>
      </c>
      <c r="O197">
        <v>187.60750087385938</v>
      </c>
      <c r="P197" s="1">
        <f t="shared" si="15"/>
        <v>6.9571116979631231</v>
      </c>
      <c r="Q197" s="1">
        <f t="shared" si="16"/>
        <v>1.0435667546944685</v>
      </c>
      <c r="R197" s="1">
        <f t="shared" si="17"/>
        <v>1.0215511512863507</v>
      </c>
      <c r="S197" s="1">
        <f t="shared" si="18"/>
        <v>0.44066801894232277</v>
      </c>
      <c r="T197" s="56">
        <f t="shared" si="19"/>
        <v>0.66858152103376245</v>
      </c>
    </row>
    <row r="198" spans="1:20" x14ac:dyDescent="0.25">
      <c r="A198">
        <v>0.20719468226563387</v>
      </c>
      <c r="B198">
        <v>-0.50397829909343272</v>
      </c>
      <c r="D198">
        <v>0.2141828466866621</v>
      </c>
      <c r="E198">
        <v>1.8238331415432185</v>
      </c>
      <c r="J198">
        <v>10</v>
      </c>
      <c r="K198">
        <v>-0.17376225969201187</v>
      </c>
      <c r="L198">
        <v>3.987062769345334</v>
      </c>
      <c r="M198">
        <v>20</v>
      </c>
      <c r="N198">
        <v>0.92850120495313604</v>
      </c>
      <c r="O198">
        <v>208.9022054647412</v>
      </c>
      <c r="P198" s="1">
        <f t="shared" si="15"/>
        <v>7.6031881512173758</v>
      </c>
      <c r="Q198" s="1">
        <f t="shared" si="16"/>
        <v>1.1404782226826062</v>
      </c>
      <c r="R198" s="1">
        <f t="shared" si="17"/>
        <v>1.0679317500114913</v>
      </c>
      <c r="S198" s="1">
        <f t="shared" si="18"/>
        <v>-1.032147854610828</v>
      </c>
      <c r="T198" s="56">
        <f t="shared" si="19"/>
        <v>0.15541810112217996</v>
      </c>
    </row>
    <row r="199" spans="1:20" x14ac:dyDescent="0.25">
      <c r="A199">
        <v>0.20821115295271231</v>
      </c>
      <c r="B199">
        <v>1.9306207832414657</v>
      </c>
      <c r="D199">
        <v>0.21551093310909408</v>
      </c>
      <c r="E199">
        <v>-0.35131097661178501</v>
      </c>
      <c r="J199">
        <v>10</v>
      </c>
      <c r="K199">
        <v>0.48736126245785272</v>
      </c>
      <c r="L199">
        <v>7.9988511300797231</v>
      </c>
      <c r="M199">
        <v>20</v>
      </c>
      <c r="N199">
        <v>0.50044485192302091</v>
      </c>
      <c r="O199">
        <v>143.31611307524443</v>
      </c>
      <c r="P199" s="1">
        <f t="shared" si="15"/>
        <v>5.4041058644758619</v>
      </c>
      <c r="Q199" s="1">
        <f t="shared" si="16"/>
        <v>0.81061587967137927</v>
      </c>
      <c r="R199" s="1">
        <f t="shared" si="17"/>
        <v>0.90034209035864765</v>
      </c>
      <c r="S199" s="1">
        <f t="shared" si="18"/>
        <v>-1.4531798085721387E-2</v>
      </c>
      <c r="T199" s="56">
        <f t="shared" si="19"/>
        <v>0.49425438153377249</v>
      </c>
    </row>
    <row r="200" spans="1:20" x14ac:dyDescent="0.25">
      <c r="A200">
        <v>0.20991655304209988</v>
      </c>
      <c r="B200">
        <v>0.55565351431141607</v>
      </c>
      <c r="D200">
        <v>0.21572776455514231</v>
      </c>
      <c r="E200">
        <v>6.2059491449417692</v>
      </c>
      <c r="J200">
        <v>10</v>
      </c>
      <c r="K200">
        <v>0.10608300726744346</v>
      </c>
      <c r="L200">
        <v>6.1897928655775507</v>
      </c>
      <c r="M200">
        <v>20</v>
      </c>
      <c r="N200">
        <v>0.71371749413629004</v>
      </c>
      <c r="O200">
        <v>221.94031110229969</v>
      </c>
      <c r="P200" s="1">
        <f t="shared" si="15"/>
        <v>8.1475037131384731</v>
      </c>
      <c r="Q200" s="1">
        <f t="shared" si="16"/>
        <v>1.222125556970771</v>
      </c>
      <c r="R200" s="1">
        <f t="shared" si="17"/>
        <v>1.1054978774157691</v>
      </c>
      <c r="S200" s="1">
        <f t="shared" si="18"/>
        <v>-0.54964780962697413</v>
      </c>
      <c r="T200" s="56">
        <f t="shared" si="19"/>
        <v>0.29345936278446183</v>
      </c>
    </row>
    <row r="201" spans="1:20" x14ac:dyDescent="0.25">
      <c r="A201">
        <v>0.21083727668122076</v>
      </c>
      <c r="B201">
        <v>2.9274087864905596</v>
      </c>
      <c r="D201">
        <v>0.21770857665037513</v>
      </c>
      <c r="E201">
        <v>2.6662515892894589E-2</v>
      </c>
      <c r="J201">
        <v>10</v>
      </c>
      <c r="K201">
        <v>-0.61641060256079072</v>
      </c>
      <c r="L201">
        <v>2.9527413267884017</v>
      </c>
      <c r="M201">
        <v>20</v>
      </c>
      <c r="N201">
        <v>-1.1213686582323135</v>
      </c>
      <c r="O201">
        <v>89.831889724649443</v>
      </c>
      <c r="P201" s="1">
        <f t="shared" si="15"/>
        <v>3.313736823265637</v>
      </c>
      <c r="Q201" s="1">
        <f t="shared" si="16"/>
        <v>0.49706052348984553</v>
      </c>
      <c r="R201" s="1">
        <f t="shared" si="17"/>
        <v>0.70502519351427828</v>
      </c>
      <c r="S201" s="1">
        <f t="shared" si="18"/>
        <v>0.71622696652087259</v>
      </c>
      <c r="T201" s="56">
        <f t="shared" si="19"/>
        <v>0.76010867159761064</v>
      </c>
    </row>
    <row r="202" spans="1:20" x14ac:dyDescent="0.25">
      <c r="A202">
        <v>0.21113451455848498</v>
      </c>
      <c r="B202">
        <v>-0.50571543397381902</v>
      </c>
      <c r="D202">
        <v>0.21857485949909616</v>
      </c>
      <c r="E202">
        <v>-2.9849632062450837</v>
      </c>
      <c r="J202">
        <v>10</v>
      </c>
      <c r="K202">
        <v>0.22492713469546288</v>
      </c>
      <c r="L202">
        <v>3.7857341499219626</v>
      </c>
      <c r="M202">
        <v>20</v>
      </c>
      <c r="N202">
        <v>0.44683184455607261</v>
      </c>
      <c r="O202">
        <v>149.76368478310803</v>
      </c>
      <c r="P202" s="1">
        <f t="shared" si="15"/>
        <v>5.4839078190367854</v>
      </c>
      <c r="Q202" s="1">
        <f t="shared" si="16"/>
        <v>0.82258617285551783</v>
      </c>
      <c r="R202" s="1">
        <f t="shared" si="17"/>
        <v>0.9069653647496787</v>
      </c>
      <c r="S202" s="1">
        <f t="shared" si="18"/>
        <v>-0.244667237013902</v>
      </c>
      <c r="T202" s="56">
        <f t="shared" si="19"/>
        <v>0.40424913134145662</v>
      </c>
    </row>
    <row r="203" spans="1:20" x14ac:dyDescent="0.25">
      <c r="A203">
        <v>0.21158383225114397</v>
      </c>
      <c r="B203">
        <v>1.3139924703864381</v>
      </c>
      <c r="D203">
        <v>0.21863396181747174</v>
      </c>
      <c r="E203">
        <v>3.2893224181407277</v>
      </c>
      <c r="J203">
        <v>10</v>
      </c>
      <c r="K203">
        <v>0.45361434786173049</v>
      </c>
      <c r="L203">
        <v>8.5746665580373875</v>
      </c>
      <c r="M203">
        <v>20</v>
      </c>
      <c r="N203">
        <v>1.155242326831285</v>
      </c>
      <c r="O203">
        <v>166.06955025338257</v>
      </c>
      <c r="P203" s="1">
        <f t="shared" si="15"/>
        <v>6.2372934575507131</v>
      </c>
      <c r="Q203" s="1">
        <f t="shared" si="16"/>
        <v>0.93559401863260694</v>
      </c>
      <c r="R203" s="1">
        <f t="shared" si="17"/>
        <v>0.96726109124300397</v>
      </c>
      <c r="S203" s="1">
        <f t="shared" si="18"/>
        <v>-0.72537599756846338</v>
      </c>
      <c r="T203" s="56">
        <f t="shared" si="19"/>
        <v>0.2371203739003328</v>
      </c>
    </row>
    <row r="204" spans="1:20" x14ac:dyDescent="0.25">
      <c r="A204">
        <v>0.21237985885770683</v>
      </c>
      <c r="B204">
        <v>0.73818455348373391</v>
      </c>
      <c r="D204">
        <v>0.2201643300324706</v>
      </c>
      <c r="E204">
        <v>1.6552810359371506</v>
      </c>
      <c r="J204">
        <v>10</v>
      </c>
      <c r="K204">
        <v>5.235688149696216E-2</v>
      </c>
      <c r="L204">
        <v>9.8984742901731213</v>
      </c>
      <c r="M204">
        <v>20</v>
      </c>
      <c r="N204">
        <v>-0.27220540118833014</v>
      </c>
      <c r="O204">
        <v>200.1013879396443</v>
      </c>
      <c r="P204" s="1">
        <f t="shared" si="15"/>
        <v>7.4999950796363359</v>
      </c>
      <c r="Q204" s="1">
        <f t="shared" si="16"/>
        <v>1.1249992619454503</v>
      </c>
      <c r="R204" s="1">
        <f t="shared" si="17"/>
        <v>1.0606598238575129</v>
      </c>
      <c r="S204" s="1">
        <f t="shared" si="18"/>
        <v>0.30600035504775885</v>
      </c>
      <c r="T204" s="56">
        <f t="shared" si="19"/>
        <v>0.6190659724994767</v>
      </c>
    </row>
    <row r="205" spans="1:20" x14ac:dyDescent="0.25">
      <c r="A205">
        <v>0.21335462594262278</v>
      </c>
      <c r="B205">
        <v>-1.2469695320760366</v>
      </c>
      <c r="D205">
        <v>0.22206258180011995</v>
      </c>
      <c r="E205">
        <v>4.8375461540217657</v>
      </c>
      <c r="J205">
        <v>10</v>
      </c>
      <c r="K205">
        <v>0.11959116363868816</v>
      </c>
      <c r="L205">
        <v>14.234300812398079</v>
      </c>
      <c r="M205">
        <v>20</v>
      </c>
      <c r="N205">
        <v>5.4785001566415303E-2</v>
      </c>
      <c r="O205">
        <v>171.27896864681719</v>
      </c>
      <c r="P205" s="1">
        <f t="shared" si="15"/>
        <v>6.6254739092576882</v>
      </c>
      <c r="Q205" s="1">
        <f t="shared" si="16"/>
        <v>0.99382108638865319</v>
      </c>
      <c r="R205" s="1">
        <f t="shared" si="17"/>
        <v>0.99690575602142717</v>
      </c>
      <c r="S205" s="1">
        <f t="shared" si="18"/>
        <v>6.5007310551510072E-2</v>
      </c>
      <c r="T205" s="56">
        <f t="shared" si="19"/>
        <v>0.52568495187963749</v>
      </c>
    </row>
    <row r="206" spans="1:20" x14ac:dyDescent="0.25">
      <c r="A206">
        <v>0.21386911925283369</v>
      </c>
      <c r="B206">
        <v>0.91723450168501586</v>
      </c>
      <c r="D206">
        <v>0.2223639642038564</v>
      </c>
      <c r="E206">
        <v>1.1060371855364792</v>
      </c>
      <c r="J206">
        <v>10</v>
      </c>
      <c r="K206">
        <v>0.25219105737050995</v>
      </c>
      <c r="L206">
        <v>11.659792527698965</v>
      </c>
      <c r="M206">
        <v>20</v>
      </c>
      <c r="N206">
        <v>0.22858619900034682</v>
      </c>
      <c r="O206">
        <v>239.12346837670287</v>
      </c>
      <c r="P206" s="1">
        <f t="shared" si="15"/>
        <v>8.956545032300065</v>
      </c>
      <c r="Q206" s="1">
        <f t="shared" si="16"/>
        <v>1.3434817548450098</v>
      </c>
      <c r="R206" s="1">
        <f t="shared" si="17"/>
        <v>1.1590866036862861</v>
      </c>
      <c r="S206" s="1">
        <f t="shared" si="18"/>
        <v>2.0365051494074492E-2</v>
      </c>
      <c r="T206" s="56">
        <f t="shared" si="19"/>
        <v>0.50805170178828762</v>
      </c>
    </row>
    <row r="207" spans="1:20" x14ac:dyDescent="0.25">
      <c r="A207">
        <v>0.21426347927186329</v>
      </c>
      <c r="B207">
        <v>-2.2353924578055739</v>
      </c>
      <c r="D207">
        <v>0.22434408141603246</v>
      </c>
      <c r="E207">
        <v>0.52075688131481002</v>
      </c>
      <c r="J207">
        <v>10</v>
      </c>
      <c r="K207">
        <v>-0.72377395099465502</v>
      </c>
      <c r="L207">
        <v>5.2656160055983596</v>
      </c>
      <c r="M207">
        <v>20</v>
      </c>
      <c r="N207">
        <v>0.53446325068762235</v>
      </c>
      <c r="O207">
        <v>211.89659715525048</v>
      </c>
      <c r="P207" s="1">
        <f t="shared" si="15"/>
        <v>7.7557933271731727</v>
      </c>
      <c r="Q207" s="1">
        <f t="shared" si="16"/>
        <v>1.1633689990759759</v>
      </c>
      <c r="R207" s="1">
        <f t="shared" si="17"/>
        <v>1.0785958460313001</v>
      </c>
      <c r="S207" s="1">
        <f t="shared" si="18"/>
        <v>-1.1665511287772605</v>
      </c>
      <c r="T207" s="56">
        <f t="shared" si="19"/>
        <v>0.12661581764039942</v>
      </c>
    </row>
    <row r="208" spans="1:20" x14ac:dyDescent="0.25">
      <c r="A208">
        <v>0.21509645596371352</v>
      </c>
      <c r="B208">
        <v>-0.27821670300909318</v>
      </c>
      <c r="D208">
        <v>0.22565566235951995</v>
      </c>
      <c r="E208">
        <v>4.4739892894085642</v>
      </c>
      <c r="J208">
        <v>10</v>
      </c>
      <c r="K208">
        <v>0.14544082205247832</v>
      </c>
      <c r="L208">
        <v>8.3909621744233966</v>
      </c>
      <c r="M208">
        <v>20</v>
      </c>
      <c r="N208">
        <v>0.77257874067981902</v>
      </c>
      <c r="O208">
        <v>153.10898427170318</v>
      </c>
      <c r="P208" s="1">
        <f t="shared" si="15"/>
        <v>5.7678552302188066</v>
      </c>
      <c r="Q208" s="1">
        <f t="shared" si="16"/>
        <v>0.86517828453282097</v>
      </c>
      <c r="R208" s="1">
        <f t="shared" si="17"/>
        <v>0.93014960330735019</v>
      </c>
      <c r="S208" s="1">
        <f t="shared" si="18"/>
        <v>-0.67423338826078594</v>
      </c>
      <c r="T208" s="56">
        <f t="shared" si="19"/>
        <v>0.2528458935528588</v>
      </c>
    </row>
    <row r="209" spans="1:20" x14ac:dyDescent="0.25">
      <c r="A209">
        <v>0.21541624987517283</v>
      </c>
      <c r="B209">
        <v>0.64404275690321811</v>
      </c>
      <c r="D209">
        <v>0.22593675484761389</v>
      </c>
      <c r="E209">
        <v>-1.2422394809163961</v>
      </c>
      <c r="J209">
        <v>10</v>
      </c>
      <c r="K209">
        <v>0.69679504122177605</v>
      </c>
      <c r="L209">
        <v>19.239787554334352</v>
      </c>
      <c r="M209">
        <v>20</v>
      </c>
      <c r="N209">
        <v>0.75243911737743474</v>
      </c>
      <c r="O209">
        <v>183.39911443591461</v>
      </c>
      <c r="P209" s="1">
        <f t="shared" si="15"/>
        <v>7.2371036425088917</v>
      </c>
      <c r="Q209" s="1">
        <f t="shared" si="16"/>
        <v>1.0855655463763336</v>
      </c>
      <c r="R209" s="1">
        <f t="shared" si="17"/>
        <v>1.0419047683816087</v>
      </c>
      <c r="S209" s="1">
        <f t="shared" si="18"/>
        <v>-5.3406105667498455E-2</v>
      </c>
      <c r="T209" s="56">
        <f t="shared" si="19"/>
        <v>0.47889378315739645</v>
      </c>
    </row>
    <row r="210" spans="1:20" x14ac:dyDescent="0.25">
      <c r="A210">
        <v>0.21636693252303485</v>
      </c>
      <c r="B210">
        <v>1.4669149095425382</v>
      </c>
      <c r="D210">
        <v>0.22597721699600037</v>
      </c>
      <c r="E210">
        <v>4.9296324925762747</v>
      </c>
      <c r="J210">
        <v>10</v>
      </c>
      <c r="K210">
        <v>-0.12385760328470496</v>
      </c>
      <c r="L210">
        <v>10.836167520994877</v>
      </c>
      <c r="M210">
        <v>20</v>
      </c>
      <c r="N210">
        <v>2.7351628659744165E-2</v>
      </c>
      <c r="O210">
        <v>161.571530684571</v>
      </c>
      <c r="P210" s="1">
        <f t="shared" si="15"/>
        <v>6.1574177930559246</v>
      </c>
      <c r="Q210" s="1">
        <f t="shared" si="16"/>
        <v>0.92361266895838867</v>
      </c>
      <c r="R210" s="1">
        <f t="shared" si="17"/>
        <v>0.96104769338383444</v>
      </c>
      <c r="S210" s="1">
        <f t="shared" si="18"/>
        <v>-0.15733790631351885</v>
      </c>
      <c r="T210" s="56">
        <f t="shared" si="19"/>
        <v>0.43805383159998873</v>
      </c>
    </row>
    <row r="211" spans="1:20" x14ac:dyDescent="0.25">
      <c r="A211">
        <v>0.2164760202218543</v>
      </c>
      <c r="B211">
        <v>-0.82876113083329983</v>
      </c>
      <c r="D211">
        <v>0.22600639078781837</v>
      </c>
      <c r="E211">
        <v>0.4253758982031286</v>
      </c>
      <c r="J211">
        <v>10</v>
      </c>
      <c r="K211">
        <v>0.10228598057437921</v>
      </c>
      <c r="L211">
        <v>6.1072293598708596</v>
      </c>
      <c r="M211">
        <v>20</v>
      </c>
      <c r="N211">
        <v>-7.6275174478723784E-2</v>
      </c>
      <c r="O211">
        <v>238.67599192447165</v>
      </c>
      <c r="P211" s="1">
        <f t="shared" si="15"/>
        <v>8.7422579030122325</v>
      </c>
      <c r="Q211" s="1">
        <f t="shared" si="16"/>
        <v>1.3113386854518347</v>
      </c>
      <c r="R211" s="1">
        <f t="shared" si="17"/>
        <v>1.1451369723538904</v>
      </c>
      <c r="S211" s="1">
        <f t="shared" si="18"/>
        <v>0.15592995367712298</v>
      </c>
      <c r="T211" s="56">
        <f t="shared" si="19"/>
        <v>0.56139649352716736</v>
      </c>
    </row>
    <row r="212" spans="1:20" x14ac:dyDescent="0.25">
      <c r="A212">
        <v>0.21668630413970069</v>
      </c>
      <c r="B212">
        <v>-0.44236685425858013</v>
      </c>
      <c r="D212">
        <v>0.22962394976970391</v>
      </c>
      <c r="E212">
        <v>2.2640672307261411</v>
      </c>
      <c r="J212">
        <v>10</v>
      </c>
      <c r="K212">
        <v>-0.48872880142880604</v>
      </c>
      <c r="L212">
        <v>9.4532601358373753</v>
      </c>
      <c r="M212">
        <v>20</v>
      </c>
      <c r="N212">
        <v>1.0842896324447793</v>
      </c>
      <c r="O212">
        <v>171.08998863865841</v>
      </c>
      <c r="P212" s="1">
        <f t="shared" si="15"/>
        <v>6.4479731705177068</v>
      </c>
      <c r="Q212" s="1">
        <f t="shared" si="16"/>
        <v>0.96719597557765602</v>
      </c>
      <c r="R212" s="1">
        <f t="shared" si="17"/>
        <v>0.9834612222033241</v>
      </c>
      <c r="S212" s="1">
        <f t="shared" si="18"/>
        <v>-1.5994717415999693</v>
      </c>
      <c r="T212" s="56">
        <f t="shared" si="19"/>
        <v>6.0470220614567374E-2</v>
      </c>
    </row>
    <row r="213" spans="1:20" x14ac:dyDescent="0.25">
      <c r="A213">
        <v>0.2168419307843289</v>
      </c>
      <c r="B213">
        <v>-0.35365928852115758</v>
      </c>
      <c r="D213">
        <v>0.23118518709941116</v>
      </c>
      <c r="E213">
        <v>-1.9429483052135765</v>
      </c>
      <c r="J213">
        <v>10</v>
      </c>
      <c r="K213">
        <v>-0.24823248168104328</v>
      </c>
      <c r="L213">
        <v>4.742228853563482</v>
      </c>
      <c r="M213">
        <v>20</v>
      </c>
      <c r="N213">
        <v>0.83929256447845546</v>
      </c>
      <c r="O213">
        <v>216.77958803320499</v>
      </c>
      <c r="P213" s="1">
        <f t="shared" si="15"/>
        <v>7.9114934602417311</v>
      </c>
      <c r="Q213" s="1">
        <f t="shared" si="16"/>
        <v>1.1867240190362596</v>
      </c>
      <c r="R213" s="1">
        <f t="shared" si="17"/>
        <v>1.0893686332166259</v>
      </c>
      <c r="S213" s="1">
        <f t="shared" si="18"/>
        <v>-0.99830765546123401</v>
      </c>
      <c r="T213" s="56">
        <f t="shared" si="19"/>
        <v>0.16333998690720819</v>
      </c>
    </row>
    <row r="214" spans="1:20" x14ac:dyDescent="0.25">
      <c r="A214">
        <v>0.21724910618574156</v>
      </c>
      <c r="B214">
        <v>-1.4602164810639806</v>
      </c>
      <c r="D214">
        <v>0.23125206102973661</v>
      </c>
      <c r="E214">
        <v>-1.8085431781855732</v>
      </c>
      <c r="J214">
        <v>10</v>
      </c>
      <c r="K214">
        <v>0.39208680391311646</v>
      </c>
      <c r="L214">
        <v>9.776095224845907</v>
      </c>
      <c r="M214">
        <v>20</v>
      </c>
      <c r="N214">
        <v>-0.35124515193274419</v>
      </c>
      <c r="O214">
        <v>211.64411256538204</v>
      </c>
      <c r="P214" s="1">
        <f t="shared" si="15"/>
        <v>7.9078645639367124</v>
      </c>
      <c r="Q214" s="1">
        <f t="shared" si="16"/>
        <v>1.1861796845905068</v>
      </c>
      <c r="R214" s="1">
        <f t="shared" si="17"/>
        <v>1.0891187651447876</v>
      </c>
      <c r="S214" s="1">
        <f t="shared" si="18"/>
        <v>0.68250771140376232</v>
      </c>
      <c r="T214" s="56">
        <f t="shared" si="19"/>
        <v>0.74973701651306712</v>
      </c>
    </row>
    <row r="215" spans="1:20" x14ac:dyDescent="0.25">
      <c r="A215">
        <v>0.21767626383154748</v>
      </c>
      <c r="B215">
        <v>-5.4226347856456414E-2</v>
      </c>
      <c r="D215">
        <v>0.23144367972073254</v>
      </c>
      <c r="E215">
        <v>2.9163727469949663</v>
      </c>
      <c r="J215">
        <v>10</v>
      </c>
      <c r="K215">
        <v>-0.41588532440073323</v>
      </c>
      <c r="L215">
        <v>7.4788226284493984</v>
      </c>
      <c r="M215">
        <v>20</v>
      </c>
      <c r="N215">
        <v>0.34150809483435296</v>
      </c>
      <c r="O215">
        <v>171.23716148278032</v>
      </c>
      <c r="P215" s="1">
        <f t="shared" si="15"/>
        <v>6.3827137182582039</v>
      </c>
      <c r="Q215" s="1">
        <f t="shared" si="16"/>
        <v>0.95740705773873058</v>
      </c>
      <c r="R215" s="1">
        <f t="shared" si="17"/>
        <v>0.97847179710951837</v>
      </c>
      <c r="S215" s="1">
        <f t="shared" si="18"/>
        <v>-0.77405748583912704</v>
      </c>
      <c r="T215" s="56">
        <f t="shared" si="19"/>
        <v>0.22269191031835234</v>
      </c>
    </row>
    <row r="216" spans="1:20" x14ac:dyDescent="0.25">
      <c r="A216">
        <v>0.21796937778912606</v>
      </c>
      <c r="B216">
        <v>0.22821041056886315</v>
      </c>
      <c r="D216">
        <v>0.2353816875781255</v>
      </c>
      <c r="E216">
        <v>-0.78390189969468338</v>
      </c>
      <c r="J216">
        <v>10</v>
      </c>
      <c r="K216">
        <v>3.5122297958878335E-2</v>
      </c>
      <c r="L216">
        <v>5.2595554950878096</v>
      </c>
      <c r="M216">
        <v>20</v>
      </c>
      <c r="N216">
        <v>0.74666717978288943</v>
      </c>
      <c r="O216">
        <v>181.64735220486409</v>
      </c>
      <c r="P216" s="1">
        <f t="shared" si="15"/>
        <v>6.6752467035697105</v>
      </c>
      <c r="Q216" s="1">
        <f t="shared" si="16"/>
        <v>1.0012870055354566</v>
      </c>
      <c r="R216" s="1">
        <f t="shared" si="17"/>
        <v>1.000643295852951</v>
      </c>
      <c r="S216" s="1">
        <f t="shared" si="18"/>
        <v>-0.71108744222134457</v>
      </c>
      <c r="T216" s="56">
        <f t="shared" si="19"/>
        <v>0.24145606387540869</v>
      </c>
    </row>
    <row r="217" spans="1:20" x14ac:dyDescent="0.25">
      <c r="A217">
        <v>0.22117382765329574</v>
      </c>
      <c r="B217">
        <v>-1.5037994671729393</v>
      </c>
      <c r="D217">
        <v>0.23546170559849944</v>
      </c>
      <c r="E217">
        <v>-0.52642849709627626</v>
      </c>
      <c r="J217">
        <v>10</v>
      </c>
      <c r="K217">
        <v>-7.6434048423834611E-2</v>
      </c>
      <c r="L217">
        <v>8.640702317993572</v>
      </c>
      <c r="M217">
        <v>20</v>
      </c>
      <c r="N217">
        <v>0.30062414793974312</v>
      </c>
      <c r="O217">
        <v>87.93478594955684</v>
      </c>
      <c r="P217" s="1">
        <f t="shared" si="15"/>
        <v>3.4491245809839435</v>
      </c>
      <c r="Q217" s="1">
        <f t="shared" si="16"/>
        <v>0.51736868714759154</v>
      </c>
      <c r="R217" s="1">
        <f t="shared" si="17"/>
        <v>0.71928345396484095</v>
      </c>
      <c r="S217" s="1">
        <f t="shared" si="18"/>
        <v>-0.52421363828843004</v>
      </c>
      <c r="T217" s="56">
        <f t="shared" si="19"/>
        <v>0.30212770378026155</v>
      </c>
    </row>
    <row r="218" spans="1:20" x14ac:dyDescent="0.25">
      <c r="A218">
        <v>0.22147864672019557</v>
      </c>
      <c r="B218">
        <v>0.12752366274071392</v>
      </c>
      <c r="D218">
        <v>0.23706758573124997</v>
      </c>
      <c r="E218">
        <v>3.5609839380867925</v>
      </c>
      <c r="J218">
        <v>10</v>
      </c>
      <c r="K218">
        <v>-0.26627321858541109</v>
      </c>
      <c r="L218">
        <v>3.9800527026702075</v>
      </c>
      <c r="M218">
        <v>20</v>
      </c>
      <c r="N218">
        <v>0.61315818925322674</v>
      </c>
      <c r="O218">
        <v>213.23131180373227</v>
      </c>
      <c r="P218" s="1">
        <f t="shared" si="15"/>
        <v>7.7575487323715171</v>
      </c>
      <c r="Q218" s="1">
        <f t="shared" si="16"/>
        <v>1.1636323098557275</v>
      </c>
      <c r="R218" s="1">
        <f t="shared" si="17"/>
        <v>1.078717900961937</v>
      </c>
      <c r="S218" s="1">
        <f t="shared" si="18"/>
        <v>-0.81525615460206302</v>
      </c>
      <c r="T218" s="56">
        <f t="shared" si="19"/>
        <v>0.21090328658392776</v>
      </c>
    </row>
    <row r="219" spans="1:20" x14ac:dyDescent="0.25">
      <c r="A219">
        <v>0.22220108732333643</v>
      </c>
      <c r="B219">
        <v>-0.49860091166920029</v>
      </c>
      <c r="D219">
        <v>0.23754129749156394</v>
      </c>
      <c r="E219">
        <v>1.1226468325276073</v>
      </c>
      <c r="J219">
        <v>10</v>
      </c>
      <c r="K219">
        <v>0.31760589536133921</v>
      </c>
      <c r="L219">
        <v>12.778194423578856</v>
      </c>
      <c r="M219">
        <v>20</v>
      </c>
      <c r="N219">
        <v>-0.19721625562851841</v>
      </c>
      <c r="O219">
        <v>215.34364283837215</v>
      </c>
      <c r="P219" s="1">
        <f t="shared" si="15"/>
        <v>8.1472084736411077</v>
      </c>
      <c r="Q219" s="1">
        <f t="shared" si="16"/>
        <v>1.2220812710461662</v>
      </c>
      <c r="R219" s="1">
        <f t="shared" si="17"/>
        <v>1.1054778473792073</v>
      </c>
      <c r="S219" s="1">
        <f t="shared" si="18"/>
        <v>0.46570101084373916</v>
      </c>
      <c r="T219" s="56">
        <f t="shared" si="19"/>
        <v>0.67748410222113442</v>
      </c>
    </row>
    <row r="220" spans="1:20" x14ac:dyDescent="0.25">
      <c r="A220">
        <v>0.22231905968420906</v>
      </c>
      <c r="B220">
        <v>1.0517442206037231</v>
      </c>
      <c r="D220">
        <v>0.23890781554431717</v>
      </c>
      <c r="E220">
        <v>4.1888217731411714</v>
      </c>
      <c r="J220">
        <v>10</v>
      </c>
      <c r="K220">
        <v>4.8177867029153276E-2</v>
      </c>
      <c r="L220">
        <v>7.9889717135059604</v>
      </c>
      <c r="M220">
        <v>20</v>
      </c>
      <c r="N220">
        <v>-0.2039876710568933</v>
      </c>
      <c r="O220">
        <v>62.292483594682793</v>
      </c>
      <c r="P220" s="1">
        <f t="shared" si="15"/>
        <v>2.5100519752924555</v>
      </c>
      <c r="Q220" s="1">
        <f t="shared" si="16"/>
        <v>0.37650779629386832</v>
      </c>
      <c r="R220" s="1">
        <f t="shared" si="17"/>
        <v>0.61360231118686992</v>
      </c>
      <c r="S220" s="1">
        <f t="shared" si="18"/>
        <v>0.41095923774845539</v>
      </c>
      <c r="T220" s="56">
        <f t="shared" si="19"/>
        <v>0.65788462678940496</v>
      </c>
    </row>
    <row r="221" spans="1:20" x14ac:dyDescent="0.25">
      <c r="A221">
        <v>0.2244097304722894</v>
      </c>
      <c r="B221">
        <v>-0.94664073913008906</v>
      </c>
      <c r="D221">
        <v>0.23904909684076237</v>
      </c>
      <c r="E221">
        <v>-1.7817051264046313</v>
      </c>
      <c r="J221">
        <v>10</v>
      </c>
      <c r="K221">
        <v>-3.7219706428004429E-2</v>
      </c>
      <c r="L221">
        <v>14.854102248720864</v>
      </c>
      <c r="M221">
        <v>20</v>
      </c>
      <c r="N221">
        <v>0.46194986339287425</v>
      </c>
      <c r="O221">
        <v>129.23057086420619</v>
      </c>
      <c r="P221" s="1">
        <f t="shared" si="15"/>
        <v>5.1458811826045379</v>
      </c>
      <c r="Q221" s="1">
        <f t="shared" si="16"/>
        <v>0.77188217739068066</v>
      </c>
      <c r="R221" s="1">
        <f t="shared" si="17"/>
        <v>0.878568254258416</v>
      </c>
      <c r="S221" s="1">
        <f t="shared" si="18"/>
        <v>-0.56816253876850908</v>
      </c>
      <c r="T221" s="56">
        <f t="shared" si="19"/>
        <v>0.28722658677428359</v>
      </c>
    </row>
    <row r="222" spans="1:20" x14ac:dyDescent="0.25">
      <c r="A222">
        <v>0.22443995867261135</v>
      </c>
      <c r="B222">
        <v>-0.59355102166591678</v>
      </c>
      <c r="D222">
        <v>0.23915213193876717</v>
      </c>
      <c r="E222">
        <v>0.29879128874199523</v>
      </c>
      <c r="J222">
        <v>10</v>
      </c>
      <c r="K222">
        <v>0.11382257980585564</v>
      </c>
      <c r="L222">
        <v>8.7313380570724792</v>
      </c>
      <c r="M222">
        <v>20</v>
      </c>
      <c r="N222">
        <v>-0.54469041174343147</v>
      </c>
      <c r="O222">
        <v>188.93877290115947</v>
      </c>
      <c r="P222" s="1">
        <f t="shared" si="15"/>
        <v>7.0596468199368561</v>
      </c>
      <c r="Q222" s="1">
        <f t="shared" si="16"/>
        <v>1.0589470229905285</v>
      </c>
      <c r="R222" s="1">
        <f t="shared" si="17"/>
        <v>1.029051516198547</v>
      </c>
      <c r="S222" s="1">
        <f t="shared" si="18"/>
        <v>0.6399222790924225</v>
      </c>
      <c r="T222" s="56">
        <f t="shared" si="19"/>
        <v>0.7362874582264699</v>
      </c>
    </row>
    <row r="223" spans="1:20" x14ac:dyDescent="0.25">
      <c r="A223">
        <v>0.2249545113427065</v>
      </c>
      <c r="B223">
        <v>-1.3853036762156989</v>
      </c>
      <c r="D223">
        <v>0.23946704986369727</v>
      </c>
      <c r="E223">
        <v>-1.004520303240497</v>
      </c>
      <c r="J223">
        <v>10</v>
      </c>
      <c r="K223">
        <v>0.11092424756498076</v>
      </c>
      <c r="L223">
        <v>11.993172711152116</v>
      </c>
      <c r="M223">
        <v>20</v>
      </c>
      <c r="N223">
        <v>-1.1257180324264482</v>
      </c>
      <c r="O223">
        <v>170.3240013623996</v>
      </c>
      <c r="P223" s="1">
        <f t="shared" si="15"/>
        <v>6.5113276454839895</v>
      </c>
      <c r="Q223" s="1">
        <f t="shared" si="16"/>
        <v>0.9766991468225984</v>
      </c>
      <c r="R223" s="1">
        <f t="shared" si="17"/>
        <v>0.98828090481532549</v>
      </c>
      <c r="S223" s="1">
        <f t="shared" si="18"/>
        <v>1.2513064594954542</v>
      </c>
      <c r="T223" s="56">
        <f t="shared" si="19"/>
        <v>0.88941158767310013</v>
      </c>
    </row>
    <row r="224" spans="1:20" x14ac:dyDescent="0.25">
      <c r="A224">
        <v>0.22744065533446711</v>
      </c>
      <c r="B224">
        <v>1.3652152119902894</v>
      </c>
      <c r="D224">
        <v>0.24082075981987039</v>
      </c>
      <c r="E224">
        <v>2.4870355412076606</v>
      </c>
      <c r="J224">
        <v>10</v>
      </c>
      <c r="K224">
        <v>0.43153147544217063</v>
      </c>
      <c r="L224">
        <v>5.9941264647436086</v>
      </c>
      <c r="M224">
        <v>20</v>
      </c>
      <c r="N224">
        <v>0.71650941549705749</v>
      </c>
      <c r="O224">
        <v>198.78975367073795</v>
      </c>
      <c r="P224" s="1">
        <f t="shared" si="15"/>
        <v>7.3137100048386268</v>
      </c>
      <c r="Q224" s="1">
        <f t="shared" si="16"/>
        <v>1.097056500725794</v>
      </c>
      <c r="R224" s="1">
        <f t="shared" si="17"/>
        <v>1.0474046499447069</v>
      </c>
      <c r="S224" s="1">
        <f t="shared" si="18"/>
        <v>-0.27208007914604065</v>
      </c>
      <c r="T224" s="56">
        <f t="shared" si="19"/>
        <v>0.39377836723614379</v>
      </c>
    </row>
    <row r="225" spans="1:20" x14ac:dyDescent="0.25">
      <c r="A225">
        <v>0.22892907931228867</v>
      </c>
      <c r="B225">
        <v>-0.31796616895007901</v>
      </c>
      <c r="D225">
        <v>0.24348669552935542</v>
      </c>
      <c r="E225">
        <v>1.1544814208264143</v>
      </c>
      <c r="J225">
        <v>10</v>
      </c>
      <c r="K225">
        <v>0.51369681841606507</v>
      </c>
      <c r="L225">
        <v>11.221913752546044</v>
      </c>
      <c r="M225">
        <v>20</v>
      </c>
      <c r="N225">
        <v>-2.752483737822331E-2</v>
      </c>
      <c r="O225">
        <v>166.87834962512761</v>
      </c>
      <c r="P225" s="1">
        <f t="shared" si="15"/>
        <v>6.3607236920597732</v>
      </c>
      <c r="Q225" s="1">
        <f t="shared" si="16"/>
        <v>0.95410855380896598</v>
      </c>
      <c r="R225" s="1">
        <f t="shared" si="17"/>
        <v>0.97678480424757119</v>
      </c>
      <c r="S225" s="1">
        <f t="shared" si="18"/>
        <v>0.55408484390909196</v>
      </c>
      <c r="T225" s="56">
        <f t="shared" si="19"/>
        <v>0.70804032249768911</v>
      </c>
    </row>
    <row r="226" spans="1:20" x14ac:dyDescent="0.25">
      <c r="A226">
        <v>0.22894117927504742</v>
      </c>
      <c r="B226">
        <v>0.16177068573597353</v>
      </c>
      <c r="D226">
        <v>0.24471106620986993</v>
      </c>
      <c r="E226">
        <v>-0.23874736484685855</v>
      </c>
      <c r="J226">
        <v>10</v>
      </c>
      <c r="K226">
        <v>-0.20035940906382166</v>
      </c>
      <c r="L226">
        <v>7.7584248308261543</v>
      </c>
      <c r="M226">
        <v>20</v>
      </c>
      <c r="N226">
        <v>-0.26792014637067041</v>
      </c>
      <c r="O226">
        <v>205.1462417536701</v>
      </c>
      <c r="P226" s="1">
        <f t="shared" si="15"/>
        <v>7.6037380923034377</v>
      </c>
      <c r="Q226" s="1">
        <f t="shared" si="16"/>
        <v>1.1405607138455156</v>
      </c>
      <c r="R226" s="1">
        <f t="shared" si="17"/>
        <v>1.0679703712395374</v>
      </c>
      <c r="S226" s="1">
        <f t="shared" si="18"/>
        <v>6.3260872329664472E-2</v>
      </c>
      <c r="T226" s="56">
        <f t="shared" si="19"/>
        <v>0.52499588490866411</v>
      </c>
    </row>
    <row r="227" spans="1:20" x14ac:dyDescent="0.25">
      <c r="A227">
        <v>0.22931445917512971</v>
      </c>
      <c r="B227">
        <v>-1.5446130419149995</v>
      </c>
      <c r="D227">
        <v>0.24608892401032656</v>
      </c>
      <c r="E227">
        <v>2.8281949619213265</v>
      </c>
      <c r="J227">
        <v>10</v>
      </c>
      <c r="K227">
        <v>-0.34051106467813952</v>
      </c>
      <c r="L227">
        <v>16.76090083381569</v>
      </c>
      <c r="M227">
        <v>20</v>
      </c>
      <c r="N227">
        <v>0.8426259194038721</v>
      </c>
      <c r="O227">
        <v>140.73613276961751</v>
      </c>
      <c r="P227" s="1">
        <f t="shared" si="15"/>
        <v>5.6248940572654718</v>
      </c>
      <c r="Q227" s="1">
        <f t="shared" si="16"/>
        <v>0.84373410858982079</v>
      </c>
      <c r="R227" s="1">
        <f t="shared" si="17"/>
        <v>0.91855000331490977</v>
      </c>
      <c r="S227" s="1">
        <f t="shared" si="18"/>
        <v>-1.2880485328095879</v>
      </c>
      <c r="T227" s="56">
        <f t="shared" si="19"/>
        <v>0.10413624876188796</v>
      </c>
    </row>
    <row r="228" spans="1:20" x14ac:dyDescent="0.25">
      <c r="A228">
        <v>0.22996960923751097</v>
      </c>
      <c r="B228">
        <v>-1.0176427167607471</v>
      </c>
      <c r="D228">
        <v>0.24624868971960112</v>
      </c>
      <c r="E228">
        <v>-2.9128084440799284</v>
      </c>
      <c r="J228">
        <v>10</v>
      </c>
      <c r="K228">
        <v>-0.13607734672405059</v>
      </c>
      <c r="L228">
        <v>11.963268942086911</v>
      </c>
      <c r="M228">
        <v>20</v>
      </c>
      <c r="N228">
        <v>1.1375068390861998</v>
      </c>
      <c r="O228">
        <v>339.00375928478309</v>
      </c>
      <c r="P228" s="1">
        <f t="shared" si="15"/>
        <v>12.534536722388214</v>
      </c>
      <c r="Q228" s="1">
        <f t="shared" si="16"/>
        <v>1.8801805083582321</v>
      </c>
      <c r="R228" s="1">
        <f t="shared" si="17"/>
        <v>1.3711967431255925</v>
      </c>
      <c r="S228" s="1">
        <f t="shared" si="18"/>
        <v>-0.92881214325754746</v>
      </c>
      <c r="T228" s="56">
        <f t="shared" si="19"/>
        <v>0.18046246569716823</v>
      </c>
    </row>
    <row r="229" spans="1:20" x14ac:dyDescent="0.25">
      <c r="A229">
        <v>0.23091636998612841</v>
      </c>
      <c r="B229">
        <v>-0.2545948518672958</v>
      </c>
      <c r="D229">
        <v>0.24820419134387828</v>
      </c>
      <c r="E229">
        <v>2.7381822712868598</v>
      </c>
      <c r="J229">
        <v>10</v>
      </c>
      <c r="K229">
        <v>0.27731755380955292</v>
      </c>
      <c r="L229">
        <v>10.183522370003303</v>
      </c>
      <c r="M229">
        <v>20</v>
      </c>
      <c r="N229">
        <v>0.29609605803671002</v>
      </c>
      <c r="O229">
        <v>176.99410664285671</v>
      </c>
      <c r="P229" s="1">
        <f t="shared" si="15"/>
        <v>6.684915321887857</v>
      </c>
      <c r="Q229" s="1">
        <f t="shared" si="16"/>
        <v>1.0027372982831786</v>
      </c>
      <c r="R229" s="1">
        <f t="shared" si="17"/>
        <v>1.0013677138210411</v>
      </c>
      <c r="S229" s="1">
        <f t="shared" si="18"/>
        <v>-1.8752855687249659E-2</v>
      </c>
      <c r="T229" s="56">
        <f t="shared" si="19"/>
        <v>0.49258562909205567</v>
      </c>
    </row>
    <row r="230" spans="1:20" x14ac:dyDescent="0.25">
      <c r="A230">
        <v>0.23389062906331548</v>
      </c>
      <c r="B230">
        <v>-0.43167801777599379</v>
      </c>
      <c r="D230">
        <v>0.2545348438103765</v>
      </c>
      <c r="E230">
        <v>-3.9579474594120256</v>
      </c>
      <c r="J230">
        <v>10</v>
      </c>
      <c r="K230">
        <v>0.18661251033336157</v>
      </c>
      <c r="L230">
        <v>6.5328643983871411</v>
      </c>
      <c r="M230">
        <v>20</v>
      </c>
      <c r="N230">
        <v>0.45303505316951487</v>
      </c>
      <c r="O230">
        <v>322.1201480879796</v>
      </c>
      <c r="P230" s="1">
        <f t="shared" si="15"/>
        <v>11.737607588798811</v>
      </c>
      <c r="Q230" s="1">
        <f t="shared" si="16"/>
        <v>1.7606411383198217</v>
      </c>
      <c r="R230" s="1">
        <f t="shared" si="17"/>
        <v>1.3268915322360837</v>
      </c>
      <c r="S230" s="1">
        <f t="shared" si="18"/>
        <v>-0.20078697946559113</v>
      </c>
      <c r="T230" s="56">
        <f t="shared" si="19"/>
        <v>0.4211582679078178</v>
      </c>
    </row>
    <row r="231" spans="1:20" x14ac:dyDescent="0.25">
      <c r="A231">
        <v>0.23409658227780372</v>
      </c>
      <c r="B231">
        <v>-1.4761735656065866</v>
      </c>
      <c r="D231">
        <v>0.25577963906920831</v>
      </c>
      <c r="E231">
        <v>0.34322124179197999</v>
      </c>
      <c r="J231">
        <v>10</v>
      </c>
      <c r="K231">
        <v>-0.42442707126610912</v>
      </c>
      <c r="L231">
        <v>6.2637347292544066</v>
      </c>
      <c r="M231">
        <v>20</v>
      </c>
      <c r="N231">
        <v>0.66474461505094951</v>
      </c>
      <c r="O231">
        <v>257.52732684721406</v>
      </c>
      <c r="P231" s="1">
        <f t="shared" si="15"/>
        <v>9.4211093420167309</v>
      </c>
      <c r="Q231" s="1">
        <f t="shared" si="16"/>
        <v>1.4131664013025096</v>
      </c>
      <c r="R231" s="1">
        <f t="shared" si="17"/>
        <v>1.1887667564760169</v>
      </c>
      <c r="S231" s="1">
        <f t="shared" si="18"/>
        <v>-0.91621983907575089</v>
      </c>
      <c r="T231" s="56">
        <f t="shared" si="19"/>
        <v>0.18368790774459398</v>
      </c>
    </row>
    <row r="232" spans="1:20" x14ac:dyDescent="0.25">
      <c r="A232">
        <v>0.23518920047475445</v>
      </c>
      <c r="B232">
        <v>-1.9564140529837459</v>
      </c>
      <c r="D232">
        <v>0.25658971826839538</v>
      </c>
      <c r="E232">
        <v>-3.1462370805002138</v>
      </c>
      <c r="J232">
        <v>10</v>
      </c>
      <c r="K232">
        <v>0.36482003906712634</v>
      </c>
      <c r="L232">
        <v>8.5602649317125028</v>
      </c>
      <c r="M232">
        <v>20</v>
      </c>
      <c r="N232">
        <v>-0.61152616467552434</v>
      </c>
      <c r="O232">
        <v>181.63253281947334</v>
      </c>
      <c r="P232" s="1">
        <f t="shared" si="15"/>
        <v>6.7925999196852089</v>
      </c>
      <c r="Q232" s="1">
        <f t="shared" si="16"/>
        <v>1.0188899879527813</v>
      </c>
      <c r="R232" s="1">
        <f t="shared" si="17"/>
        <v>1.0094008063959437</v>
      </c>
      <c r="S232" s="1">
        <f t="shared" si="18"/>
        <v>0.96725324326685047</v>
      </c>
      <c r="T232" s="56">
        <f t="shared" si="19"/>
        <v>0.82915077313581254</v>
      </c>
    </row>
    <row r="233" spans="1:20" x14ac:dyDescent="0.25">
      <c r="A233">
        <v>0.23622049011195279</v>
      </c>
      <c r="B233">
        <v>1.2877853805548511</v>
      </c>
      <c r="D233">
        <v>0.25667516989318362</v>
      </c>
      <c r="E233">
        <v>-2.2880981339312711</v>
      </c>
      <c r="J233">
        <v>10</v>
      </c>
      <c r="K233">
        <v>0.83410918705340009</v>
      </c>
      <c r="L233">
        <v>5.0740007969107621</v>
      </c>
      <c r="M233">
        <v>20</v>
      </c>
      <c r="N233">
        <v>0.42806567194020317</v>
      </c>
      <c r="O233">
        <v>155.51502275849771</v>
      </c>
      <c r="P233" s="1">
        <f t="shared" si="15"/>
        <v>5.7353222698360167</v>
      </c>
      <c r="Q233" s="1">
        <f t="shared" si="16"/>
        <v>0.86029834047540243</v>
      </c>
      <c r="R233" s="1">
        <f t="shared" si="17"/>
        <v>0.92752269000569598</v>
      </c>
      <c r="S233" s="1">
        <f t="shared" si="18"/>
        <v>0.43777205613234471</v>
      </c>
      <c r="T233" s="56">
        <f t="shared" si="19"/>
        <v>0.66754497641279109</v>
      </c>
    </row>
    <row r="234" spans="1:20" x14ac:dyDescent="0.25">
      <c r="A234">
        <v>0.23656402217538064</v>
      </c>
      <c r="B234">
        <v>0.88259866970474832</v>
      </c>
      <c r="D234">
        <v>0.25690834523883899</v>
      </c>
      <c r="E234">
        <v>1.8569569385817886</v>
      </c>
      <c r="J234">
        <v>10</v>
      </c>
      <c r="K234">
        <v>0.46595266667281976</v>
      </c>
      <c r="L234">
        <v>11.368313389603733</v>
      </c>
      <c r="M234">
        <v>20</v>
      </c>
      <c r="N234">
        <v>-0.90331758769934822</v>
      </c>
      <c r="O234">
        <v>116.68989248556964</v>
      </c>
      <c r="P234" s="1">
        <f t="shared" si="15"/>
        <v>4.5735073526847634</v>
      </c>
      <c r="Q234" s="1">
        <f t="shared" si="16"/>
        <v>0.68602610290271449</v>
      </c>
      <c r="R234" s="1">
        <f t="shared" si="17"/>
        <v>0.82826692732639906</v>
      </c>
      <c r="S234" s="1">
        <f t="shared" si="18"/>
        <v>1.653175092710871</v>
      </c>
      <c r="T234" s="56">
        <f t="shared" si="19"/>
        <v>0.94526709956862276</v>
      </c>
    </row>
    <row r="235" spans="1:20" x14ac:dyDescent="0.25">
      <c r="A235">
        <v>0.23710957110071251</v>
      </c>
      <c r="B235">
        <v>1.4876422937959433</v>
      </c>
      <c r="D235">
        <v>0.25733325409101848</v>
      </c>
      <c r="E235">
        <v>-3.1834331400659721</v>
      </c>
      <c r="J235">
        <v>10</v>
      </c>
      <c r="K235">
        <v>-6.2342451201402582E-2</v>
      </c>
      <c r="L235">
        <v>4.3501963876194978</v>
      </c>
      <c r="M235">
        <v>20</v>
      </c>
      <c r="N235">
        <v>0.16578126974309271</v>
      </c>
      <c r="O235">
        <v>201.10997356921391</v>
      </c>
      <c r="P235" s="1">
        <f t="shared" si="15"/>
        <v>7.3378632127440495</v>
      </c>
      <c r="Q235" s="1">
        <f t="shared" si="16"/>
        <v>1.1006794819116075</v>
      </c>
      <c r="R235" s="1">
        <f t="shared" si="17"/>
        <v>1.0491327284531768</v>
      </c>
      <c r="S235" s="1">
        <f t="shared" si="18"/>
        <v>-0.21744028639811566</v>
      </c>
      <c r="T235" s="56">
        <f t="shared" si="19"/>
        <v>0.41472099639407034</v>
      </c>
    </row>
    <row r="236" spans="1:20" x14ac:dyDescent="0.25">
      <c r="A236">
        <v>0.23769185341795818</v>
      </c>
      <c r="B236">
        <v>0.55556483857799321</v>
      </c>
      <c r="D236">
        <v>0.25770729303929718</v>
      </c>
      <c r="E236">
        <v>-0.2093308955863904</v>
      </c>
      <c r="J236">
        <v>10</v>
      </c>
      <c r="K236">
        <v>0.71121053224487696</v>
      </c>
      <c r="L236">
        <v>7.8598810325203354</v>
      </c>
      <c r="M236">
        <v>20</v>
      </c>
      <c r="N236">
        <v>-0.27651384812088509</v>
      </c>
      <c r="O236">
        <v>137.33756983588162</v>
      </c>
      <c r="P236" s="1">
        <f t="shared" si="15"/>
        <v>5.1856232453000706</v>
      </c>
      <c r="Q236" s="1">
        <f t="shared" si="16"/>
        <v>0.77784348679501059</v>
      </c>
      <c r="R236" s="1">
        <f t="shared" si="17"/>
        <v>0.8819543564125133</v>
      </c>
      <c r="S236" s="1">
        <f t="shared" si="18"/>
        <v>1.1199268683058439</v>
      </c>
      <c r="T236" s="56">
        <f t="shared" si="19"/>
        <v>0.86387008133137067</v>
      </c>
    </row>
    <row r="237" spans="1:20" x14ac:dyDescent="0.25">
      <c r="A237">
        <v>0.23778679269556657</v>
      </c>
      <c r="B237">
        <v>-0.64828554968698882</v>
      </c>
      <c r="D237">
        <v>0.25860400046831222</v>
      </c>
      <c r="E237">
        <v>2.8132565114447061</v>
      </c>
      <c r="J237">
        <v>10</v>
      </c>
      <c r="K237">
        <v>-0.22239362351683667</v>
      </c>
      <c r="L237">
        <v>6.1300614976452836</v>
      </c>
      <c r="M237">
        <v>20</v>
      </c>
      <c r="N237">
        <v>1.3618192690501019</v>
      </c>
      <c r="O237">
        <v>187.65045825308812</v>
      </c>
      <c r="P237" s="1">
        <f t="shared" si="15"/>
        <v>6.920732848240478</v>
      </c>
      <c r="Q237" s="1">
        <f t="shared" si="16"/>
        <v>1.0381099272360717</v>
      </c>
      <c r="R237" s="1">
        <f t="shared" si="17"/>
        <v>1.0188767968876666</v>
      </c>
      <c r="S237" s="1">
        <f t="shared" si="18"/>
        <v>-1.5548620769519805</v>
      </c>
      <c r="T237" s="56">
        <f t="shared" si="19"/>
        <v>6.5605321197422392E-2</v>
      </c>
    </row>
    <row r="238" spans="1:20" x14ac:dyDescent="0.25">
      <c r="A238">
        <v>0.24098903478319067</v>
      </c>
      <c r="B238">
        <v>-2.0317747839726508</v>
      </c>
      <c r="D238">
        <v>0.2593892029045517</v>
      </c>
      <c r="E238">
        <v>-2.192550031168139</v>
      </c>
      <c r="J238">
        <v>10</v>
      </c>
      <c r="K238">
        <v>-6.6744632931658998E-2</v>
      </c>
      <c r="L238">
        <v>13.857076956812465</v>
      </c>
      <c r="M238">
        <v>20</v>
      </c>
      <c r="N238">
        <v>0.26526810984250915</v>
      </c>
      <c r="O238">
        <v>199.77480099229763</v>
      </c>
      <c r="P238" s="1">
        <f t="shared" si="15"/>
        <v>7.6297099267539323</v>
      </c>
      <c r="Q238" s="1">
        <f t="shared" si="16"/>
        <v>1.1444564890130897</v>
      </c>
      <c r="R238" s="1">
        <f t="shared" si="17"/>
        <v>1.0697927318004594</v>
      </c>
      <c r="S238" s="1">
        <f t="shared" si="18"/>
        <v>-0.31035240089488292</v>
      </c>
      <c r="T238" s="56">
        <f t="shared" si="19"/>
        <v>0.37929569157530352</v>
      </c>
    </row>
    <row r="239" spans="1:20" x14ac:dyDescent="0.25">
      <c r="A239">
        <v>0.24102722840590662</v>
      </c>
      <c r="B239">
        <v>-0.16650005818519276</v>
      </c>
      <c r="D239">
        <v>0.26106484527778107</v>
      </c>
      <c r="E239">
        <v>-8.1603927844753343</v>
      </c>
      <c r="J239">
        <v>10</v>
      </c>
      <c r="K239">
        <v>-0.2027400114457123</v>
      </c>
      <c r="L239">
        <v>9.8812193900742677</v>
      </c>
      <c r="M239">
        <v>20</v>
      </c>
      <c r="N239">
        <v>0.75573802519102173</v>
      </c>
      <c r="O239">
        <v>168.46474115384319</v>
      </c>
      <c r="P239" s="1">
        <f t="shared" si="15"/>
        <v>6.369498590854195</v>
      </c>
      <c r="Q239" s="1">
        <f t="shared" si="16"/>
        <v>0.95542478862812918</v>
      </c>
      <c r="R239" s="1">
        <f t="shared" si="17"/>
        <v>0.97745833089095369</v>
      </c>
      <c r="S239" s="1">
        <f t="shared" si="18"/>
        <v>-0.98058199142165059</v>
      </c>
      <c r="T239" s="56">
        <f t="shared" si="19"/>
        <v>0.16759810832618266</v>
      </c>
    </row>
    <row r="240" spans="1:20" x14ac:dyDescent="0.25">
      <c r="A240">
        <v>0.24129846512012965</v>
      </c>
      <c r="B240">
        <v>-0.47705952965770848</v>
      </c>
      <c r="D240">
        <v>0.26150886065301915</v>
      </c>
      <c r="E240">
        <v>4.8012982426826056</v>
      </c>
      <c r="J240">
        <v>10</v>
      </c>
      <c r="K240">
        <v>-2.6887619242188521E-2</v>
      </c>
      <c r="L240">
        <v>7.281762217620436</v>
      </c>
      <c r="M240">
        <v>20</v>
      </c>
      <c r="N240">
        <v>-0.9698272867808555</v>
      </c>
      <c r="O240">
        <v>125.29349575900811</v>
      </c>
      <c r="P240" s="1">
        <f t="shared" si="15"/>
        <v>4.7348306420224473</v>
      </c>
      <c r="Q240" s="1">
        <f t="shared" si="16"/>
        <v>0.7102245963033671</v>
      </c>
      <c r="R240" s="1">
        <f t="shared" si="17"/>
        <v>0.84274824016628302</v>
      </c>
      <c r="S240" s="1">
        <f t="shared" si="18"/>
        <v>1.1188865459423745</v>
      </c>
      <c r="T240" s="56">
        <f t="shared" si="19"/>
        <v>0.86365205631484787</v>
      </c>
    </row>
    <row r="241" spans="1:20" x14ac:dyDescent="0.25">
      <c r="A241">
        <v>0.24253788239660024</v>
      </c>
      <c r="B241">
        <v>-1.099772362067597</v>
      </c>
      <c r="D241">
        <v>0.26207341849794397</v>
      </c>
      <c r="E241">
        <v>6.9809477702165168</v>
      </c>
      <c r="J241">
        <v>10</v>
      </c>
      <c r="K241">
        <v>-3.5726543501368724E-2</v>
      </c>
      <c r="L241">
        <v>2.9079909252925913</v>
      </c>
      <c r="M241">
        <v>20</v>
      </c>
      <c r="N241">
        <v>-1.4007158063122915</v>
      </c>
      <c r="O241">
        <v>167.38934237249174</v>
      </c>
      <c r="P241" s="1">
        <f t="shared" si="15"/>
        <v>6.0820476177780112</v>
      </c>
      <c r="Q241" s="1">
        <f t="shared" si="16"/>
        <v>0.91230714266670165</v>
      </c>
      <c r="R241" s="1">
        <f t="shared" si="17"/>
        <v>0.95514770725092657</v>
      </c>
      <c r="S241" s="1">
        <f t="shared" si="18"/>
        <v>1.4290870955860724</v>
      </c>
      <c r="T241" s="56">
        <f t="shared" si="19"/>
        <v>0.91797920039884451</v>
      </c>
    </row>
    <row r="242" spans="1:20" x14ac:dyDescent="0.25">
      <c r="A242">
        <v>0.24273830534477792</v>
      </c>
      <c r="B242">
        <v>1.4437546269618906</v>
      </c>
      <c r="D242">
        <v>0.26388459338613912</v>
      </c>
      <c r="E242">
        <v>-1.6727202591937385E-2</v>
      </c>
      <c r="J242">
        <v>10</v>
      </c>
      <c r="K242">
        <v>0.57183478929800913</v>
      </c>
      <c r="L242">
        <v>9.491744009080076</v>
      </c>
      <c r="M242">
        <v>20</v>
      </c>
      <c r="N242">
        <v>0.41396998199161317</v>
      </c>
      <c r="O242">
        <v>168.40518612103608</v>
      </c>
      <c r="P242" s="1">
        <f t="shared" si="15"/>
        <v>6.3534617903612913</v>
      </c>
      <c r="Q242" s="1">
        <f t="shared" si="16"/>
        <v>0.95301926855419361</v>
      </c>
      <c r="R242" s="1">
        <f t="shared" si="17"/>
        <v>0.97622705788878517</v>
      </c>
      <c r="S242" s="1">
        <f t="shared" si="18"/>
        <v>0.16170910858361029</v>
      </c>
      <c r="T242" s="56">
        <f t="shared" si="19"/>
        <v>0.56365190964882916</v>
      </c>
    </row>
    <row r="243" spans="1:20" x14ac:dyDescent="0.25">
      <c r="A243">
        <v>0.24314419619724481</v>
      </c>
      <c r="B243">
        <v>0.496695520268986</v>
      </c>
      <c r="D243">
        <v>0.26411118301647563</v>
      </c>
      <c r="E243">
        <v>-0.98693522318171745</v>
      </c>
      <c r="J243">
        <v>10</v>
      </c>
      <c r="K243">
        <v>0.46166883294063155</v>
      </c>
      <c r="L243">
        <v>6.0367854506709122</v>
      </c>
      <c r="M243">
        <v>20</v>
      </c>
      <c r="N243">
        <v>-0.38269792298706307</v>
      </c>
      <c r="O243">
        <v>174.20893592277565</v>
      </c>
      <c r="P243" s="1">
        <f t="shared" si="15"/>
        <v>6.4373471919088061</v>
      </c>
      <c r="Q243" s="1">
        <f t="shared" si="16"/>
        <v>0.96560207878632087</v>
      </c>
      <c r="R243" s="1">
        <f t="shared" si="17"/>
        <v>0.98265053746808728</v>
      </c>
      <c r="S243" s="1">
        <f t="shared" si="18"/>
        <v>0.85927471031899416</v>
      </c>
      <c r="T243" s="56">
        <f t="shared" si="19"/>
        <v>0.80125695048440593</v>
      </c>
    </row>
    <row r="244" spans="1:20" x14ac:dyDescent="0.25">
      <c r="A244">
        <v>0.24590790395154483</v>
      </c>
      <c r="B244">
        <v>-0.51120082389388699</v>
      </c>
      <c r="D244">
        <v>0.26427466847923475</v>
      </c>
      <c r="E244">
        <v>-0.23070174734129978</v>
      </c>
      <c r="J244">
        <v>10</v>
      </c>
      <c r="K244">
        <v>0.70512101046915632</v>
      </c>
      <c r="L244">
        <v>12.363847376515141</v>
      </c>
      <c r="M244">
        <v>20</v>
      </c>
      <c r="N244">
        <v>4.3731059804485994E-2</v>
      </c>
      <c r="O244">
        <v>156.33999323572257</v>
      </c>
      <c r="P244" s="1">
        <f t="shared" si="15"/>
        <v>6.0251371647227758</v>
      </c>
      <c r="Q244" s="1">
        <f t="shared" si="16"/>
        <v>0.90377057470841637</v>
      </c>
      <c r="R244" s="1">
        <f t="shared" si="17"/>
        <v>0.95066848833250828</v>
      </c>
      <c r="S244" s="1">
        <f t="shared" si="18"/>
        <v>0.69571039619159114</v>
      </c>
      <c r="T244" s="56">
        <f t="shared" si="19"/>
        <v>0.75382764234926691</v>
      </c>
    </row>
    <row r="245" spans="1:20" x14ac:dyDescent="0.25">
      <c r="A245">
        <v>0.24629657672104188</v>
      </c>
      <c r="B245">
        <v>-1.4611077858717181</v>
      </c>
      <c r="D245">
        <v>0.26487060493025427</v>
      </c>
      <c r="E245">
        <v>2.617617379883086</v>
      </c>
      <c r="J245">
        <v>10</v>
      </c>
      <c r="K245">
        <v>0.12087775758118369</v>
      </c>
      <c r="L245">
        <v>9.3057155537554213</v>
      </c>
      <c r="M245">
        <v>20</v>
      </c>
      <c r="N245">
        <v>-0.2654208549301984</v>
      </c>
      <c r="O245">
        <v>168.84698067006104</v>
      </c>
      <c r="P245" s="1">
        <f t="shared" si="15"/>
        <v>6.3625962937077309</v>
      </c>
      <c r="Q245" s="1">
        <f t="shared" si="16"/>
        <v>0.95438944405615955</v>
      </c>
      <c r="R245" s="1">
        <f t="shared" si="17"/>
        <v>0.97692857674251676</v>
      </c>
      <c r="S245" s="1">
        <f t="shared" si="18"/>
        <v>0.39542155046734445</v>
      </c>
      <c r="T245" s="56">
        <f t="shared" si="19"/>
        <v>0.65223576493036806</v>
      </c>
    </row>
    <row r="246" spans="1:20" x14ac:dyDescent="0.25">
      <c r="A246">
        <v>0.24718028171075634</v>
      </c>
      <c r="B246">
        <v>-0.70170358412724454</v>
      </c>
      <c r="D246">
        <v>0.26582103300374427</v>
      </c>
      <c r="E246">
        <v>0.14247302374315041</v>
      </c>
      <c r="J246">
        <v>10</v>
      </c>
      <c r="K246">
        <v>0.29940838430775329</v>
      </c>
      <c r="L246">
        <v>7.425909349761513</v>
      </c>
      <c r="M246">
        <v>20</v>
      </c>
      <c r="N246">
        <v>0.7840006867354532</v>
      </c>
      <c r="O246">
        <v>123.38508694322944</v>
      </c>
      <c r="P246" s="1">
        <f t="shared" si="15"/>
        <v>4.6718212961782486</v>
      </c>
      <c r="Q246" s="1">
        <f t="shared" si="16"/>
        <v>0.70077319442673724</v>
      </c>
      <c r="R246" s="1">
        <f t="shared" si="17"/>
        <v>0.8371219710572273</v>
      </c>
      <c r="S246" s="1">
        <f t="shared" si="18"/>
        <v>-0.57887896767981528</v>
      </c>
      <c r="T246" s="56">
        <f t="shared" si="19"/>
        <v>0.28364943939682902</v>
      </c>
    </row>
    <row r="247" spans="1:20" x14ac:dyDescent="0.25">
      <c r="A247">
        <v>0.25675450797708854</v>
      </c>
      <c r="B247">
        <v>-9.5731138571863994E-2</v>
      </c>
      <c r="D247">
        <v>0.26680269815908653</v>
      </c>
      <c r="E247">
        <v>-1.4361937735429819</v>
      </c>
      <c r="J247">
        <v>10</v>
      </c>
      <c r="K247">
        <v>0.50947608087881235</v>
      </c>
      <c r="L247">
        <v>5.7574918137307023</v>
      </c>
      <c r="M247">
        <v>20</v>
      </c>
      <c r="N247">
        <v>0.81380119013374497</v>
      </c>
      <c r="O247">
        <v>85.133366976209601</v>
      </c>
      <c r="P247" s="1">
        <f t="shared" si="15"/>
        <v>3.246102099640725</v>
      </c>
      <c r="Q247" s="1">
        <f t="shared" si="16"/>
        <v>0.48691531494610873</v>
      </c>
      <c r="R247" s="1">
        <f t="shared" si="17"/>
        <v>0.69779317490651105</v>
      </c>
      <c r="S247" s="1">
        <f t="shared" si="18"/>
        <v>-0.43612508720181375</v>
      </c>
      <c r="T247" s="56">
        <f t="shared" si="19"/>
        <v>0.33304512283690718</v>
      </c>
    </row>
    <row r="248" spans="1:20" x14ac:dyDescent="0.25">
      <c r="A248">
        <v>0.25680314882562671</v>
      </c>
      <c r="B248">
        <v>1.1693668966472615</v>
      </c>
      <c r="D248">
        <v>0.26768475578548423</v>
      </c>
      <c r="E248">
        <v>-3.0351400289418962</v>
      </c>
      <c r="J248">
        <v>10</v>
      </c>
      <c r="K248">
        <v>-0.56659143865545047</v>
      </c>
      <c r="L248">
        <v>10.726112315322261</v>
      </c>
      <c r="M248">
        <v>20</v>
      </c>
      <c r="N248">
        <v>-0.8607501661117567</v>
      </c>
      <c r="O248">
        <v>164.77403963412792</v>
      </c>
      <c r="P248" s="1">
        <f t="shared" si="15"/>
        <v>6.2678625696232206</v>
      </c>
      <c r="Q248" s="1">
        <f t="shared" si="16"/>
        <v>0.94017938544348301</v>
      </c>
      <c r="R248" s="1">
        <f t="shared" si="17"/>
        <v>0.96962847804892927</v>
      </c>
      <c r="S248" s="1">
        <f t="shared" si="18"/>
        <v>0.30337261550754746</v>
      </c>
      <c r="T248" s="56">
        <f t="shared" si="19"/>
        <v>0.61807566189624641</v>
      </c>
    </row>
    <row r="249" spans="1:20" x14ac:dyDescent="0.25">
      <c r="A249">
        <v>0.25886445331660302</v>
      </c>
      <c r="B249">
        <v>0.78719949669903144</v>
      </c>
      <c r="D249">
        <v>0.26815221504368536</v>
      </c>
      <c r="E249">
        <v>-3.8527790593434474E-2</v>
      </c>
      <c r="J249">
        <v>10</v>
      </c>
      <c r="K249">
        <v>-6.7044538809568621E-2</v>
      </c>
      <c r="L249">
        <v>16.659027531108592</v>
      </c>
      <c r="M249">
        <v>20</v>
      </c>
      <c r="N249">
        <v>-0.26582808118291723</v>
      </c>
      <c r="O249">
        <v>167.98025233378405</v>
      </c>
      <c r="P249" s="1">
        <f t="shared" si="15"/>
        <v>6.5942599951747374</v>
      </c>
      <c r="Q249" s="1">
        <f t="shared" si="16"/>
        <v>0.98913899927621052</v>
      </c>
      <c r="R249" s="1">
        <f t="shared" si="17"/>
        <v>0.99455467384966345</v>
      </c>
      <c r="S249" s="1">
        <f t="shared" si="18"/>
        <v>0.19987191011220029</v>
      </c>
      <c r="T249" s="56">
        <f t="shared" si="19"/>
        <v>0.57848735311060606</v>
      </c>
    </row>
    <row r="250" spans="1:20" x14ac:dyDescent="0.25">
      <c r="A250">
        <v>0.26076168440974423</v>
      </c>
      <c r="B250">
        <v>-0.94436927611241117</v>
      </c>
      <c r="D250">
        <v>0.26827514305148581</v>
      </c>
      <c r="E250">
        <v>-6.3419126979624707</v>
      </c>
      <c r="J250">
        <v>10</v>
      </c>
      <c r="K250">
        <v>-0.11843098945973907</v>
      </c>
      <c r="L250">
        <v>10.742087681594422</v>
      </c>
      <c r="M250">
        <v>20</v>
      </c>
      <c r="N250">
        <v>1.1211601497507218</v>
      </c>
      <c r="O250">
        <v>205.40209802515014</v>
      </c>
      <c r="P250" s="1">
        <f t="shared" si="15"/>
        <v>7.7194352038123055</v>
      </c>
      <c r="Q250" s="1">
        <f t="shared" si="16"/>
        <v>1.1579152805718458</v>
      </c>
      <c r="R250" s="1">
        <f t="shared" si="17"/>
        <v>1.0760647195089363</v>
      </c>
      <c r="S250" s="1">
        <f t="shared" si="18"/>
        <v>-1.151967085935268</v>
      </c>
      <c r="T250" s="56">
        <f t="shared" si="19"/>
        <v>0.12953794796537241</v>
      </c>
    </row>
    <row r="251" spans="1:20" x14ac:dyDescent="0.25">
      <c r="A251">
        <v>0.26298635670623471</v>
      </c>
      <c r="B251">
        <v>2.0251900423318148</v>
      </c>
      <c r="D251">
        <v>0.26891028432495689</v>
      </c>
      <c r="E251">
        <v>-0.49231562456952815</v>
      </c>
      <c r="J251">
        <v>10</v>
      </c>
      <c r="K251">
        <v>-0.55317116220976459</v>
      </c>
      <c r="L251">
        <v>13.245197099951691</v>
      </c>
      <c r="M251">
        <v>20</v>
      </c>
      <c r="N251">
        <v>0.23054081680129457</v>
      </c>
      <c r="O251">
        <v>230.09109640679921</v>
      </c>
      <c r="P251" s="1">
        <f t="shared" si="15"/>
        <v>8.6905819109553892</v>
      </c>
      <c r="Q251" s="1">
        <f t="shared" si="16"/>
        <v>1.3035872866433083</v>
      </c>
      <c r="R251" s="1">
        <f t="shared" si="17"/>
        <v>1.1417474706095514</v>
      </c>
      <c r="S251" s="1">
        <f t="shared" si="18"/>
        <v>-0.68641446483139945</v>
      </c>
      <c r="T251" s="56">
        <f t="shared" si="19"/>
        <v>0.24904859685592662</v>
      </c>
    </row>
    <row r="252" spans="1:20" x14ac:dyDescent="0.25">
      <c r="A252">
        <v>0.26470790646822628</v>
      </c>
      <c r="B252">
        <v>-0.97997599368682131</v>
      </c>
      <c r="D252">
        <v>0.26899196005464243</v>
      </c>
      <c r="E252">
        <v>2.5408173735286255</v>
      </c>
      <c r="J252">
        <v>10</v>
      </c>
      <c r="K252">
        <v>0.16779529232735513</v>
      </c>
      <c r="L252">
        <v>3.3021441772536395</v>
      </c>
      <c r="M252">
        <v>20</v>
      </c>
      <c r="N252">
        <v>-0.77921487559251545</v>
      </c>
      <c r="O252">
        <v>129.0733060003374</v>
      </c>
      <c r="P252" s="1">
        <f t="shared" si="15"/>
        <v>4.7276946491996794</v>
      </c>
      <c r="Q252" s="1">
        <f t="shared" si="16"/>
        <v>0.70915419737995189</v>
      </c>
      <c r="R252" s="1">
        <f t="shared" si="17"/>
        <v>0.84211293623833605</v>
      </c>
      <c r="S252" s="1">
        <f t="shared" si="18"/>
        <v>1.1245643276186965</v>
      </c>
      <c r="T252" s="56">
        <f t="shared" si="19"/>
        <v>0.86483891416676661</v>
      </c>
    </row>
    <row r="253" spans="1:20" x14ac:dyDescent="0.25">
      <c r="A253">
        <v>0.26535344611209832</v>
      </c>
      <c r="B253">
        <v>-5.3536268751486205E-2</v>
      </c>
      <c r="D253">
        <v>0.26949627252969865</v>
      </c>
      <c r="E253">
        <v>4.0944162230971415</v>
      </c>
      <c r="J253">
        <v>10</v>
      </c>
      <c r="K253">
        <v>0.29280056423885981</v>
      </c>
      <c r="L253">
        <v>10.514235637988348</v>
      </c>
      <c r="M253">
        <v>20</v>
      </c>
      <c r="N253">
        <v>-0.48310409169971535</v>
      </c>
      <c r="O253">
        <v>170.92800214904338</v>
      </c>
      <c r="P253" s="1">
        <f t="shared" si="15"/>
        <v>6.4800799209654185</v>
      </c>
      <c r="Q253" s="1">
        <f t="shared" si="16"/>
        <v>0.97201198814481271</v>
      </c>
      <c r="R253" s="1">
        <f t="shared" si="17"/>
        <v>0.98590668328438302</v>
      </c>
      <c r="S253" s="1">
        <f t="shared" si="18"/>
        <v>0.78699604038972404</v>
      </c>
      <c r="T253" s="56">
        <f t="shared" si="19"/>
        <v>0.78105239912396296</v>
      </c>
    </row>
    <row r="254" spans="1:20" x14ac:dyDescent="0.25">
      <c r="A254">
        <v>0.26696454065952091</v>
      </c>
      <c r="B254">
        <v>6.7407199821900576E-2</v>
      </c>
      <c r="D254">
        <v>0.26958990397928684</v>
      </c>
      <c r="E254">
        <v>-9.2691610689143999E-2</v>
      </c>
      <c r="J254">
        <v>10</v>
      </c>
      <c r="K254">
        <v>-0.57825729982141638</v>
      </c>
      <c r="L254">
        <v>7.82576420710493</v>
      </c>
      <c r="M254">
        <v>20</v>
      </c>
      <c r="N254">
        <v>5.2052765795451705E-2</v>
      </c>
      <c r="O254">
        <v>105.00814646965108</v>
      </c>
      <c r="P254" s="1">
        <f t="shared" si="15"/>
        <v>4.0297825241698577</v>
      </c>
      <c r="Q254" s="1">
        <f t="shared" si="16"/>
        <v>0.60446737862547861</v>
      </c>
      <c r="R254" s="1">
        <f t="shared" si="17"/>
        <v>0.77747500192963026</v>
      </c>
      <c r="S254" s="1">
        <f t="shared" si="18"/>
        <v>-0.81071425325893354</v>
      </c>
      <c r="T254" s="56">
        <f t="shared" si="19"/>
        <v>0.21218369931192271</v>
      </c>
    </row>
    <row r="255" spans="1:20" x14ac:dyDescent="0.25">
      <c r="A255">
        <v>0.2675425867312472</v>
      </c>
      <c r="B255">
        <v>1.8377249944023788</v>
      </c>
      <c r="D255">
        <v>0.27019221943489702</v>
      </c>
      <c r="E255">
        <v>-2.1127145862465113</v>
      </c>
      <c r="J255">
        <v>10</v>
      </c>
      <c r="K255">
        <v>3.0764113034820184E-2</v>
      </c>
      <c r="L255">
        <v>5.8814082709741013</v>
      </c>
      <c r="M255">
        <v>20</v>
      </c>
      <c r="N255">
        <v>-1.0660413101959421</v>
      </c>
      <c r="O255">
        <v>128.37487455924273</v>
      </c>
      <c r="P255" s="1">
        <f t="shared" si="15"/>
        <v>4.7948672439363156</v>
      </c>
      <c r="Q255" s="1">
        <f t="shared" si="16"/>
        <v>0.71923008659044729</v>
      </c>
      <c r="R255" s="1">
        <f t="shared" si="17"/>
        <v>0.84807434024998496</v>
      </c>
      <c r="S255" s="1">
        <f t="shared" si="18"/>
        <v>1.2932892450294622</v>
      </c>
      <c r="T255" s="56">
        <f t="shared" si="19"/>
        <v>0.89676014101238266</v>
      </c>
    </row>
    <row r="256" spans="1:20" x14ac:dyDescent="0.25">
      <c r="A256">
        <v>0.2678204487111393</v>
      </c>
      <c r="B256">
        <v>0.76108221946924459</v>
      </c>
      <c r="D256">
        <v>0.27066752442170272</v>
      </c>
      <c r="E256">
        <v>2.3588922852013638</v>
      </c>
      <c r="J256">
        <v>10</v>
      </c>
      <c r="K256">
        <v>0.11263409760431387</v>
      </c>
      <c r="L256">
        <v>8.9912479042960136</v>
      </c>
      <c r="M256">
        <v>20</v>
      </c>
      <c r="N256">
        <v>0.16303317465826694</v>
      </c>
      <c r="O256">
        <v>126.503000001424</v>
      </c>
      <c r="P256" s="1">
        <f t="shared" si="15"/>
        <v>4.839080282347143</v>
      </c>
      <c r="Q256" s="1">
        <f t="shared" si="16"/>
        <v>0.72586204235207141</v>
      </c>
      <c r="R256" s="1">
        <f t="shared" si="17"/>
        <v>0.85197537661136158</v>
      </c>
      <c r="S256" s="1">
        <f t="shared" si="18"/>
        <v>-5.9155555943893434E-2</v>
      </c>
      <c r="T256" s="56">
        <f t="shared" si="19"/>
        <v>0.47662419728662486</v>
      </c>
    </row>
    <row r="257" spans="1:20" x14ac:dyDescent="0.25">
      <c r="A257">
        <v>0.27094489967122315</v>
      </c>
      <c r="B257">
        <v>-1.0381427273387089</v>
      </c>
      <c r="D257">
        <v>0.271197069550973</v>
      </c>
      <c r="E257">
        <v>-2.7378716856674146</v>
      </c>
      <c r="J257">
        <v>10</v>
      </c>
      <c r="K257">
        <v>0.19775234250118956</v>
      </c>
      <c r="L257">
        <v>10.9091444547599</v>
      </c>
      <c r="M257">
        <v>20</v>
      </c>
      <c r="N257">
        <v>-0.18496809047974239</v>
      </c>
      <c r="O257">
        <v>179.10631466703646</v>
      </c>
      <c r="P257" s="1">
        <f t="shared" si="15"/>
        <v>6.7862663972070134</v>
      </c>
      <c r="Q257" s="1">
        <f t="shared" si="16"/>
        <v>1.0179399595810519</v>
      </c>
      <c r="R257" s="1">
        <f t="shared" si="17"/>
        <v>1.0089301063904534</v>
      </c>
      <c r="S257" s="1">
        <f t="shared" si="18"/>
        <v>0.37933294938551482</v>
      </c>
      <c r="T257" s="56">
        <f t="shared" si="19"/>
        <v>0.64634883989502112</v>
      </c>
    </row>
    <row r="258" spans="1:20" x14ac:dyDescent="0.25">
      <c r="A258">
        <v>0.27136626570568656</v>
      </c>
      <c r="B258">
        <v>-4.9017216952051967E-2</v>
      </c>
      <c r="D258">
        <v>0.27203092599501433</v>
      </c>
      <c r="E258">
        <v>-2.6934383220122982</v>
      </c>
      <c r="J258">
        <v>10</v>
      </c>
      <c r="K258">
        <v>2.1844812181370798E-2</v>
      </c>
      <c r="L258">
        <v>7.5519556743092471</v>
      </c>
      <c r="M258">
        <v>20</v>
      </c>
      <c r="N258">
        <v>-0.89011001932703948</v>
      </c>
      <c r="O258">
        <v>140.59662835094761</v>
      </c>
      <c r="P258" s="1">
        <f t="shared" ref="P258:P321" si="20">(L258+O258)/(J258+M258-2)</f>
        <v>5.2910208580448881</v>
      </c>
      <c r="Q258" s="1">
        <f t="shared" ref="Q258:Q321" si="21">P258*0.15</f>
        <v>0.79365312870673321</v>
      </c>
      <c r="R258" s="1">
        <f t="shared" ref="R258:R321" si="22">SQRT(Q258)</f>
        <v>0.89087211692067969</v>
      </c>
      <c r="S258" s="1">
        <f t="shared" ref="S258:S321" si="23">(K258-N258)/R258</f>
        <v>1.023665253617549</v>
      </c>
      <c r="T258" s="56">
        <f t="shared" ref="T258:T321" si="24">_xlfn.T.DIST(S258,28,TRUE)</f>
        <v>0.84262167284614697</v>
      </c>
    </row>
    <row r="259" spans="1:20" x14ac:dyDescent="0.25">
      <c r="A259">
        <v>0.27203718860625814</v>
      </c>
      <c r="B259">
        <v>0.31041054171510041</v>
      </c>
      <c r="D259">
        <v>0.27437225137949606</v>
      </c>
      <c r="E259">
        <v>-0.53223334703034197</v>
      </c>
      <c r="J259">
        <v>10</v>
      </c>
      <c r="K259">
        <v>0.47242474465747364</v>
      </c>
      <c r="L259">
        <v>7.2619849557987619</v>
      </c>
      <c r="M259">
        <v>20</v>
      </c>
      <c r="N259">
        <v>-0.10489936016710999</v>
      </c>
      <c r="O259">
        <v>247.46320479208123</v>
      </c>
      <c r="P259" s="1">
        <f t="shared" si="20"/>
        <v>9.0973282052814284</v>
      </c>
      <c r="Q259" s="1">
        <f t="shared" si="21"/>
        <v>1.3645992307922141</v>
      </c>
      <c r="R259" s="1">
        <f t="shared" si="22"/>
        <v>1.1681606185761504</v>
      </c>
      <c r="S259" s="1">
        <f t="shared" si="23"/>
        <v>0.49421637371089722</v>
      </c>
      <c r="T259" s="56">
        <f t="shared" si="24"/>
        <v>0.68749571882556682</v>
      </c>
    </row>
    <row r="260" spans="1:20" x14ac:dyDescent="0.25">
      <c r="A260">
        <v>0.27226411003563444</v>
      </c>
      <c r="B260">
        <v>-0.24709606805117801</v>
      </c>
      <c r="D260">
        <v>0.27454230855259742</v>
      </c>
      <c r="E260">
        <v>7.0982725867452245</v>
      </c>
      <c r="J260">
        <v>10</v>
      </c>
      <c r="K260">
        <v>-2.9558691494457889E-2</v>
      </c>
      <c r="L260">
        <v>3.8400401498838415</v>
      </c>
      <c r="M260">
        <v>20</v>
      </c>
      <c r="N260">
        <v>0.53416533432937285</v>
      </c>
      <c r="O260">
        <v>127.09514253339334</v>
      </c>
      <c r="P260" s="1">
        <f t="shared" si="20"/>
        <v>4.6762565244027572</v>
      </c>
      <c r="Q260" s="1">
        <f t="shared" si="21"/>
        <v>0.70143847866041353</v>
      </c>
      <c r="R260" s="1">
        <f t="shared" si="22"/>
        <v>0.8375192407702724</v>
      </c>
      <c r="S260" s="1">
        <f t="shared" si="23"/>
        <v>-0.67308785085984379</v>
      </c>
      <c r="T260" s="56">
        <f t="shared" si="24"/>
        <v>0.25320464682484145</v>
      </c>
    </row>
    <row r="261" spans="1:20" x14ac:dyDescent="0.25">
      <c r="A261">
        <v>0.27232030488368397</v>
      </c>
      <c r="B261">
        <v>-1.0406370165583212</v>
      </c>
      <c r="D261">
        <v>0.27471724009007714</v>
      </c>
      <c r="E261">
        <v>-5.9853543950794119</v>
      </c>
      <c r="J261">
        <v>10</v>
      </c>
      <c r="K261">
        <v>8.0193785834126174E-2</v>
      </c>
      <c r="L261">
        <v>12.729242795826467</v>
      </c>
      <c r="M261">
        <v>20</v>
      </c>
      <c r="N261">
        <v>1.3530057537991524</v>
      </c>
      <c r="O261">
        <v>206.24944815929825</v>
      </c>
      <c r="P261" s="1">
        <f t="shared" si="20"/>
        <v>7.8206675341115979</v>
      </c>
      <c r="Q261" s="1">
        <f t="shared" si="21"/>
        <v>1.1731001301167396</v>
      </c>
      <c r="R261" s="1">
        <f t="shared" si="22"/>
        <v>1.0830974702752931</v>
      </c>
      <c r="S261" s="1">
        <f t="shared" si="23"/>
        <v>-1.1751592104093023</v>
      </c>
      <c r="T261" s="56">
        <f t="shared" si="24"/>
        <v>0.12491392916057731</v>
      </c>
    </row>
    <row r="262" spans="1:20" x14ac:dyDescent="0.25">
      <c r="A262">
        <v>0.27520942813775573</v>
      </c>
      <c r="B262">
        <v>0.23009533833828755</v>
      </c>
      <c r="D262">
        <v>0.27620082962380399</v>
      </c>
      <c r="E262">
        <v>5.538643787303954</v>
      </c>
      <c r="J262">
        <v>10</v>
      </c>
      <c r="K262">
        <v>0.37285985854396131</v>
      </c>
      <c r="L262">
        <v>4.6198291430468803</v>
      </c>
      <c r="M262">
        <v>20</v>
      </c>
      <c r="N262">
        <v>-0.77760506997037737</v>
      </c>
      <c r="O262">
        <v>192.22889745673996</v>
      </c>
      <c r="P262" s="1">
        <f t="shared" si="20"/>
        <v>7.0303116642781012</v>
      </c>
      <c r="Q262" s="1">
        <f t="shared" si="21"/>
        <v>1.0545467496417151</v>
      </c>
      <c r="R262" s="1">
        <f t="shared" si="22"/>
        <v>1.0269112666835996</v>
      </c>
      <c r="S262" s="1">
        <f t="shared" si="23"/>
        <v>1.1203158109558526</v>
      </c>
      <c r="T262" s="56">
        <f t="shared" si="24"/>
        <v>0.86395152914711026</v>
      </c>
    </row>
    <row r="263" spans="1:20" x14ac:dyDescent="0.25">
      <c r="A263">
        <v>0.27574219547962098</v>
      </c>
      <c r="B263">
        <v>0.7703124538238626</v>
      </c>
      <c r="D263">
        <v>0.27644736131758318</v>
      </c>
      <c r="E263">
        <v>3.2103328032917489</v>
      </c>
      <c r="J263">
        <v>10</v>
      </c>
      <c r="K263">
        <v>-0.17155332443508087</v>
      </c>
      <c r="L263">
        <v>12.126079980583047</v>
      </c>
      <c r="M263">
        <v>20</v>
      </c>
      <c r="N263">
        <v>-0.70551886096836824</v>
      </c>
      <c r="O263">
        <v>71.960600145519479</v>
      </c>
      <c r="P263" s="1">
        <f t="shared" si="20"/>
        <v>3.0030957187893756</v>
      </c>
      <c r="Q263" s="1">
        <f t="shared" si="21"/>
        <v>0.45046435781840632</v>
      </c>
      <c r="R263" s="1">
        <f t="shared" si="22"/>
        <v>0.6711664158898345</v>
      </c>
      <c r="S263" s="1">
        <f t="shared" si="23"/>
        <v>0.79557844953453793</v>
      </c>
      <c r="T263" s="56">
        <f t="shared" si="24"/>
        <v>0.78351488651024992</v>
      </c>
    </row>
    <row r="264" spans="1:20" x14ac:dyDescent="0.25">
      <c r="A264">
        <v>0.27576982456970767</v>
      </c>
      <c r="B264">
        <v>-0.51242182053101715</v>
      </c>
      <c r="D264">
        <v>0.27783302895947959</v>
      </c>
      <c r="E264">
        <v>-3.6821045375745598</v>
      </c>
      <c r="J264">
        <v>10</v>
      </c>
      <c r="K264">
        <v>0.21905793801124673</v>
      </c>
      <c r="L264">
        <v>8.3291638413770244</v>
      </c>
      <c r="M264">
        <v>20</v>
      </c>
      <c r="N264">
        <v>7.9317825338875991E-2</v>
      </c>
      <c r="O264">
        <v>183.27964088097102</v>
      </c>
      <c r="P264" s="1">
        <f t="shared" si="20"/>
        <v>6.843171597226716</v>
      </c>
      <c r="Q264" s="1">
        <f t="shared" si="21"/>
        <v>1.0264757395840074</v>
      </c>
      <c r="R264" s="1">
        <f t="shared" si="22"/>
        <v>1.0131513902591298</v>
      </c>
      <c r="S264" s="1">
        <f t="shared" si="23"/>
        <v>0.13792619150098581</v>
      </c>
      <c r="T264" s="56">
        <f t="shared" si="24"/>
        <v>0.55435706653446915</v>
      </c>
    </row>
    <row r="265" spans="1:20" x14ac:dyDescent="0.25">
      <c r="A265">
        <v>0.27609281810036368</v>
      </c>
      <c r="B265">
        <v>1.0843564268725459</v>
      </c>
      <c r="D265">
        <v>0.27807632426493123</v>
      </c>
      <c r="E265">
        <v>-0.53874078162152728</v>
      </c>
      <c r="J265">
        <v>10</v>
      </c>
      <c r="K265">
        <v>-8.2521751210151706E-2</v>
      </c>
      <c r="L265">
        <v>9.1219434159827006</v>
      </c>
      <c r="M265">
        <v>20</v>
      </c>
      <c r="N265">
        <v>-0.44058697653781564</v>
      </c>
      <c r="O265">
        <v>202.05797989081879</v>
      </c>
      <c r="P265" s="1">
        <f t="shared" si="20"/>
        <v>7.5421401181000531</v>
      </c>
      <c r="Q265" s="1">
        <f t="shared" si="21"/>
        <v>1.1313210177150079</v>
      </c>
      <c r="R265" s="1">
        <f t="shared" si="22"/>
        <v>1.0636357542481392</v>
      </c>
      <c r="S265" s="1">
        <f t="shared" si="23"/>
        <v>0.33664271241123556</v>
      </c>
      <c r="T265" s="56">
        <f t="shared" si="24"/>
        <v>0.63055179172507636</v>
      </c>
    </row>
    <row r="266" spans="1:20" x14ac:dyDescent="0.25">
      <c r="A266">
        <v>0.27935527242074187</v>
      </c>
      <c r="B266">
        <v>-3.116438165307045</v>
      </c>
      <c r="D266">
        <v>0.27835779158423624</v>
      </c>
      <c r="E266">
        <v>-1.0390526801984379</v>
      </c>
      <c r="J266">
        <v>10</v>
      </c>
      <c r="K266">
        <v>-0.21749087864009198</v>
      </c>
      <c r="L266">
        <v>7.7550848413649636</v>
      </c>
      <c r="M266">
        <v>20</v>
      </c>
      <c r="N266">
        <v>0.92342673610801285</v>
      </c>
      <c r="O266">
        <v>65.107618648724923</v>
      </c>
      <c r="P266" s="1">
        <f t="shared" si="20"/>
        <v>2.6022394103603532</v>
      </c>
      <c r="Q266" s="1">
        <f t="shared" si="21"/>
        <v>0.39033591155405295</v>
      </c>
      <c r="R266" s="1">
        <f t="shared" si="22"/>
        <v>0.62476868643847139</v>
      </c>
      <c r="S266" s="1">
        <f t="shared" si="23"/>
        <v>-1.8261440426087439</v>
      </c>
      <c r="T266" s="56">
        <f t="shared" si="24"/>
        <v>3.925519659705419E-2</v>
      </c>
    </row>
    <row r="267" spans="1:20" x14ac:dyDescent="0.25">
      <c r="A267">
        <v>0.27959951609128486</v>
      </c>
      <c r="B267">
        <v>1.7860020307125524</v>
      </c>
      <c r="D267">
        <v>0.27924007934697759</v>
      </c>
      <c r="E267">
        <v>5.3009109672075283</v>
      </c>
      <c r="J267">
        <v>10</v>
      </c>
      <c r="K267">
        <v>0.25915176138369134</v>
      </c>
      <c r="L267">
        <v>4.2458627672758187</v>
      </c>
      <c r="M267">
        <v>20</v>
      </c>
      <c r="N267">
        <v>-9.8339913847667049E-2</v>
      </c>
      <c r="O267">
        <v>196.88253183938215</v>
      </c>
      <c r="P267" s="1">
        <f t="shared" si="20"/>
        <v>7.1831569502377848</v>
      </c>
      <c r="Q267" s="1">
        <f t="shared" si="21"/>
        <v>1.0774735425356676</v>
      </c>
      <c r="R267" s="1">
        <f t="shared" si="22"/>
        <v>1.0380142304109647</v>
      </c>
      <c r="S267" s="1">
        <f t="shared" si="23"/>
        <v>0.34439958986864977</v>
      </c>
      <c r="T267" s="56">
        <f t="shared" si="24"/>
        <v>0.63344043936277605</v>
      </c>
    </row>
    <row r="268" spans="1:20" x14ac:dyDescent="0.25">
      <c r="A268">
        <v>0.28135937372529396</v>
      </c>
      <c r="B268">
        <v>3.0030378184164874E-2</v>
      </c>
      <c r="D268">
        <v>0.28128450398684202</v>
      </c>
      <c r="E268">
        <v>2.3541276698324509</v>
      </c>
      <c r="J268">
        <v>10</v>
      </c>
      <c r="K268">
        <v>-0.1354300138700637</v>
      </c>
      <c r="L268">
        <v>3.4148157933021492</v>
      </c>
      <c r="M268">
        <v>20</v>
      </c>
      <c r="N268">
        <v>-0.59773828184006561</v>
      </c>
      <c r="O268">
        <v>148.54094624216881</v>
      </c>
      <c r="P268" s="1">
        <f t="shared" si="20"/>
        <v>5.4269915012668202</v>
      </c>
      <c r="Q268" s="1">
        <f t="shared" si="21"/>
        <v>0.81404872519002303</v>
      </c>
      <c r="R268" s="1">
        <f t="shared" si="22"/>
        <v>0.90224648804526975</v>
      </c>
      <c r="S268" s="1">
        <f t="shared" si="23"/>
        <v>0.51239686060912193</v>
      </c>
      <c r="T268" s="56">
        <f t="shared" si="24"/>
        <v>0.69380411203839421</v>
      </c>
    </row>
    <row r="269" spans="1:20" x14ac:dyDescent="0.25">
      <c r="A269">
        <v>0.28151422816040117</v>
      </c>
      <c r="B269">
        <v>-1.3118187780492008</v>
      </c>
      <c r="D269">
        <v>0.28191444225342566</v>
      </c>
      <c r="E269">
        <v>-1.6095343687538843</v>
      </c>
      <c r="J269">
        <v>10</v>
      </c>
      <c r="K269">
        <v>-0.4809242000192171</v>
      </c>
      <c r="L269">
        <v>2.7161257473653064</v>
      </c>
      <c r="M269">
        <v>20</v>
      </c>
      <c r="N269">
        <v>-0.49237360485676618</v>
      </c>
      <c r="O269">
        <v>261.64648289818371</v>
      </c>
      <c r="P269" s="1">
        <f t="shared" si="20"/>
        <v>9.4415217373410361</v>
      </c>
      <c r="Q269" s="1">
        <f t="shared" si="21"/>
        <v>1.4162282606011554</v>
      </c>
      <c r="R269" s="1">
        <f t="shared" si="22"/>
        <v>1.1900538897886748</v>
      </c>
      <c r="S269" s="1">
        <f t="shared" si="23"/>
        <v>9.6209129147775182E-3</v>
      </c>
      <c r="T269" s="56">
        <f t="shared" si="24"/>
        <v>0.50380401835735333</v>
      </c>
    </row>
    <row r="270" spans="1:20" x14ac:dyDescent="0.25">
      <c r="A270">
        <v>0.28305288684487517</v>
      </c>
      <c r="B270">
        <v>1.1174506653333083</v>
      </c>
      <c r="D270">
        <v>0.28198857388303589</v>
      </c>
      <c r="E270">
        <v>3.311266251557754</v>
      </c>
      <c r="J270">
        <v>10</v>
      </c>
      <c r="K270">
        <v>-3.807383563980693E-2</v>
      </c>
      <c r="L270">
        <v>9.9927950858493038</v>
      </c>
      <c r="M270">
        <v>20</v>
      </c>
      <c r="N270">
        <v>0.49477761990601721</v>
      </c>
      <c r="O270">
        <v>137.61751652615152</v>
      </c>
      <c r="P270" s="1">
        <f t="shared" si="20"/>
        <v>5.2717968432857436</v>
      </c>
      <c r="Q270" s="1">
        <f t="shared" si="21"/>
        <v>0.79076952649286147</v>
      </c>
      <c r="R270" s="1">
        <f t="shared" si="22"/>
        <v>0.88925222883772492</v>
      </c>
      <c r="S270" s="1">
        <f t="shared" si="23"/>
        <v>-0.59921295473419778</v>
      </c>
      <c r="T270" s="56">
        <f t="shared" si="24"/>
        <v>0.27692439702917693</v>
      </c>
    </row>
    <row r="271" spans="1:20" x14ac:dyDescent="0.25">
      <c r="A271">
        <v>0.28551924722159872</v>
      </c>
      <c r="B271">
        <v>-0.24622863747936208</v>
      </c>
      <c r="D271">
        <v>0.28359659083506616</v>
      </c>
      <c r="E271">
        <v>-4.9333600634327013</v>
      </c>
      <c r="J271">
        <v>10</v>
      </c>
      <c r="K271">
        <v>-1.0329245014872868E-2</v>
      </c>
      <c r="L271">
        <v>16.275019111703187</v>
      </c>
      <c r="M271">
        <v>20</v>
      </c>
      <c r="N271">
        <v>-0.41764110733311099</v>
      </c>
      <c r="O271">
        <v>110.52441792511648</v>
      </c>
      <c r="P271" s="1">
        <f t="shared" si="20"/>
        <v>4.5285513227435592</v>
      </c>
      <c r="Q271" s="1">
        <f t="shared" si="21"/>
        <v>0.67928269841153388</v>
      </c>
      <c r="R271" s="1">
        <f t="shared" si="22"/>
        <v>0.82418608239373581</v>
      </c>
      <c r="S271" s="1">
        <f t="shared" si="23"/>
        <v>0.49419890849801357</v>
      </c>
      <c r="T271" s="56">
        <f t="shared" si="24"/>
        <v>0.68748963026149235</v>
      </c>
    </row>
    <row r="272" spans="1:20" x14ac:dyDescent="0.25">
      <c r="A272">
        <v>0.28569839723708401</v>
      </c>
      <c r="B272">
        <v>0.2259344000776764</v>
      </c>
      <c r="D272">
        <v>0.28410424380046873</v>
      </c>
      <c r="E272">
        <v>-0.24518658733541088</v>
      </c>
      <c r="J272">
        <v>10</v>
      </c>
      <c r="K272">
        <v>0.12291400253161555</v>
      </c>
      <c r="L272">
        <v>5.0514599527159918</v>
      </c>
      <c r="M272">
        <v>20</v>
      </c>
      <c r="N272">
        <v>0.61108061913728307</v>
      </c>
      <c r="O272">
        <v>185.01189236760516</v>
      </c>
      <c r="P272" s="1">
        <f t="shared" si="20"/>
        <v>6.7879768685828976</v>
      </c>
      <c r="Q272" s="1">
        <f t="shared" si="21"/>
        <v>1.0181965302874345</v>
      </c>
      <c r="R272" s="1">
        <f t="shared" si="22"/>
        <v>1.0090572482705995</v>
      </c>
      <c r="S272" s="1">
        <f t="shared" si="23"/>
        <v>-0.48378485704584678</v>
      </c>
      <c r="T272" s="56">
        <f t="shared" si="24"/>
        <v>0.31615038068568901</v>
      </c>
    </row>
    <row r="273" spans="1:20" x14ac:dyDescent="0.25">
      <c r="A273">
        <v>0.28633645581138611</v>
      </c>
      <c r="B273">
        <v>-1.8473292584531009</v>
      </c>
      <c r="D273">
        <v>0.28465316018275522</v>
      </c>
      <c r="E273">
        <v>-6.2219958215337101</v>
      </c>
      <c r="J273">
        <v>10</v>
      </c>
      <c r="K273">
        <v>0.69414943482115632</v>
      </c>
      <c r="L273">
        <v>11.423813708744605</v>
      </c>
      <c r="M273">
        <v>20</v>
      </c>
      <c r="N273">
        <v>-1.052436917916566</v>
      </c>
      <c r="O273">
        <v>302.09266187688462</v>
      </c>
      <c r="P273" s="1">
        <f t="shared" si="20"/>
        <v>11.197016985201044</v>
      </c>
      <c r="Q273" s="1">
        <f t="shared" si="21"/>
        <v>1.6795525477801565</v>
      </c>
      <c r="R273" s="1">
        <f t="shared" si="22"/>
        <v>1.2959755197457075</v>
      </c>
      <c r="S273" s="1">
        <f t="shared" si="23"/>
        <v>1.3477001117123204</v>
      </c>
      <c r="T273" s="56">
        <f t="shared" si="24"/>
        <v>0.90572047798366895</v>
      </c>
    </row>
    <row r="274" spans="1:20" x14ac:dyDescent="0.25">
      <c r="A274">
        <v>0.28649201883461917</v>
      </c>
      <c r="B274">
        <v>-0.83709437603829429</v>
      </c>
      <c r="D274">
        <v>0.28701565525694583</v>
      </c>
      <c r="E274">
        <v>-2.2263354856022488</v>
      </c>
      <c r="J274">
        <v>10</v>
      </c>
      <c r="K274">
        <v>-0.17875538560474524</v>
      </c>
      <c r="L274">
        <v>3.1816141272702385</v>
      </c>
      <c r="M274">
        <v>20</v>
      </c>
      <c r="N274">
        <v>1.0977905128584098</v>
      </c>
      <c r="O274">
        <v>267.78465982954481</v>
      </c>
      <c r="P274" s="1">
        <f t="shared" si="20"/>
        <v>9.6773669270291087</v>
      </c>
      <c r="Q274" s="1">
        <f t="shared" si="21"/>
        <v>1.4516050390543662</v>
      </c>
      <c r="R274" s="1">
        <f t="shared" si="22"/>
        <v>1.2048257297444998</v>
      </c>
      <c r="S274" s="1">
        <f t="shared" si="23"/>
        <v>-1.0595274212261923</v>
      </c>
      <c r="T274" s="56">
        <f t="shared" si="24"/>
        <v>0.14920723561460403</v>
      </c>
    </row>
    <row r="275" spans="1:20" x14ac:dyDescent="0.25">
      <c r="A275">
        <v>0.28802407113350503</v>
      </c>
      <c r="B275">
        <v>-0.37902054828009568</v>
      </c>
      <c r="D275">
        <v>0.287864435687055</v>
      </c>
      <c r="E275">
        <v>-1.303473485450013</v>
      </c>
      <c r="J275">
        <v>10</v>
      </c>
      <c r="K275">
        <v>0.16388594303862192</v>
      </c>
      <c r="L275">
        <v>15.43493237927642</v>
      </c>
      <c r="M275">
        <v>20</v>
      </c>
      <c r="N275">
        <v>0.8319241226217855</v>
      </c>
      <c r="O275">
        <v>189.20143485687944</v>
      </c>
      <c r="P275" s="1">
        <f t="shared" si="20"/>
        <v>7.3084416870055673</v>
      </c>
      <c r="Q275" s="1">
        <f t="shared" si="21"/>
        <v>1.0962662530508351</v>
      </c>
      <c r="R275" s="1">
        <f t="shared" si="22"/>
        <v>1.0470273411190536</v>
      </c>
      <c r="S275" s="1">
        <f t="shared" si="23"/>
        <v>-0.6380331757804627</v>
      </c>
      <c r="T275" s="56">
        <f t="shared" si="24"/>
        <v>0.26431805827125687</v>
      </c>
    </row>
    <row r="276" spans="1:20" x14ac:dyDescent="0.25">
      <c r="A276">
        <v>0.2894057235057339</v>
      </c>
      <c r="B276">
        <v>1.8502851162338629</v>
      </c>
      <c r="D276">
        <v>0.28808687410346479</v>
      </c>
      <c r="E276">
        <v>-2.9110076445704181</v>
      </c>
      <c r="J276">
        <v>10</v>
      </c>
      <c r="K276">
        <v>-0.21315167941793334</v>
      </c>
      <c r="L276">
        <v>4.1622644375010243</v>
      </c>
      <c r="M276">
        <v>20</v>
      </c>
      <c r="N276">
        <v>-0.41132944147648232</v>
      </c>
      <c r="O276">
        <v>173.41554302943084</v>
      </c>
      <c r="P276" s="1">
        <f t="shared" si="20"/>
        <v>6.3420645523904238</v>
      </c>
      <c r="Q276" s="1">
        <f t="shared" si="21"/>
        <v>0.95130968285856354</v>
      </c>
      <c r="R276" s="1">
        <f t="shared" si="22"/>
        <v>0.97535105621440921</v>
      </c>
      <c r="S276" s="1">
        <f t="shared" si="23"/>
        <v>0.20318608443172076</v>
      </c>
      <c r="T276" s="56">
        <f t="shared" si="24"/>
        <v>0.57977051323006235</v>
      </c>
    </row>
    <row r="277" spans="1:20" x14ac:dyDescent="0.25">
      <c r="A277">
        <v>0.29078889822978371</v>
      </c>
      <c r="B277">
        <v>-1.618036549189128</v>
      </c>
      <c r="D277">
        <v>0.2896038815470563</v>
      </c>
      <c r="E277">
        <v>-0.2810661533203529</v>
      </c>
      <c r="J277">
        <v>10</v>
      </c>
      <c r="K277">
        <v>6.5752942646213342E-2</v>
      </c>
      <c r="L277">
        <v>2.2220066947569852</v>
      </c>
      <c r="M277">
        <v>20</v>
      </c>
      <c r="N277">
        <v>-0.45194360950517876</v>
      </c>
      <c r="O277">
        <v>226.16091116116377</v>
      </c>
      <c r="P277" s="1">
        <f t="shared" si="20"/>
        <v>8.1565327805685985</v>
      </c>
      <c r="Q277" s="1">
        <f t="shared" si="21"/>
        <v>1.2234799170852897</v>
      </c>
      <c r="R277" s="1">
        <f t="shared" si="22"/>
        <v>1.1061102644335643</v>
      </c>
      <c r="S277" s="1">
        <f t="shared" si="23"/>
        <v>0.468033403899839</v>
      </c>
      <c r="T277" s="56">
        <f t="shared" si="24"/>
        <v>0.67830824767566855</v>
      </c>
    </row>
    <row r="278" spans="1:20" x14ac:dyDescent="0.25">
      <c r="A278">
        <v>0.29134761963245581</v>
      </c>
      <c r="B278">
        <v>0.72002194428932853</v>
      </c>
      <c r="D278">
        <v>0.28968506489343782</v>
      </c>
      <c r="E278">
        <v>1.6253427440915402</v>
      </c>
      <c r="J278">
        <v>10</v>
      </c>
      <c r="K278">
        <v>-0.38457449136330979</v>
      </c>
      <c r="L278">
        <v>8.6110072615072326</v>
      </c>
      <c r="M278">
        <v>20</v>
      </c>
      <c r="N278">
        <v>0.35665766176862235</v>
      </c>
      <c r="O278">
        <v>167.68174091886922</v>
      </c>
      <c r="P278" s="1">
        <f t="shared" si="20"/>
        <v>6.2961695778705877</v>
      </c>
      <c r="Q278" s="1">
        <f t="shared" si="21"/>
        <v>0.94442543668058809</v>
      </c>
      <c r="R278" s="1">
        <f t="shared" si="22"/>
        <v>0.97181553634452056</v>
      </c>
      <c r="S278" s="1">
        <f t="shared" si="23"/>
        <v>-0.76272926847833</v>
      </c>
      <c r="T278" s="56">
        <f t="shared" si="24"/>
        <v>0.22600158899589412</v>
      </c>
    </row>
    <row r="279" spans="1:20" x14ac:dyDescent="0.25">
      <c r="A279">
        <v>0.29210463268481035</v>
      </c>
      <c r="B279">
        <v>-0.49808022595243528</v>
      </c>
      <c r="D279">
        <v>0.29007442714006038</v>
      </c>
      <c r="E279">
        <v>-0.93821131827098725</v>
      </c>
      <c r="J279">
        <v>10</v>
      </c>
      <c r="K279">
        <v>5.075082754046889E-2</v>
      </c>
      <c r="L279">
        <v>6.6785176433686075</v>
      </c>
      <c r="M279">
        <v>20</v>
      </c>
      <c r="N279">
        <v>-0.49500028239890526</v>
      </c>
      <c r="O279">
        <v>142.37811322815838</v>
      </c>
      <c r="P279" s="1">
        <f t="shared" si="20"/>
        <v>5.323451102554535</v>
      </c>
      <c r="Q279" s="1">
        <f t="shared" si="21"/>
        <v>0.79851766538318025</v>
      </c>
      <c r="R279" s="1">
        <f t="shared" si="22"/>
        <v>0.89359815654643127</v>
      </c>
      <c r="S279" s="1">
        <f t="shared" si="23"/>
        <v>0.61073437309739675</v>
      </c>
      <c r="T279" s="56">
        <f t="shared" si="24"/>
        <v>0.72684922399282681</v>
      </c>
    </row>
    <row r="280" spans="1:20" x14ac:dyDescent="0.25">
      <c r="A280">
        <v>0.29286000646134025</v>
      </c>
      <c r="B280">
        <v>0.80505287769483402</v>
      </c>
      <c r="D280">
        <v>0.29031307206009738</v>
      </c>
      <c r="E280">
        <v>0.58592672417034919</v>
      </c>
      <c r="J280">
        <v>10</v>
      </c>
      <c r="K280">
        <v>0.29811087642883649</v>
      </c>
      <c r="L280">
        <v>12.436562156053416</v>
      </c>
      <c r="M280">
        <v>20</v>
      </c>
      <c r="N280">
        <v>0.26765229335978802</v>
      </c>
      <c r="O280">
        <v>111.09390817004187</v>
      </c>
      <c r="P280" s="1">
        <f t="shared" si="20"/>
        <v>4.4118025116462602</v>
      </c>
      <c r="Q280" s="1">
        <f t="shared" si="21"/>
        <v>0.66177037674693906</v>
      </c>
      <c r="R280" s="1">
        <f t="shared" si="22"/>
        <v>0.81349270233170445</v>
      </c>
      <c r="S280" s="1">
        <f t="shared" si="23"/>
        <v>3.7441741003632116E-2</v>
      </c>
      <c r="T280" s="56">
        <f t="shared" si="24"/>
        <v>0.51480076661039031</v>
      </c>
    </row>
    <row r="281" spans="1:20" x14ac:dyDescent="0.25">
      <c r="A281">
        <v>0.29299282502098312</v>
      </c>
      <c r="B281">
        <v>0.56523049352108501</v>
      </c>
      <c r="D281">
        <v>0.29101513108385391</v>
      </c>
      <c r="E281">
        <v>-3.1889583203792427</v>
      </c>
      <c r="J281">
        <v>10</v>
      </c>
      <c r="K281">
        <v>0.20130141820118297</v>
      </c>
      <c r="L281">
        <v>3.8507723198978825</v>
      </c>
      <c r="M281">
        <v>20</v>
      </c>
      <c r="N281">
        <v>0.38245923065005627</v>
      </c>
      <c r="O281">
        <v>186.69817437765812</v>
      </c>
      <c r="P281" s="1">
        <f t="shared" si="20"/>
        <v>6.8053195249127141</v>
      </c>
      <c r="Q281" s="1">
        <f t="shared" si="21"/>
        <v>1.0207979287369071</v>
      </c>
      <c r="R281" s="1">
        <f t="shared" si="22"/>
        <v>1.0103454501985483</v>
      </c>
      <c r="S281" s="1">
        <f t="shared" si="23"/>
        <v>-0.17930284380780162</v>
      </c>
      <c r="T281" s="56">
        <f t="shared" si="24"/>
        <v>0.42949556478909312</v>
      </c>
    </row>
    <row r="282" spans="1:20" x14ac:dyDescent="0.25">
      <c r="A282">
        <v>0.29373446743570053</v>
      </c>
      <c r="B282">
        <v>-0.97837073553819209</v>
      </c>
      <c r="D282">
        <v>0.29249797570071912</v>
      </c>
      <c r="E282">
        <v>0.72149145694311301</v>
      </c>
      <c r="J282">
        <v>10</v>
      </c>
      <c r="K282">
        <v>-0.6590040584342205</v>
      </c>
      <c r="L282">
        <v>6.2802769364602264</v>
      </c>
      <c r="M282">
        <v>20</v>
      </c>
      <c r="N282">
        <v>0.86022737036728358</v>
      </c>
      <c r="O282">
        <v>185.17487257276184</v>
      </c>
      <c r="P282" s="1">
        <f t="shared" si="20"/>
        <v>6.837683911043646</v>
      </c>
      <c r="Q282" s="1">
        <f t="shared" si="21"/>
        <v>1.0256525866565469</v>
      </c>
      <c r="R282" s="1">
        <f t="shared" si="22"/>
        <v>1.0127450748616589</v>
      </c>
      <c r="S282" s="1">
        <f t="shared" si="23"/>
        <v>-1.5001123841644268</v>
      </c>
      <c r="T282" s="56">
        <f t="shared" si="24"/>
        <v>7.2388922078375745E-2</v>
      </c>
    </row>
    <row r="283" spans="1:20" x14ac:dyDescent="0.25">
      <c r="A283">
        <v>0.29383446522884149</v>
      </c>
      <c r="B283">
        <v>0.64140976974158548</v>
      </c>
      <c r="D283">
        <v>0.29316072432009599</v>
      </c>
      <c r="E283">
        <v>2.3946797648477514</v>
      </c>
      <c r="J283">
        <v>10</v>
      </c>
      <c r="K283">
        <v>-1.2060468179697637E-2</v>
      </c>
      <c r="L283">
        <v>2.7814387726226797</v>
      </c>
      <c r="M283">
        <v>20</v>
      </c>
      <c r="N283">
        <v>-0.38976554947112163</v>
      </c>
      <c r="O283">
        <v>217.93220986302973</v>
      </c>
      <c r="P283" s="1">
        <f t="shared" si="20"/>
        <v>7.8826303084161582</v>
      </c>
      <c r="Q283" s="1">
        <f t="shared" si="21"/>
        <v>1.1823945462624237</v>
      </c>
      <c r="R283" s="1">
        <f t="shared" si="22"/>
        <v>1.0873796697853164</v>
      </c>
      <c r="S283" s="1">
        <f t="shared" si="23"/>
        <v>0.34735345140855456</v>
      </c>
      <c r="T283" s="56">
        <f t="shared" si="24"/>
        <v>0.63453837113284128</v>
      </c>
    </row>
    <row r="284" spans="1:20" x14ac:dyDescent="0.25">
      <c r="A284">
        <v>0.29449609081909811</v>
      </c>
      <c r="B284">
        <v>0.40122586142388172</v>
      </c>
      <c r="D284">
        <v>0.29347558041297861</v>
      </c>
      <c r="E284">
        <v>2.184255660040435</v>
      </c>
      <c r="J284">
        <v>10</v>
      </c>
      <c r="K284">
        <v>5.0181370170321316E-3</v>
      </c>
      <c r="L284">
        <v>4.2065265565615491</v>
      </c>
      <c r="M284">
        <v>20</v>
      </c>
      <c r="N284">
        <v>-1.4459869851179974</v>
      </c>
      <c r="O284">
        <v>192.28524954324473</v>
      </c>
      <c r="P284" s="1">
        <f t="shared" si="20"/>
        <v>7.0175634321359386</v>
      </c>
      <c r="Q284" s="1">
        <f t="shared" si="21"/>
        <v>1.0526345148203908</v>
      </c>
      <c r="R284" s="1">
        <f t="shared" si="22"/>
        <v>1.025979782851685</v>
      </c>
      <c r="S284" s="1">
        <f t="shared" si="23"/>
        <v>1.4142628796271182</v>
      </c>
      <c r="T284" s="56">
        <f t="shared" si="24"/>
        <v>0.91584565263967443</v>
      </c>
    </row>
    <row r="285" spans="1:20" x14ac:dyDescent="0.25">
      <c r="A285">
        <v>0.29956770057468518</v>
      </c>
      <c r="B285">
        <v>1.0686540008464362</v>
      </c>
      <c r="D285">
        <v>0.29393036215413848</v>
      </c>
      <c r="E285">
        <v>0.15052887306410412</v>
      </c>
      <c r="J285">
        <v>10</v>
      </c>
      <c r="K285">
        <v>-0.35126402053720085</v>
      </c>
      <c r="L285">
        <v>6.9092334593947822</v>
      </c>
      <c r="M285">
        <v>20</v>
      </c>
      <c r="N285">
        <v>-0.30372860123861756</v>
      </c>
      <c r="O285">
        <v>234.74746628696334</v>
      </c>
      <c r="P285" s="1">
        <f t="shared" si="20"/>
        <v>8.6305964195127896</v>
      </c>
      <c r="Q285" s="1">
        <f t="shared" si="21"/>
        <v>1.2945894629269183</v>
      </c>
      <c r="R285" s="1">
        <f t="shared" si="22"/>
        <v>1.1378002737418014</v>
      </c>
      <c r="S285" s="1">
        <f t="shared" si="23"/>
        <v>-4.1778351082881179E-2</v>
      </c>
      <c r="T285" s="56">
        <f t="shared" si="24"/>
        <v>0.48348594516324461</v>
      </c>
    </row>
    <row r="286" spans="1:20" x14ac:dyDescent="0.25">
      <c r="A286">
        <v>0.30109622816122805</v>
      </c>
      <c r="B286">
        <v>0.93248672783374786</v>
      </c>
      <c r="D286">
        <v>0.29491229558354837</v>
      </c>
      <c r="E286">
        <v>-0.61699370576207002</v>
      </c>
      <c r="J286">
        <v>10</v>
      </c>
      <c r="K286">
        <v>-0.42092347030120436</v>
      </c>
      <c r="L286">
        <v>10.009944786010044</v>
      </c>
      <c r="M286">
        <v>20</v>
      </c>
      <c r="N286">
        <v>0.70373465291595494</v>
      </c>
      <c r="O286">
        <v>223.18598438114228</v>
      </c>
      <c r="P286" s="1">
        <f t="shared" si="20"/>
        <v>8.3284260416840112</v>
      </c>
      <c r="Q286" s="1">
        <f t="shared" si="21"/>
        <v>1.2492639062526016</v>
      </c>
      <c r="R286" s="1">
        <f t="shared" si="22"/>
        <v>1.1177047491411145</v>
      </c>
      <c r="S286" s="1">
        <f t="shared" si="23"/>
        <v>-1.0062211188432257</v>
      </c>
      <c r="T286" s="56">
        <f t="shared" si="24"/>
        <v>0.16146310919236478</v>
      </c>
    </row>
    <row r="287" spans="1:20" x14ac:dyDescent="0.25">
      <c r="A287">
        <v>0.30156949888930251</v>
      </c>
      <c r="B287">
        <v>0.14907186596246902</v>
      </c>
      <c r="D287">
        <v>0.29563329189244025</v>
      </c>
      <c r="E287">
        <v>6.6705008487133455</v>
      </c>
      <c r="J287">
        <v>10</v>
      </c>
      <c r="K287">
        <v>-0.37854181300644996</v>
      </c>
      <c r="L287">
        <v>6.7156151538070858</v>
      </c>
      <c r="M287">
        <v>20</v>
      </c>
      <c r="N287">
        <v>-3.5046415405304288E-2</v>
      </c>
      <c r="O287">
        <v>210.61408648124942</v>
      </c>
      <c r="P287" s="1">
        <f t="shared" si="20"/>
        <v>7.7617750583948748</v>
      </c>
      <c r="Q287" s="1">
        <f t="shared" si="21"/>
        <v>1.1642662587592312</v>
      </c>
      <c r="R287" s="1">
        <f t="shared" si="22"/>
        <v>1.0790117046442227</v>
      </c>
      <c r="S287" s="1">
        <f t="shared" si="23"/>
        <v>-0.3183426056665481</v>
      </c>
      <c r="T287" s="56">
        <f t="shared" si="24"/>
        <v>0.37629372650793846</v>
      </c>
    </row>
    <row r="288" spans="1:20" x14ac:dyDescent="0.25">
      <c r="A288">
        <v>0.30217026056078089</v>
      </c>
      <c r="B288">
        <v>1.3198200576880481</v>
      </c>
      <c r="D288">
        <v>0.29584349974680157</v>
      </c>
      <c r="E288">
        <v>-3.6420572121187433</v>
      </c>
      <c r="J288">
        <v>10</v>
      </c>
      <c r="K288">
        <v>4.5589558794745244E-3</v>
      </c>
      <c r="L288">
        <v>4.006750340698523</v>
      </c>
      <c r="M288">
        <v>20</v>
      </c>
      <c r="N288">
        <v>-0.17279240069001389</v>
      </c>
      <c r="O288">
        <v>132.87362036301937</v>
      </c>
      <c r="P288" s="1">
        <f t="shared" si="20"/>
        <v>4.8885846679899245</v>
      </c>
      <c r="Q288" s="1">
        <f t="shared" si="21"/>
        <v>0.73328770019848866</v>
      </c>
      <c r="R288" s="1">
        <f t="shared" si="22"/>
        <v>0.85632219415269661</v>
      </c>
      <c r="S288" s="1">
        <f t="shared" si="23"/>
        <v>0.20710820971418581</v>
      </c>
      <c r="T288" s="56">
        <f t="shared" si="24"/>
        <v>0.58128790055640978</v>
      </c>
    </row>
    <row r="289" spans="1:20" x14ac:dyDescent="0.25">
      <c r="A289">
        <v>0.30244502944869112</v>
      </c>
      <c r="B289">
        <v>-0.70807800511829555</v>
      </c>
      <c r="D289">
        <v>0.29585619079275161</v>
      </c>
      <c r="E289">
        <v>-0.91883225991296058</v>
      </c>
      <c r="J289">
        <v>10</v>
      </c>
      <c r="K289">
        <v>0.26705515665526036</v>
      </c>
      <c r="L289">
        <v>21.582579602659511</v>
      </c>
      <c r="M289">
        <v>20</v>
      </c>
      <c r="N289">
        <v>-2.5093246449614526E-2</v>
      </c>
      <c r="O289">
        <v>63.854171948551837</v>
      </c>
      <c r="P289" s="1">
        <f t="shared" si="20"/>
        <v>3.051312555400405</v>
      </c>
      <c r="Q289" s="1">
        <f t="shared" si="21"/>
        <v>0.45769688331006075</v>
      </c>
      <c r="R289" s="1">
        <f t="shared" si="22"/>
        <v>0.67653298759931935</v>
      </c>
      <c r="S289" s="1">
        <f t="shared" si="23"/>
        <v>0.43183171916208396</v>
      </c>
      <c r="T289" s="56">
        <f t="shared" si="24"/>
        <v>0.66541454137115408</v>
      </c>
    </row>
    <row r="290" spans="1:20" x14ac:dyDescent="0.25">
      <c r="A290">
        <v>0.30339523126651791</v>
      </c>
      <c r="B290">
        <v>-1.0682470019673929</v>
      </c>
      <c r="D290">
        <v>0.29602914040837058</v>
      </c>
      <c r="E290">
        <v>-1.728441706063677</v>
      </c>
      <c r="J290">
        <v>10</v>
      </c>
      <c r="K290">
        <v>-6.565926469193073E-2</v>
      </c>
      <c r="L290">
        <v>10.491678052135029</v>
      </c>
      <c r="M290">
        <v>20</v>
      </c>
      <c r="N290">
        <v>-0.4777750211815146</v>
      </c>
      <c r="O290">
        <v>206.50597486228395</v>
      </c>
      <c r="P290" s="1">
        <f t="shared" si="20"/>
        <v>7.7499161755149633</v>
      </c>
      <c r="Q290" s="1">
        <f t="shared" si="21"/>
        <v>1.1624874263272444</v>
      </c>
      <c r="R290" s="1">
        <f t="shared" si="22"/>
        <v>1.0781871017255049</v>
      </c>
      <c r="S290" s="1">
        <f t="shared" si="23"/>
        <v>0.38223027879859039</v>
      </c>
      <c r="T290" s="56">
        <f t="shared" si="24"/>
        <v>0.64741177191293908</v>
      </c>
    </row>
    <row r="291" spans="1:20" x14ac:dyDescent="0.25">
      <c r="A291">
        <v>0.30370330077611174</v>
      </c>
      <c r="B291">
        <v>2.1696905605494976</v>
      </c>
      <c r="D291">
        <v>0.29728441511271919</v>
      </c>
      <c r="E291">
        <v>-2.5667138777407672</v>
      </c>
      <c r="J291">
        <v>10</v>
      </c>
      <c r="K291">
        <v>-8.9329205366084352E-2</v>
      </c>
      <c r="L291">
        <v>12.374126860319791</v>
      </c>
      <c r="M291">
        <v>20</v>
      </c>
      <c r="N291">
        <v>-0.3400639945994044</v>
      </c>
      <c r="O291">
        <v>166.88491014781491</v>
      </c>
      <c r="P291" s="1">
        <f t="shared" si="20"/>
        <v>6.4021084645762389</v>
      </c>
      <c r="Q291" s="1">
        <f t="shared" si="21"/>
        <v>0.9603162696864358</v>
      </c>
      <c r="R291" s="1">
        <f t="shared" si="22"/>
        <v>0.97995727952112066</v>
      </c>
      <c r="S291" s="1">
        <f t="shared" si="23"/>
        <v>0.2558629794105387</v>
      </c>
      <c r="T291" s="56">
        <f t="shared" si="24"/>
        <v>0.6000364868060345</v>
      </c>
    </row>
    <row r="292" spans="1:20" x14ac:dyDescent="0.25">
      <c r="A292">
        <v>0.30451438223476801</v>
      </c>
      <c r="B292">
        <v>0.43874251787201501</v>
      </c>
      <c r="D292">
        <v>0.30100096062202253</v>
      </c>
      <c r="E292">
        <v>-6.2505630501163978</v>
      </c>
      <c r="J292">
        <v>10</v>
      </c>
      <c r="K292">
        <v>0.46780508000665577</v>
      </c>
      <c r="L292">
        <v>13.093478507123995</v>
      </c>
      <c r="M292">
        <v>20</v>
      </c>
      <c r="N292">
        <v>1.5684270772453601</v>
      </c>
      <c r="O292">
        <v>201.71137763472132</v>
      </c>
      <c r="P292" s="1">
        <f t="shared" si="20"/>
        <v>7.6716020050659042</v>
      </c>
      <c r="Q292" s="1">
        <f t="shared" si="21"/>
        <v>1.1507403007598855</v>
      </c>
      <c r="R292" s="1">
        <f t="shared" si="22"/>
        <v>1.0727256409538675</v>
      </c>
      <c r="S292" s="1">
        <f t="shared" si="23"/>
        <v>-1.0260051174501912</v>
      </c>
      <c r="T292" s="56">
        <f t="shared" si="24"/>
        <v>0.15683590916989751</v>
      </c>
    </row>
    <row r="293" spans="1:20" x14ac:dyDescent="0.25">
      <c r="A293">
        <v>0.30511319726859076</v>
      </c>
      <c r="B293">
        <v>1.0761300472950097</v>
      </c>
      <c r="D293">
        <v>0.301347849635904</v>
      </c>
      <c r="E293">
        <v>-0.3478560336134251</v>
      </c>
      <c r="J293">
        <v>10</v>
      </c>
      <c r="K293">
        <v>3.5369112083571963E-2</v>
      </c>
      <c r="L293">
        <v>7.7330680608432401</v>
      </c>
      <c r="M293">
        <v>20</v>
      </c>
      <c r="N293">
        <v>-0.16330460880453757</v>
      </c>
      <c r="O293">
        <v>173.77674848459733</v>
      </c>
      <c r="P293" s="1">
        <f t="shared" si="20"/>
        <v>6.4824934480514491</v>
      </c>
      <c r="Q293" s="1">
        <f t="shared" si="21"/>
        <v>0.97237401720771732</v>
      </c>
      <c r="R293" s="1">
        <f t="shared" si="22"/>
        <v>0.98609026828567647</v>
      </c>
      <c r="S293" s="1">
        <f t="shared" si="23"/>
        <v>0.20147620078789025</v>
      </c>
      <c r="T293" s="56">
        <f t="shared" si="24"/>
        <v>0.57910860244816309</v>
      </c>
    </row>
    <row r="294" spans="1:20" x14ac:dyDescent="0.25">
      <c r="A294">
        <v>0.30515358456736563</v>
      </c>
      <c r="B294">
        <v>-0.53258986554283183</v>
      </c>
      <c r="D294">
        <v>0.30192992329722845</v>
      </c>
      <c r="E294">
        <v>-1.7860331843166932</v>
      </c>
      <c r="J294">
        <v>10</v>
      </c>
      <c r="K294">
        <v>-0.40506120058125816</v>
      </c>
      <c r="L294">
        <v>7.2216739909876333</v>
      </c>
      <c r="M294">
        <v>20</v>
      </c>
      <c r="N294">
        <v>-0.4125666384879878</v>
      </c>
      <c r="O294">
        <v>230.10247568389735</v>
      </c>
      <c r="P294" s="1">
        <f t="shared" si="20"/>
        <v>8.4758624883887492</v>
      </c>
      <c r="Q294" s="1">
        <f t="shared" si="21"/>
        <v>1.2713793732583123</v>
      </c>
      <c r="R294" s="1">
        <f t="shared" si="22"/>
        <v>1.1275545987925872</v>
      </c>
      <c r="S294" s="1">
        <f t="shared" si="23"/>
        <v>6.6563853446801107E-3</v>
      </c>
      <c r="T294" s="56">
        <f t="shared" si="24"/>
        <v>0.50263189399828412</v>
      </c>
    </row>
    <row r="295" spans="1:20" x14ac:dyDescent="0.25">
      <c r="A295">
        <v>0.30723518613101664</v>
      </c>
      <c r="B295">
        <v>0.71043928073777352</v>
      </c>
      <c r="D295">
        <v>0.3024709528748234</v>
      </c>
      <c r="E295">
        <v>-0.41478233811176324</v>
      </c>
      <c r="J295">
        <v>10</v>
      </c>
      <c r="K295">
        <v>-2.1144046513654757E-2</v>
      </c>
      <c r="L295">
        <v>13.321738611607051</v>
      </c>
      <c r="M295">
        <v>20</v>
      </c>
      <c r="N295">
        <v>0.52472716674856201</v>
      </c>
      <c r="O295">
        <v>166.52806485951595</v>
      </c>
      <c r="P295" s="1">
        <f t="shared" si="20"/>
        <v>6.4232072668258215</v>
      </c>
      <c r="Q295" s="1">
        <f t="shared" si="21"/>
        <v>0.96348109002387317</v>
      </c>
      <c r="R295" s="1">
        <f t="shared" si="22"/>
        <v>0.98157072594076133</v>
      </c>
      <c r="S295" s="1">
        <f t="shared" si="23"/>
        <v>-0.55612010305119941</v>
      </c>
      <c r="T295" s="56">
        <f t="shared" si="24"/>
        <v>0.29127303560447931</v>
      </c>
    </row>
    <row r="296" spans="1:20" x14ac:dyDescent="0.25">
      <c r="A296">
        <v>0.30904585313311261</v>
      </c>
      <c r="B296">
        <v>0.5630772648146376</v>
      </c>
      <c r="D296">
        <v>0.30379416550031169</v>
      </c>
      <c r="E296">
        <v>3.8580476450533752</v>
      </c>
      <c r="J296">
        <v>10</v>
      </c>
      <c r="K296">
        <v>-0.11211716355319368</v>
      </c>
      <c r="L296">
        <v>3.4065906168284021</v>
      </c>
      <c r="M296">
        <v>20</v>
      </c>
      <c r="N296">
        <v>-0.46161762043084309</v>
      </c>
      <c r="O296">
        <v>114.85610461774388</v>
      </c>
      <c r="P296" s="1">
        <f t="shared" si="20"/>
        <v>4.2236676869490095</v>
      </c>
      <c r="Q296" s="1">
        <f t="shared" si="21"/>
        <v>0.6335501530423514</v>
      </c>
      <c r="R296" s="1">
        <f t="shared" si="22"/>
        <v>0.79595863777105369</v>
      </c>
      <c r="S296" s="1">
        <f t="shared" si="23"/>
        <v>0.43909374217781694</v>
      </c>
      <c r="T296" s="56">
        <f t="shared" si="24"/>
        <v>0.66801821236724968</v>
      </c>
    </row>
    <row r="297" spans="1:20" x14ac:dyDescent="0.25">
      <c r="A297">
        <v>0.31366007930152973</v>
      </c>
      <c r="B297">
        <v>0.30888600122125354</v>
      </c>
      <c r="D297">
        <v>0.30690912697986916</v>
      </c>
      <c r="E297">
        <v>0.72695524636401387</v>
      </c>
      <c r="J297">
        <v>10</v>
      </c>
      <c r="K297">
        <v>-0.18485729924577754</v>
      </c>
      <c r="L297">
        <v>4.4756036464817113</v>
      </c>
      <c r="M297">
        <v>20</v>
      </c>
      <c r="N297">
        <v>-0.15655092852284724</v>
      </c>
      <c r="O297">
        <v>148.41031161218871</v>
      </c>
      <c r="P297" s="1">
        <f t="shared" si="20"/>
        <v>5.4602112592382293</v>
      </c>
      <c r="Q297" s="1">
        <f t="shared" si="21"/>
        <v>0.81903168888573441</v>
      </c>
      <c r="R297" s="1">
        <f t="shared" si="22"/>
        <v>0.90500369550943516</v>
      </c>
      <c r="S297" s="1">
        <f t="shared" si="23"/>
        <v>-3.1277629984700087E-2</v>
      </c>
      <c r="T297" s="56">
        <f t="shared" si="24"/>
        <v>0.48763501018506428</v>
      </c>
    </row>
    <row r="298" spans="1:20" x14ac:dyDescent="0.25">
      <c r="A298">
        <v>0.31377919110063235</v>
      </c>
      <c r="B298">
        <v>-3.9292444853344932E-2</v>
      </c>
      <c r="D298">
        <v>0.31019382869417245</v>
      </c>
      <c r="E298">
        <v>-0.57549346252017131</v>
      </c>
      <c r="J298">
        <v>10</v>
      </c>
      <c r="K298">
        <v>0.47777029976714402</v>
      </c>
      <c r="L298">
        <v>5.6698510809579661</v>
      </c>
      <c r="M298">
        <v>20</v>
      </c>
      <c r="N298">
        <v>0.21195438307586301</v>
      </c>
      <c r="O298">
        <v>153.54579822194586</v>
      </c>
      <c r="P298" s="1">
        <f t="shared" si="20"/>
        <v>5.6862731893894223</v>
      </c>
      <c r="Q298" s="1">
        <f t="shared" si="21"/>
        <v>0.85294097840841332</v>
      </c>
      <c r="R298" s="1">
        <f t="shared" si="22"/>
        <v>0.92354803795385398</v>
      </c>
      <c r="S298" s="1">
        <f t="shared" si="23"/>
        <v>0.28782034693095498</v>
      </c>
      <c r="T298" s="56">
        <f t="shared" si="24"/>
        <v>0.6121980331090433</v>
      </c>
    </row>
    <row r="299" spans="1:20" x14ac:dyDescent="0.25">
      <c r="A299">
        <v>0.31482752243642154</v>
      </c>
      <c r="B299">
        <v>-0.16277795111818705</v>
      </c>
      <c r="D299">
        <v>0.31096501359310769</v>
      </c>
      <c r="E299">
        <v>1.2007326370166993</v>
      </c>
      <c r="J299">
        <v>10</v>
      </c>
      <c r="K299">
        <v>0.4276220124665997</v>
      </c>
      <c r="L299">
        <v>5.3927409258066481</v>
      </c>
      <c r="M299">
        <v>20</v>
      </c>
      <c r="N299">
        <v>-0.7243624543207261</v>
      </c>
      <c r="O299">
        <v>302.30199166685105</v>
      </c>
      <c r="P299" s="1">
        <f t="shared" si="20"/>
        <v>10.989097592594918</v>
      </c>
      <c r="Q299" s="1">
        <f t="shared" si="21"/>
        <v>1.6483646388892377</v>
      </c>
      <c r="R299" s="1">
        <f t="shared" si="22"/>
        <v>1.283886536610318</v>
      </c>
      <c r="S299" s="1">
        <f t="shared" si="23"/>
        <v>0.89726345275709762</v>
      </c>
      <c r="T299" s="56">
        <f t="shared" si="24"/>
        <v>0.81138557011164247</v>
      </c>
    </row>
    <row r="300" spans="1:20" x14ac:dyDescent="0.25">
      <c r="A300">
        <v>0.31545983450899995</v>
      </c>
      <c r="B300">
        <v>-8.6282625488820486E-2</v>
      </c>
      <c r="D300">
        <v>0.31138423010398375</v>
      </c>
      <c r="E300">
        <v>3.3325279639484506</v>
      </c>
      <c r="J300">
        <v>10</v>
      </c>
      <c r="K300">
        <v>-0.51815288770740153</v>
      </c>
      <c r="L300">
        <v>5.7182410940328001</v>
      </c>
      <c r="M300">
        <v>20</v>
      </c>
      <c r="N300">
        <v>-0.76489050456984842</v>
      </c>
      <c r="O300">
        <v>242.62739305826955</v>
      </c>
      <c r="P300" s="1">
        <f t="shared" si="20"/>
        <v>8.8694869340107978</v>
      </c>
      <c r="Q300" s="1">
        <f t="shared" si="21"/>
        <v>1.3304230401016197</v>
      </c>
      <c r="R300" s="1">
        <f t="shared" si="22"/>
        <v>1.153439656029573</v>
      </c>
      <c r="S300" s="1">
        <f t="shared" si="23"/>
        <v>0.21391462966669561</v>
      </c>
      <c r="T300" s="56">
        <f t="shared" si="24"/>
        <v>0.5839181230520113</v>
      </c>
    </row>
    <row r="301" spans="1:20" x14ac:dyDescent="0.25">
      <c r="A301">
        <v>0.31944456053455761</v>
      </c>
      <c r="B301">
        <v>-0.77826143751735799</v>
      </c>
      <c r="D301">
        <v>0.31169505883604742</v>
      </c>
      <c r="E301">
        <v>0.35040056559410004</v>
      </c>
      <c r="J301">
        <v>10</v>
      </c>
      <c r="K301">
        <v>0.34533786674728617</v>
      </c>
      <c r="L301">
        <v>7.7750924686104144</v>
      </c>
      <c r="M301">
        <v>20</v>
      </c>
      <c r="N301">
        <v>-0.36034413483321259</v>
      </c>
      <c r="O301">
        <v>215.8708211533276</v>
      </c>
      <c r="P301" s="1">
        <f t="shared" si="20"/>
        <v>7.9873540579263578</v>
      </c>
      <c r="Q301" s="1">
        <f t="shared" si="21"/>
        <v>1.1981031086889535</v>
      </c>
      <c r="R301" s="1">
        <f t="shared" si="22"/>
        <v>1.0945789641176893</v>
      </c>
      <c r="S301" s="1">
        <f t="shared" si="23"/>
        <v>0.64470634345629885</v>
      </c>
      <c r="T301" s="56">
        <f t="shared" si="24"/>
        <v>0.73781755708001406</v>
      </c>
    </row>
    <row r="302" spans="1:20" x14ac:dyDescent="0.25">
      <c r="A302">
        <v>0.32074450838481394</v>
      </c>
      <c r="B302">
        <v>0.42363126340205781</v>
      </c>
      <c r="D302">
        <v>0.31515802687618721</v>
      </c>
      <c r="E302">
        <v>-4.0631782701439079</v>
      </c>
      <c r="J302">
        <v>10</v>
      </c>
      <c r="K302">
        <v>-3.7516997508646455E-2</v>
      </c>
      <c r="L302">
        <v>10.901837858748982</v>
      </c>
      <c r="M302">
        <v>20</v>
      </c>
      <c r="N302">
        <v>0.92321868919498229</v>
      </c>
      <c r="O302">
        <v>124.44997303721371</v>
      </c>
      <c r="P302" s="1">
        <f t="shared" si="20"/>
        <v>4.8339932462843818</v>
      </c>
      <c r="Q302" s="1">
        <f t="shared" si="21"/>
        <v>0.72509898694265729</v>
      </c>
      <c r="R302" s="1">
        <f t="shared" si="22"/>
        <v>0.85152744344657338</v>
      </c>
      <c r="S302" s="1">
        <f t="shared" si="23"/>
        <v>-1.1282498222429953</v>
      </c>
      <c r="T302" s="56">
        <f t="shared" si="24"/>
        <v>0.13439469410131588</v>
      </c>
    </row>
    <row r="303" spans="1:20" x14ac:dyDescent="0.25">
      <c r="A303">
        <v>0.32123258417006351</v>
      </c>
      <c r="B303">
        <v>-0.90138883024337701</v>
      </c>
      <c r="D303">
        <v>0.31523166735693464</v>
      </c>
      <c r="E303">
        <v>4.6764837372847978</v>
      </c>
      <c r="J303">
        <v>10</v>
      </c>
      <c r="K303">
        <v>0.59295393839420285</v>
      </c>
      <c r="L303">
        <v>15.064456256855799</v>
      </c>
      <c r="M303">
        <v>20</v>
      </c>
      <c r="N303">
        <v>1.2280606222248025</v>
      </c>
      <c r="O303">
        <v>187.73164049223692</v>
      </c>
      <c r="P303" s="1">
        <f t="shared" si="20"/>
        <v>7.2427177410390255</v>
      </c>
      <c r="Q303" s="1">
        <f t="shared" si="21"/>
        <v>1.0864076611558537</v>
      </c>
      <c r="R303" s="1">
        <f t="shared" si="22"/>
        <v>1.0423088127593729</v>
      </c>
      <c r="S303" s="1">
        <f t="shared" si="23"/>
        <v>-0.60932679073223972</v>
      </c>
      <c r="T303" s="56">
        <f t="shared" si="24"/>
        <v>0.27361035877974138</v>
      </c>
    </row>
    <row r="304" spans="1:20" x14ac:dyDescent="0.25">
      <c r="A304">
        <v>0.32123987965365086</v>
      </c>
      <c r="B304">
        <v>1.1325755622237921</v>
      </c>
      <c r="D304">
        <v>0.31608684452559555</v>
      </c>
      <c r="E304">
        <v>0.13626572240355017</v>
      </c>
      <c r="J304">
        <v>10</v>
      </c>
      <c r="K304">
        <v>-0.2900793560911552</v>
      </c>
      <c r="L304">
        <v>4.5014603278433674</v>
      </c>
      <c r="M304">
        <v>20</v>
      </c>
      <c r="N304">
        <v>-8.4405716052060598E-2</v>
      </c>
      <c r="O304">
        <v>165.34068705849614</v>
      </c>
      <c r="P304" s="1">
        <f t="shared" si="20"/>
        <v>6.0657909780835544</v>
      </c>
      <c r="Q304" s="1">
        <f t="shared" si="21"/>
        <v>0.90986864671253309</v>
      </c>
      <c r="R304" s="1">
        <f t="shared" si="22"/>
        <v>0.95387035110256624</v>
      </c>
      <c r="S304" s="1">
        <f t="shared" si="23"/>
        <v>-0.21562012049264256</v>
      </c>
      <c r="T304" s="56">
        <f t="shared" si="24"/>
        <v>0.41542343499098477</v>
      </c>
    </row>
    <row r="305" spans="1:20" x14ac:dyDescent="0.25">
      <c r="A305">
        <v>0.32178709314635123</v>
      </c>
      <c r="B305">
        <v>6.0822458181064576E-3</v>
      </c>
      <c r="D305">
        <v>0.31709901920637407</v>
      </c>
      <c r="E305">
        <v>-3.0679227654673014</v>
      </c>
      <c r="J305">
        <v>10</v>
      </c>
      <c r="K305">
        <v>-0.26634131700120633</v>
      </c>
      <c r="L305">
        <v>10.076245588587994</v>
      </c>
      <c r="M305">
        <v>20</v>
      </c>
      <c r="N305">
        <v>1.0229130646166595</v>
      </c>
      <c r="O305">
        <v>233.99759468784325</v>
      </c>
      <c r="P305" s="1">
        <f t="shared" si="20"/>
        <v>8.716922867015402</v>
      </c>
      <c r="Q305" s="1">
        <f t="shared" si="21"/>
        <v>1.3075384300523103</v>
      </c>
      <c r="R305" s="1">
        <f t="shared" si="22"/>
        <v>1.1434764667680355</v>
      </c>
      <c r="S305" s="1">
        <f t="shared" si="23"/>
        <v>-1.1274865894370896</v>
      </c>
      <c r="T305" s="56">
        <f t="shared" si="24"/>
        <v>0.13455314815297478</v>
      </c>
    </row>
    <row r="306" spans="1:20" x14ac:dyDescent="0.25">
      <c r="A306">
        <v>0.32268258450488085</v>
      </c>
      <c r="B306">
        <v>0.62281969803734683</v>
      </c>
      <c r="D306">
        <v>0.31725297336026892</v>
      </c>
      <c r="E306">
        <v>-0.66117468463744444</v>
      </c>
      <c r="J306">
        <v>10</v>
      </c>
      <c r="K306">
        <v>6.5167114371433854E-2</v>
      </c>
      <c r="L306">
        <v>8.1203181088625094</v>
      </c>
      <c r="M306">
        <v>20</v>
      </c>
      <c r="N306">
        <v>-0.34465142903172818</v>
      </c>
      <c r="O306">
        <v>257.70963687895312</v>
      </c>
      <c r="P306" s="1">
        <f t="shared" si="20"/>
        <v>9.4939269638505586</v>
      </c>
      <c r="Q306" s="1">
        <f t="shared" si="21"/>
        <v>1.4240890445775838</v>
      </c>
      <c r="R306" s="1">
        <f t="shared" si="22"/>
        <v>1.1933520203936405</v>
      </c>
      <c r="S306" s="1">
        <f t="shared" si="23"/>
        <v>0.34341798262341633</v>
      </c>
      <c r="T306" s="56">
        <f t="shared" si="24"/>
        <v>0.63307532655240439</v>
      </c>
    </row>
    <row r="307" spans="1:20" x14ac:dyDescent="0.25">
      <c r="A307">
        <v>0.32289221436737148</v>
      </c>
      <c r="B307">
        <v>-0.29415559765766375</v>
      </c>
      <c r="D307">
        <v>0.3172588804081975</v>
      </c>
      <c r="E307">
        <v>1.7351369444895681</v>
      </c>
      <c r="J307">
        <v>10</v>
      </c>
      <c r="K307">
        <v>0.30083447200013325</v>
      </c>
      <c r="L307">
        <v>11.846737265524808</v>
      </c>
      <c r="M307">
        <v>20</v>
      </c>
      <c r="N307">
        <v>0.60832126905552286</v>
      </c>
      <c r="O307">
        <v>139.53542865578487</v>
      </c>
      <c r="P307" s="1">
        <f t="shared" si="20"/>
        <v>5.4065059257610599</v>
      </c>
      <c r="Q307" s="1">
        <f t="shared" si="21"/>
        <v>0.81097588886415894</v>
      </c>
      <c r="R307" s="1">
        <f t="shared" si="22"/>
        <v>0.90054199727950446</v>
      </c>
      <c r="S307" s="1">
        <f t="shared" si="23"/>
        <v>-0.34144637116791104</v>
      </c>
      <c r="T307" s="56">
        <f t="shared" si="24"/>
        <v>0.36765840564223778</v>
      </c>
    </row>
    <row r="308" spans="1:20" x14ac:dyDescent="0.25">
      <c r="A308">
        <v>0.32300809290375565</v>
      </c>
      <c r="B308">
        <v>0.75720436143456027</v>
      </c>
      <c r="D308">
        <v>0.31836608533037969</v>
      </c>
      <c r="E308">
        <v>1.3017922776725754</v>
      </c>
      <c r="J308">
        <v>10</v>
      </c>
      <c r="K308">
        <v>-0.34846129892684985</v>
      </c>
      <c r="L308">
        <v>12.215803780138668</v>
      </c>
      <c r="M308">
        <v>20</v>
      </c>
      <c r="N308">
        <v>-0.21016888126723643</v>
      </c>
      <c r="O308">
        <v>132.5995862579887</v>
      </c>
      <c r="P308" s="1">
        <f t="shared" si="20"/>
        <v>5.1719782156474059</v>
      </c>
      <c r="Q308" s="1">
        <f t="shared" si="21"/>
        <v>0.77579673234711088</v>
      </c>
      <c r="R308" s="1">
        <f t="shared" si="22"/>
        <v>0.88079324040725404</v>
      </c>
      <c r="S308" s="1">
        <f t="shared" si="23"/>
        <v>-0.15700894524993278</v>
      </c>
      <c r="T308" s="56">
        <f t="shared" si="24"/>
        <v>0.43818224913475157</v>
      </c>
    </row>
    <row r="309" spans="1:20" x14ac:dyDescent="0.25">
      <c r="A309">
        <v>0.32389237245208768</v>
      </c>
      <c r="B309">
        <v>0.1424996298737824</v>
      </c>
      <c r="D309">
        <v>0.31926447104872946</v>
      </c>
      <c r="E309">
        <v>-0.59157105511076225</v>
      </c>
      <c r="J309">
        <v>10</v>
      </c>
      <c r="K309">
        <v>0.21474636469065445</v>
      </c>
      <c r="L309">
        <v>8.0540110434145049</v>
      </c>
      <c r="M309">
        <v>20</v>
      </c>
      <c r="N309">
        <v>1.4409930565761897</v>
      </c>
      <c r="O309">
        <v>229.4367528119688</v>
      </c>
      <c r="P309" s="1">
        <f t="shared" si="20"/>
        <v>8.4818129948351189</v>
      </c>
      <c r="Q309" s="1">
        <f t="shared" si="21"/>
        <v>1.2722719492252679</v>
      </c>
      <c r="R309" s="1">
        <f t="shared" si="22"/>
        <v>1.1279503310098666</v>
      </c>
      <c r="S309" s="1">
        <f t="shared" si="23"/>
        <v>-1.0871460011786713</v>
      </c>
      <c r="T309" s="56">
        <f t="shared" si="24"/>
        <v>0.143121307330004</v>
      </c>
    </row>
    <row r="310" spans="1:20" x14ac:dyDescent="0.25">
      <c r="A310">
        <v>0.3261058212992316</v>
      </c>
      <c r="B310">
        <v>0.55538521337439306</v>
      </c>
      <c r="D310">
        <v>0.31929752780695753</v>
      </c>
      <c r="E310">
        <v>-2.2102988202732377</v>
      </c>
      <c r="J310">
        <v>10</v>
      </c>
      <c r="K310">
        <v>-0.7377321935564396</v>
      </c>
      <c r="L310">
        <v>10.887308784354472</v>
      </c>
      <c r="M310">
        <v>20</v>
      </c>
      <c r="N310">
        <v>1.2454084946966759</v>
      </c>
      <c r="O310">
        <v>163.56297415423575</v>
      </c>
      <c r="P310" s="1">
        <f t="shared" si="20"/>
        <v>6.230367247806794</v>
      </c>
      <c r="Q310" s="1">
        <f t="shared" si="21"/>
        <v>0.93455508717101909</v>
      </c>
      <c r="R310" s="1">
        <f t="shared" si="22"/>
        <v>0.96672389396922387</v>
      </c>
      <c r="S310" s="1">
        <f t="shared" si="23"/>
        <v>-2.0514034054859618</v>
      </c>
      <c r="T310" s="56">
        <f t="shared" si="24"/>
        <v>2.4844015265222043E-2</v>
      </c>
    </row>
    <row r="311" spans="1:20" x14ac:dyDescent="0.25">
      <c r="A311">
        <v>0.32616806405076637</v>
      </c>
      <c r="B311">
        <v>-1.0467033462191466</v>
      </c>
      <c r="D311">
        <v>0.31984242726489875</v>
      </c>
      <c r="E311">
        <v>0.28561612111843715</v>
      </c>
      <c r="J311">
        <v>10</v>
      </c>
      <c r="K311">
        <v>7.9182882473105565E-4</v>
      </c>
      <c r="L311">
        <v>5.9937928544992225</v>
      </c>
      <c r="M311">
        <v>20</v>
      </c>
      <c r="N311">
        <v>-0.4154269424816448</v>
      </c>
      <c r="O311">
        <v>109.57507502364179</v>
      </c>
      <c r="P311" s="1">
        <f t="shared" si="20"/>
        <v>4.1274595670764649</v>
      </c>
      <c r="Q311" s="1">
        <f t="shared" si="21"/>
        <v>0.61911893506146976</v>
      </c>
      <c r="R311" s="1">
        <f t="shared" si="22"/>
        <v>0.78684111170011306</v>
      </c>
      <c r="S311" s="1">
        <f t="shared" si="23"/>
        <v>0.52897435723339326</v>
      </c>
      <c r="T311" s="56">
        <f t="shared" si="24"/>
        <v>0.69950401971688092</v>
      </c>
    </row>
    <row r="312" spans="1:20" x14ac:dyDescent="0.25">
      <c r="A312">
        <v>0.32726096259493154</v>
      </c>
      <c r="B312">
        <v>-0.92518575911526568</v>
      </c>
      <c r="D312">
        <v>0.32033902556202787</v>
      </c>
      <c r="E312">
        <v>2.0488614575242536</v>
      </c>
      <c r="J312">
        <v>10</v>
      </c>
      <c r="K312">
        <v>-0.40426516534353141</v>
      </c>
      <c r="L312">
        <v>18.260125592535875</v>
      </c>
      <c r="M312">
        <v>20</v>
      </c>
      <c r="N312">
        <v>-0.37206433830760943</v>
      </c>
      <c r="O312">
        <v>183.73475287228339</v>
      </c>
      <c r="P312" s="1">
        <f t="shared" si="20"/>
        <v>7.214102802314974</v>
      </c>
      <c r="Q312" s="1">
        <f t="shared" si="21"/>
        <v>1.0821154203472461</v>
      </c>
      <c r="R312" s="1">
        <f t="shared" si="22"/>
        <v>1.0402477687297609</v>
      </c>
      <c r="S312" s="1">
        <f t="shared" si="23"/>
        <v>-3.0954959004855329E-2</v>
      </c>
      <c r="T312" s="56">
        <f t="shared" si="24"/>
        <v>0.48776252933628084</v>
      </c>
    </row>
    <row r="313" spans="1:20" x14ac:dyDescent="0.25">
      <c r="A313">
        <v>0.328991656445493</v>
      </c>
      <c r="B313">
        <v>-0.29575403459602967</v>
      </c>
      <c r="D313">
        <v>0.3205595752685183</v>
      </c>
      <c r="E313">
        <v>4.8419117285902757</v>
      </c>
      <c r="J313">
        <v>10</v>
      </c>
      <c r="K313">
        <v>-0.19653884919534903</v>
      </c>
      <c r="L313">
        <v>9.4230815288418643</v>
      </c>
      <c r="M313">
        <v>20</v>
      </c>
      <c r="N313">
        <v>4.7522769364150008E-3</v>
      </c>
      <c r="O313">
        <v>223.45830293702662</v>
      </c>
      <c r="P313" s="1">
        <f t="shared" si="20"/>
        <v>8.3171923023524457</v>
      </c>
      <c r="Q313" s="1">
        <f t="shared" si="21"/>
        <v>1.2475788453528669</v>
      </c>
      <c r="R313" s="1">
        <f t="shared" si="22"/>
        <v>1.1169506906541877</v>
      </c>
      <c r="S313" s="1">
        <f t="shared" si="23"/>
        <v>-0.18021487234487465</v>
      </c>
      <c r="T313" s="56">
        <f t="shared" si="24"/>
        <v>0.42914093229027217</v>
      </c>
    </row>
    <row r="314" spans="1:20" x14ac:dyDescent="0.25">
      <c r="A314">
        <v>0.33146502244768017</v>
      </c>
      <c r="B314">
        <v>-0.6367190508171916</v>
      </c>
      <c r="D314">
        <v>0.32172156127877516</v>
      </c>
      <c r="E314">
        <v>-0.6745237931227166</v>
      </c>
      <c r="J314">
        <v>10</v>
      </c>
      <c r="K314">
        <v>-0.11176382486155489</v>
      </c>
      <c r="L314">
        <v>9.0262819954116367</v>
      </c>
      <c r="M314">
        <v>20</v>
      </c>
      <c r="N314">
        <v>-0.31174625178209681</v>
      </c>
      <c r="O314">
        <v>132.04413437643501</v>
      </c>
      <c r="P314" s="1">
        <f t="shared" si="20"/>
        <v>5.0382291561373806</v>
      </c>
      <c r="Q314" s="1">
        <f t="shared" si="21"/>
        <v>0.75573437342060712</v>
      </c>
      <c r="R314" s="1">
        <f t="shared" si="22"/>
        <v>0.86932984155647564</v>
      </c>
      <c r="S314" s="1">
        <f t="shared" si="23"/>
        <v>0.23004205925162657</v>
      </c>
      <c r="T314" s="56">
        <f t="shared" si="24"/>
        <v>0.59013427497377269</v>
      </c>
    </row>
    <row r="315" spans="1:20" x14ac:dyDescent="0.25">
      <c r="A315">
        <v>0.33162120063057399</v>
      </c>
      <c r="B315">
        <v>-1.5720615920145065E-2</v>
      </c>
      <c r="D315">
        <v>0.32344779142092106</v>
      </c>
      <c r="E315">
        <v>0.52684140086967091</v>
      </c>
      <c r="J315">
        <v>10</v>
      </c>
      <c r="K315">
        <v>-3.460490916040726E-2</v>
      </c>
      <c r="L315">
        <v>5.3070882620879676</v>
      </c>
      <c r="M315">
        <v>20</v>
      </c>
      <c r="N315">
        <v>0.24516770849913883</v>
      </c>
      <c r="O315">
        <v>80.171095044204677</v>
      </c>
      <c r="P315" s="1">
        <f t="shared" si="20"/>
        <v>3.052792260939023</v>
      </c>
      <c r="Q315" s="1">
        <f t="shared" si="21"/>
        <v>0.45791883914085341</v>
      </c>
      <c r="R315" s="1">
        <f t="shared" si="22"/>
        <v>0.676697006895149</v>
      </c>
      <c r="S315" s="1">
        <f t="shared" si="23"/>
        <v>-0.4134385327684707</v>
      </c>
      <c r="T315" s="56">
        <f t="shared" si="24"/>
        <v>0.34121739844696081</v>
      </c>
    </row>
    <row r="316" spans="1:20" x14ac:dyDescent="0.25">
      <c r="A316">
        <v>0.33181149486647921</v>
      </c>
      <c r="B316">
        <v>0.28291083253861871</v>
      </c>
      <c r="D316">
        <v>0.32350258786730213</v>
      </c>
      <c r="E316">
        <v>0.52193012948009709</v>
      </c>
      <c r="J316">
        <v>10</v>
      </c>
      <c r="K316">
        <v>-5.5440636970160995E-2</v>
      </c>
      <c r="L316">
        <v>6.3091965980243403</v>
      </c>
      <c r="M316">
        <v>20</v>
      </c>
      <c r="N316">
        <v>-1.6611932699106546</v>
      </c>
      <c r="O316">
        <v>275.29451471740799</v>
      </c>
      <c r="P316" s="1">
        <f t="shared" si="20"/>
        <v>10.057275404122583</v>
      </c>
      <c r="Q316" s="1">
        <f t="shared" si="21"/>
        <v>1.5085913106183875</v>
      </c>
      <c r="R316" s="1">
        <f t="shared" si="22"/>
        <v>1.2282472514190241</v>
      </c>
      <c r="S316" s="1">
        <f t="shared" si="23"/>
        <v>1.3073529218854985</v>
      </c>
      <c r="T316" s="56">
        <f t="shared" si="24"/>
        <v>0.89913644129043335</v>
      </c>
    </row>
    <row r="317" spans="1:20" x14ac:dyDescent="0.25">
      <c r="A317">
        <v>0.33222426642048875</v>
      </c>
      <c r="B317">
        <v>3.7455265555763617E-2</v>
      </c>
      <c r="D317">
        <v>0.3244039810744126</v>
      </c>
      <c r="E317">
        <v>-4.2889954556812881E-2</v>
      </c>
      <c r="J317">
        <v>10</v>
      </c>
      <c r="K317">
        <v>0.43707348140742397</v>
      </c>
      <c r="L317">
        <v>3.8696298318205726</v>
      </c>
      <c r="M317">
        <v>20</v>
      </c>
      <c r="N317">
        <v>0.62507535517397628</v>
      </c>
      <c r="O317">
        <v>167.90841102136113</v>
      </c>
      <c r="P317" s="1">
        <f t="shared" si="20"/>
        <v>6.134930030470775</v>
      </c>
      <c r="Q317" s="1">
        <f t="shared" si="21"/>
        <v>0.92023950457061621</v>
      </c>
      <c r="R317" s="1">
        <f t="shared" si="22"/>
        <v>0.95929114692600814</v>
      </c>
      <c r="S317" s="1">
        <f t="shared" si="23"/>
        <v>-0.19597999457098422</v>
      </c>
      <c r="T317" s="56">
        <f t="shared" si="24"/>
        <v>0.42302061469270374</v>
      </c>
    </row>
    <row r="318" spans="1:20" x14ac:dyDescent="0.25">
      <c r="A318">
        <v>0.33293800221285852</v>
      </c>
      <c r="B318">
        <v>0.55860141401353758</v>
      </c>
      <c r="D318">
        <v>0.3260036073518443</v>
      </c>
      <c r="E318">
        <v>16.029365039003096</v>
      </c>
      <c r="J318">
        <v>10</v>
      </c>
      <c r="K318">
        <v>1.996306764340261E-2</v>
      </c>
      <c r="L318">
        <v>8.753526154339756</v>
      </c>
      <c r="M318">
        <v>20</v>
      </c>
      <c r="N318">
        <v>0.37554252344307315</v>
      </c>
      <c r="O318">
        <v>194.62464137814806</v>
      </c>
      <c r="P318" s="1">
        <f t="shared" si="20"/>
        <v>7.2635059833031361</v>
      </c>
      <c r="Q318" s="1">
        <f t="shared" si="21"/>
        <v>1.0895258974954705</v>
      </c>
      <c r="R318" s="1">
        <f t="shared" si="22"/>
        <v>1.0438035722756798</v>
      </c>
      <c r="S318" s="1">
        <f t="shared" si="23"/>
        <v>-0.34065744287926059</v>
      </c>
      <c r="T318" s="56">
        <f t="shared" si="24"/>
        <v>0.36795214701119816</v>
      </c>
    </row>
    <row r="319" spans="1:20" x14ac:dyDescent="0.25">
      <c r="A319">
        <v>0.33455097350392293</v>
      </c>
      <c r="B319">
        <v>-0.9565064829075709</v>
      </c>
      <c r="D319">
        <v>0.32711899189741633</v>
      </c>
      <c r="E319">
        <v>-5.254038800330818</v>
      </c>
      <c r="J319">
        <v>10</v>
      </c>
      <c r="K319">
        <v>-9.7526481113163754E-2</v>
      </c>
      <c r="L319">
        <v>3.1347581721359625</v>
      </c>
      <c r="M319">
        <v>20</v>
      </c>
      <c r="N319">
        <v>1.0710888852827338</v>
      </c>
      <c r="O319">
        <v>192.82877093648068</v>
      </c>
      <c r="P319" s="1">
        <f t="shared" si="20"/>
        <v>6.9986974681648801</v>
      </c>
      <c r="Q319" s="1">
        <f t="shared" si="21"/>
        <v>1.049804620224732</v>
      </c>
      <c r="R319" s="1">
        <f t="shared" si="22"/>
        <v>1.024599736592164</v>
      </c>
      <c r="S319" s="1">
        <f t="shared" si="23"/>
        <v>-1.1405579414676916</v>
      </c>
      <c r="T319" s="56">
        <f t="shared" si="24"/>
        <v>0.13185805306719806</v>
      </c>
    </row>
    <row r="320" spans="1:20" x14ac:dyDescent="0.25">
      <c r="A320">
        <v>0.33457917287265204</v>
      </c>
      <c r="B320">
        <v>1.4564511729986407</v>
      </c>
      <c r="D320">
        <v>0.32739104279990749</v>
      </c>
      <c r="E320">
        <v>3.2324880942269374</v>
      </c>
      <c r="J320">
        <v>10</v>
      </c>
      <c r="K320">
        <v>3.6301571526564658E-2</v>
      </c>
      <c r="L320">
        <v>8.5714320974420328</v>
      </c>
      <c r="M320">
        <v>20</v>
      </c>
      <c r="N320">
        <v>0.91644522740352841</v>
      </c>
      <c r="O320">
        <v>184.67887662369048</v>
      </c>
      <c r="P320" s="1">
        <f t="shared" si="20"/>
        <v>6.9017967400404467</v>
      </c>
      <c r="Q320" s="1">
        <f t="shared" si="21"/>
        <v>1.035269511006067</v>
      </c>
      <c r="R320" s="1">
        <f t="shared" si="22"/>
        <v>1.0174819462801623</v>
      </c>
      <c r="S320" s="1">
        <f t="shared" si="23"/>
        <v>-0.86502139826136759</v>
      </c>
      <c r="T320" s="56">
        <f t="shared" si="24"/>
        <v>0.19718901282780232</v>
      </c>
    </row>
    <row r="321" spans="1:20" x14ac:dyDescent="0.25">
      <c r="A321">
        <v>0.33573323021655799</v>
      </c>
      <c r="B321">
        <v>-0.78147650128812529</v>
      </c>
      <c r="D321">
        <v>0.32752774691343256</v>
      </c>
      <c r="E321">
        <v>-0.66117468463744444</v>
      </c>
      <c r="J321">
        <v>10</v>
      </c>
      <c r="K321">
        <v>0.14474824183707824</v>
      </c>
      <c r="L321">
        <v>6.9733520906301205</v>
      </c>
      <c r="M321">
        <v>20</v>
      </c>
      <c r="N321">
        <v>1.1935265399642958</v>
      </c>
      <c r="O321">
        <v>65.899204736164762</v>
      </c>
      <c r="P321" s="1">
        <f t="shared" si="20"/>
        <v>2.6025913152426741</v>
      </c>
      <c r="Q321" s="1">
        <f t="shared" si="21"/>
        <v>0.39038869728640108</v>
      </c>
      <c r="R321" s="1">
        <f t="shared" si="22"/>
        <v>0.6248109292309163</v>
      </c>
      <c r="S321" s="1">
        <f t="shared" si="23"/>
        <v>-1.678553061512809</v>
      </c>
      <c r="T321" s="56">
        <f t="shared" si="24"/>
        <v>5.2183674692958398E-2</v>
      </c>
    </row>
    <row r="322" spans="1:20" x14ac:dyDescent="0.25">
      <c r="A322">
        <v>0.33599896108227945</v>
      </c>
      <c r="B322">
        <v>-1.0440612641104963</v>
      </c>
      <c r="D322">
        <v>0.32916769704173321</v>
      </c>
      <c r="E322">
        <v>0.39005908206490858</v>
      </c>
      <c r="J322">
        <v>10</v>
      </c>
      <c r="K322">
        <v>0.32218486012425274</v>
      </c>
      <c r="L322">
        <v>15.846877595062077</v>
      </c>
      <c r="M322">
        <v>20</v>
      </c>
      <c r="N322">
        <v>-7.2105910930986283E-3</v>
      </c>
      <c r="O322">
        <v>282.3523653009222</v>
      </c>
      <c r="P322" s="1">
        <f t="shared" ref="P322:P385" si="25">(L322+O322)/(J322+M322-2)</f>
        <v>10.649972960570867</v>
      </c>
      <c r="Q322" s="1">
        <f t="shared" ref="Q322:Q385" si="26">P322*0.15</f>
        <v>1.59749594408563</v>
      </c>
      <c r="R322" s="1">
        <f t="shared" ref="R322:R385" si="27">SQRT(Q322)</f>
        <v>1.2639208614805082</v>
      </c>
      <c r="S322" s="1">
        <f t="shared" ref="S322:S385" si="28">(K322-N322)/R322</f>
        <v>0.26061398403655606</v>
      </c>
      <c r="T322" s="56">
        <f t="shared" ref="T322:T385" si="29">_xlfn.T.DIST(S322,28,TRUE)</f>
        <v>0.60185132560545496</v>
      </c>
    </row>
    <row r="323" spans="1:20" x14ac:dyDescent="0.25">
      <c r="A323">
        <v>0.33662823065602576</v>
      </c>
      <c r="B323">
        <v>-0.59784497352666222</v>
      </c>
      <c r="D323">
        <v>0.33141027823141933</v>
      </c>
      <c r="E323">
        <v>4.5339613700434711</v>
      </c>
      <c r="J323">
        <v>10</v>
      </c>
      <c r="K323">
        <v>-0.21745347567048157</v>
      </c>
      <c r="L323">
        <v>13.912723178799311</v>
      </c>
      <c r="M323">
        <v>20</v>
      </c>
      <c r="N323">
        <v>0.97605868290884246</v>
      </c>
      <c r="O323">
        <v>205.98526548265573</v>
      </c>
      <c r="P323" s="1">
        <f t="shared" si="25"/>
        <v>7.8534995950519653</v>
      </c>
      <c r="Q323" s="1">
        <f t="shared" si="26"/>
        <v>1.1780249392577948</v>
      </c>
      <c r="R323" s="1">
        <f t="shared" si="27"/>
        <v>1.0853685730008009</v>
      </c>
      <c r="S323" s="1">
        <f t="shared" si="28"/>
        <v>-1.0996376606699882</v>
      </c>
      <c r="T323" s="56">
        <f t="shared" si="29"/>
        <v>0.14042751831943245</v>
      </c>
    </row>
    <row r="324" spans="1:20" x14ac:dyDescent="0.25">
      <c r="A324">
        <v>0.33775675957882556</v>
      </c>
      <c r="B324">
        <v>0.21597770683001727</v>
      </c>
      <c r="D324">
        <v>0.33200033027415021</v>
      </c>
      <c r="E324">
        <v>1.1637071077075234</v>
      </c>
      <c r="J324">
        <v>10</v>
      </c>
      <c r="K324">
        <v>-0.29270790946611669</v>
      </c>
      <c r="L324">
        <v>11.828955255849909</v>
      </c>
      <c r="M324">
        <v>20</v>
      </c>
      <c r="N324">
        <v>0.16052757359830139</v>
      </c>
      <c r="O324">
        <v>134.67446041633818</v>
      </c>
      <c r="P324" s="1">
        <f t="shared" si="25"/>
        <v>5.2322648454352887</v>
      </c>
      <c r="Q324" s="1">
        <f t="shared" si="26"/>
        <v>0.78483972681529324</v>
      </c>
      <c r="R324" s="1">
        <f t="shared" si="27"/>
        <v>0.88591180532561664</v>
      </c>
      <c r="S324" s="1">
        <f t="shared" si="28"/>
        <v>-0.51160339024699131</v>
      </c>
      <c r="T324" s="56">
        <f t="shared" si="29"/>
        <v>0.30646997049895142</v>
      </c>
    </row>
    <row r="325" spans="1:20" x14ac:dyDescent="0.25">
      <c r="A325">
        <v>0.3377669732018399</v>
      </c>
      <c r="B325">
        <v>-0.62830849856254645</v>
      </c>
      <c r="D325">
        <v>0.33379555640221459</v>
      </c>
      <c r="E325">
        <v>-2.996409197066896</v>
      </c>
      <c r="J325">
        <v>10</v>
      </c>
      <c r="K325">
        <v>-0.61957814523339039</v>
      </c>
      <c r="L325">
        <v>7.7217914434420463</v>
      </c>
      <c r="M325">
        <v>20</v>
      </c>
      <c r="N325">
        <v>0.47436548925361421</v>
      </c>
      <c r="O325">
        <v>96.228208011505671</v>
      </c>
      <c r="P325" s="1">
        <f t="shared" si="25"/>
        <v>3.7124999805338468</v>
      </c>
      <c r="Q325" s="1">
        <f t="shared" si="26"/>
        <v>0.55687499708007704</v>
      </c>
      <c r="R325" s="1">
        <f t="shared" si="27"/>
        <v>0.74624057587354298</v>
      </c>
      <c r="S325" s="1">
        <f t="shared" si="28"/>
        <v>-1.4659396310719814</v>
      </c>
      <c r="T325" s="56">
        <f t="shared" si="29"/>
        <v>7.6902923609422594E-2</v>
      </c>
    </row>
    <row r="326" spans="1:20" x14ac:dyDescent="0.25">
      <c r="A326">
        <v>0.33793216801567394</v>
      </c>
      <c r="B326">
        <v>-0.53391204346553423</v>
      </c>
      <c r="D326">
        <v>0.33603096782643493</v>
      </c>
      <c r="E326">
        <v>-1.2187267691388115</v>
      </c>
      <c r="J326">
        <v>10</v>
      </c>
      <c r="K326">
        <v>0.20897300601063762</v>
      </c>
      <c r="L326">
        <v>16.726238081048209</v>
      </c>
      <c r="M326">
        <v>20</v>
      </c>
      <c r="N326">
        <v>-0.54091742981654534</v>
      </c>
      <c r="O326">
        <v>214.20056206242333</v>
      </c>
      <c r="P326" s="1">
        <f t="shared" si="25"/>
        <v>8.2473857194096976</v>
      </c>
      <c r="Q326" s="1">
        <f t="shared" si="26"/>
        <v>1.2371078579114545</v>
      </c>
      <c r="R326" s="1">
        <f t="shared" si="27"/>
        <v>1.1122535043376822</v>
      </c>
      <c r="S326" s="1">
        <f t="shared" si="28"/>
        <v>0.67420820244906576</v>
      </c>
      <c r="T326" s="56">
        <f t="shared" si="29"/>
        <v>0.74714622192349356</v>
      </c>
    </row>
    <row r="327" spans="1:20" x14ac:dyDescent="0.25">
      <c r="A327">
        <v>0.33833028625069894</v>
      </c>
      <c r="B327">
        <v>0.34009190130745992</v>
      </c>
      <c r="D327">
        <v>0.3368323271236513</v>
      </c>
      <c r="E327">
        <v>-6.8329306975556392</v>
      </c>
      <c r="J327">
        <v>10</v>
      </c>
      <c r="K327">
        <v>6.564380328200059E-2</v>
      </c>
      <c r="L327">
        <v>7.8815601580976073</v>
      </c>
      <c r="M327">
        <v>20</v>
      </c>
      <c r="N327">
        <v>-0.13602454259853403</v>
      </c>
      <c r="O327">
        <v>120.43695606374811</v>
      </c>
      <c r="P327" s="1">
        <f t="shared" si="25"/>
        <v>4.5828041507802046</v>
      </c>
      <c r="Q327" s="1">
        <f t="shared" si="26"/>
        <v>0.68742062261703063</v>
      </c>
      <c r="R327" s="1">
        <f t="shared" si="27"/>
        <v>0.82910832984419514</v>
      </c>
      <c r="S327" s="1">
        <f t="shared" si="28"/>
        <v>0.24323521863353109</v>
      </c>
      <c r="T327" s="56">
        <f t="shared" si="29"/>
        <v>0.59520181906175873</v>
      </c>
    </row>
    <row r="328" spans="1:20" x14ac:dyDescent="0.25">
      <c r="A328">
        <v>0.33886588631904602</v>
      </c>
      <c r="B328">
        <v>-1.4033003026270308</v>
      </c>
      <c r="D328">
        <v>0.33742786656459356</v>
      </c>
      <c r="E328">
        <v>1.4665756646081718</v>
      </c>
      <c r="J328">
        <v>10</v>
      </c>
      <c r="K328">
        <v>8.2055521488655359E-2</v>
      </c>
      <c r="L328">
        <v>16.034821435472239</v>
      </c>
      <c r="M328">
        <v>20</v>
      </c>
      <c r="N328">
        <v>0.43200338609494793</v>
      </c>
      <c r="O328">
        <v>202.25660350191455</v>
      </c>
      <c r="P328" s="1">
        <f t="shared" si="25"/>
        <v>7.7961223191923859</v>
      </c>
      <c r="Q328" s="1">
        <f t="shared" si="26"/>
        <v>1.1694183478788578</v>
      </c>
      <c r="R328" s="1">
        <f t="shared" si="27"/>
        <v>1.0813964804265168</v>
      </c>
      <c r="S328" s="1">
        <f t="shared" si="28"/>
        <v>-0.32360736412630875</v>
      </c>
      <c r="T328" s="56">
        <f t="shared" si="29"/>
        <v>0.37432001711223706</v>
      </c>
    </row>
    <row r="329" spans="1:20" x14ac:dyDescent="0.25">
      <c r="A329">
        <v>0.34205562925330268</v>
      </c>
      <c r="B329">
        <v>1.7645515981712379</v>
      </c>
      <c r="D329">
        <v>0.33779757312537151</v>
      </c>
      <c r="E329">
        <v>2.0591648956269637</v>
      </c>
      <c r="J329">
        <v>10</v>
      </c>
      <c r="K329">
        <v>-0.6038389983586967</v>
      </c>
      <c r="L329">
        <v>11.763374997402765</v>
      </c>
      <c r="M329">
        <v>20</v>
      </c>
      <c r="N329">
        <v>1.0263437923185847</v>
      </c>
      <c r="O329">
        <v>216.07152515658268</v>
      </c>
      <c r="P329" s="1">
        <f t="shared" si="25"/>
        <v>8.1369607197851952</v>
      </c>
      <c r="Q329" s="1">
        <f t="shared" si="26"/>
        <v>1.2205441079677792</v>
      </c>
      <c r="R329" s="1">
        <f t="shared" si="27"/>
        <v>1.104782380366278</v>
      </c>
      <c r="S329" s="1">
        <f t="shared" si="28"/>
        <v>-1.4755691434333094</v>
      </c>
      <c r="T329" s="56">
        <f t="shared" si="29"/>
        <v>7.560865176156932E-2</v>
      </c>
    </row>
    <row r="330" spans="1:20" x14ac:dyDescent="0.25">
      <c r="A330">
        <v>0.34207147831816076</v>
      </c>
      <c r="B330">
        <v>-6.0891807152074762E-2</v>
      </c>
      <c r="D330">
        <v>0.33977209936814923</v>
      </c>
      <c r="E330">
        <v>-5.5512604149043909E-2</v>
      </c>
      <c r="J330">
        <v>10</v>
      </c>
      <c r="K330">
        <v>0.22202959826245205</v>
      </c>
      <c r="L330">
        <v>10.447580956374436</v>
      </c>
      <c r="M330">
        <v>20</v>
      </c>
      <c r="N330">
        <v>-0.69207868932608108</v>
      </c>
      <c r="O330">
        <v>246.76876125805393</v>
      </c>
      <c r="P330" s="1">
        <f t="shared" si="25"/>
        <v>9.1862979362295842</v>
      </c>
      <c r="Q330" s="1">
        <f t="shared" si="26"/>
        <v>1.3779446904344377</v>
      </c>
      <c r="R330" s="1">
        <f t="shared" si="27"/>
        <v>1.1738588886379988</v>
      </c>
      <c r="S330" s="1">
        <f t="shared" si="28"/>
        <v>0.77872076144446267</v>
      </c>
      <c r="T330" s="56">
        <f t="shared" si="29"/>
        <v>0.77866201927441869</v>
      </c>
    </row>
    <row r="331" spans="1:20" x14ac:dyDescent="0.25">
      <c r="A331">
        <v>0.34225870221541776</v>
      </c>
      <c r="B331">
        <v>-0.89417653725831769</v>
      </c>
      <c r="D331">
        <v>0.34119095184173809</v>
      </c>
      <c r="E331">
        <v>4.4129667423931096</v>
      </c>
      <c r="J331">
        <v>10</v>
      </c>
      <c r="K331">
        <v>0.5959146847089869</v>
      </c>
      <c r="L331">
        <v>5.7150842405678652</v>
      </c>
      <c r="M331">
        <v>20</v>
      </c>
      <c r="N331">
        <v>-0.51298900757501542</v>
      </c>
      <c r="O331">
        <v>148.32742298342342</v>
      </c>
      <c r="P331" s="1">
        <f t="shared" si="25"/>
        <v>5.5015181151425461</v>
      </c>
      <c r="Q331" s="1">
        <f t="shared" si="26"/>
        <v>0.82522771727138189</v>
      </c>
      <c r="R331" s="1">
        <f t="shared" si="27"/>
        <v>0.90842045181258546</v>
      </c>
      <c r="S331" s="1">
        <f t="shared" si="28"/>
        <v>1.2206943272483457</v>
      </c>
      <c r="T331" s="56">
        <f t="shared" si="29"/>
        <v>0.88380886005137704</v>
      </c>
    </row>
    <row r="332" spans="1:20" x14ac:dyDescent="0.25">
      <c r="A332">
        <v>0.34248669183057256</v>
      </c>
      <c r="B332">
        <v>-0.14876263776386622</v>
      </c>
      <c r="D332">
        <v>0.34185413272352172</v>
      </c>
      <c r="E332">
        <v>2.2535352820796106</v>
      </c>
      <c r="J332">
        <v>10</v>
      </c>
      <c r="K332">
        <v>-0.10334520084143151</v>
      </c>
      <c r="L332">
        <v>3.8459616859920294</v>
      </c>
      <c r="M332">
        <v>20</v>
      </c>
      <c r="N332">
        <v>-0.3591603137920174</v>
      </c>
      <c r="O332">
        <v>205.80079472784919</v>
      </c>
      <c r="P332" s="1">
        <f t="shared" si="25"/>
        <v>7.4873841576371865</v>
      </c>
      <c r="Q332" s="1">
        <f t="shared" si="26"/>
        <v>1.1231076236455779</v>
      </c>
      <c r="R332" s="1">
        <f t="shared" si="27"/>
        <v>1.0597677215529722</v>
      </c>
      <c r="S332" s="1">
        <f t="shared" si="28"/>
        <v>0.24138790769709159</v>
      </c>
      <c r="T332" s="56">
        <f t="shared" si="29"/>
        <v>0.59449325046485257</v>
      </c>
    </row>
    <row r="333" spans="1:20" x14ac:dyDescent="0.25">
      <c r="A333">
        <v>0.34283255311723349</v>
      </c>
      <c r="B333">
        <v>-1.4752686183783226</v>
      </c>
      <c r="D333">
        <v>0.34343528527979694</v>
      </c>
      <c r="E333">
        <v>-0.27600481530498655</v>
      </c>
      <c r="J333">
        <v>10</v>
      </c>
      <c r="K333">
        <v>-3.8583038985962048E-3</v>
      </c>
      <c r="L333">
        <v>3.4941283648138026</v>
      </c>
      <c r="M333">
        <v>20</v>
      </c>
      <c r="N333">
        <v>-0.76054113037571369</v>
      </c>
      <c r="O333">
        <v>351.51879535188073</v>
      </c>
      <c r="P333" s="1">
        <f t="shared" si="25"/>
        <v>12.679032989881946</v>
      </c>
      <c r="Q333" s="1">
        <f t="shared" si="26"/>
        <v>1.901854948482292</v>
      </c>
      <c r="R333" s="1">
        <f t="shared" si="27"/>
        <v>1.3790775715971499</v>
      </c>
      <c r="S333" s="1">
        <f t="shared" si="28"/>
        <v>0.54868764604791664</v>
      </c>
      <c r="T333" s="56">
        <f t="shared" si="29"/>
        <v>0.70621561436787739</v>
      </c>
    </row>
    <row r="334" spans="1:20" x14ac:dyDescent="0.25">
      <c r="A334">
        <v>0.34286364595248586</v>
      </c>
      <c r="B334">
        <v>-8.2213773566763848E-2</v>
      </c>
      <c r="D334">
        <v>0.34411700596895112</v>
      </c>
      <c r="E334">
        <v>-3.9340936871212762</v>
      </c>
      <c r="J334">
        <v>10</v>
      </c>
      <c r="K334">
        <v>1.9673848328238819E-2</v>
      </c>
      <c r="L334">
        <v>7.560692529620078</v>
      </c>
      <c r="M334">
        <v>20</v>
      </c>
      <c r="N334">
        <v>0.48000168476391991</v>
      </c>
      <c r="O334">
        <v>117.37476858571019</v>
      </c>
      <c r="P334" s="1">
        <f t="shared" si="25"/>
        <v>4.4619807541189385</v>
      </c>
      <c r="Q334" s="1">
        <f t="shared" si="26"/>
        <v>0.66929711311784079</v>
      </c>
      <c r="R334" s="1">
        <f t="shared" si="27"/>
        <v>0.81810580802109012</v>
      </c>
      <c r="S334" s="1">
        <f t="shared" si="28"/>
        <v>-0.56267518445953169</v>
      </c>
      <c r="T334" s="56">
        <f t="shared" si="29"/>
        <v>0.28906694466682603</v>
      </c>
    </row>
    <row r="335" spans="1:20" x14ac:dyDescent="0.25">
      <c r="A335">
        <v>0.34300367404203602</v>
      </c>
      <c r="B335">
        <v>-1.0520102478039917</v>
      </c>
      <c r="D335">
        <v>0.34514061318016576</v>
      </c>
      <c r="E335">
        <v>-3.5264718042071763</v>
      </c>
      <c r="J335">
        <v>10</v>
      </c>
      <c r="K335">
        <v>-0.22953224743105238</v>
      </c>
      <c r="L335">
        <v>5.2210804992513591</v>
      </c>
      <c r="M335">
        <v>20</v>
      </c>
      <c r="N335">
        <v>0.28888143447147741</v>
      </c>
      <c r="O335">
        <v>305.8715339798058</v>
      </c>
      <c r="P335" s="1">
        <f t="shared" si="25"/>
        <v>11.110450517109184</v>
      </c>
      <c r="Q335" s="1">
        <f t="shared" si="26"/>
        <v>1.6665675775663775</v>
      </c>
      <c r="R335" s="1">
        <f t="shared" si="27"/>
        <v>1.2909560711218555</v>
      </c>
      <c r="S335" s="1">
        <f t="shared" si="28"/>
        <v>-0.40157344893387614</v>
      </c>
      <c r="T335" s="56">
        <f t="shared" si="29"/>
        <v>0.34552330575903689</v>
      </c>
    </row>
    <row r="336" spans="1:20" x14ac:dyDescent="0.25">
      <c r="A336">
        <v>0.34321897199147611</v>
      </c>
      <c r="B336">
        <v>-0.63625066104577854</v>
      </c>
      <c r="D336">
        <v>0.34557727291151208</v>
      </c>
      <c r="E336">
        <v>3.8607488443176408</v>
      </c>
      <c r="J336">
        <v>10</v>
      </c>
      <c r="K336">
        <v>0.54515714964509243</v>
      </c>
      <c r="L336">
        <v>3.240721540181255</v>
      </c>
      <c r="M336">
        <v>20</v>
      </c>
      <c r="N336">
        <v>-0.19228298583584547</v>
      </c>
      <c r="O336">
        <v>168.08009881979078</v>
      </c>
      <c r="P336" s="1">
        <f t="shared" si="25"/>
        <v>6.1186007271418585</v>
      </c>
      <c r="Q336" s="1">
        <f t="shared" si="26"/>
        <v>0.91779010907127878</v>
      </c>
      <c r="R336" s="1">
        <f t="shared" si="27"/>
        <v>0.95801362676700941</v>
      </c>
      <c r="S336" s="1">
        <f t="shared" si="28"/>
        <v>0.76975954712623795</v>
      </c>
      <c r="T336" s="56">
        <f t="shared" si="29"/>
        <v>0.77605583472951234</v>
      </c>
    </row>
    <row r="337" spans="1:20" x14ac:dyDescent="0.25">
      <c r="A337">
        <v>0.34364000795555083</v>
      </c>
      <c r="B337">
        <v>3.3551259548403323E-2</v>
      </c>
      <c r="D337">
        <v>0.34641396965497684</v>
      </c>
      <c r="E337">
        <v>1.5275368207312567</v>
      </c>
      <c r="J337">
        <v>10</v>
      </c>
      <c r="K337">
        <v>-0.58518719470157521</v>
      </c>
      <c r="L337">
        <v>7.0557828927898969</v>
      </c>
      <c r="M337">
        <v>20</v>
      </c>
      <c r="N337">
        <v>-0.31417153309121204</v>
      </c>
      <c r="O337">
        <v>128.63022600291274</v>
      </c>
      <c r="P337" s="1">
        <f t="shared" si="25"/>
        <v>4.845928889132237</v>
      </c>
      <c r="Q337" s="1">
        <f t="shared" si="26"/>
        <v>0.72688933336983552</v>
      </c>
      <c r="R337" s="1">
        <f t="shared" si="27"/>
        <v>0.85257805118935326</v>
      </c>
      <c r="S337" s="1">
        <f t="shared" si="28"/>
        <v>-0.31787783092972444</v>
      </c>
      <c r="T337" s="56">
        <f t="shared" si="29"/>
        <v>0.37646813112917044</v>
      </c>
    </row>
    <row r="338" spans="1:20" x14ac:dyDescent="0.25">
      <c r="A338">
        <v>0.34459303331683411</v>
      </c>
      <c r="B338">
        <v>-0.16906028577068355</v>
      </c>
      <c r="D338">
        <v>0.34749307084531422</v>
      </c>
      <c r="E338">
        <v>0.57183410376637767</v>
      </c>
      <c r="J338">
        <v>10</v>
      </c>
      <c r="K338">
        <v>0.14663828551420011</v>
      </c>
      <c r="L338">
        <v>12.432504770672054</v>
      </c>
      <c r="M338">
        <v>20</v>
      </c>
      <c r="N338">
        <v>0.14374176885212364</v>
      </c>
      <c r="O338">
        <v>145.50027020471438</v>
      </c>
      <c r="P338" s="1">
        <f t="shared" si="25"/>
        <v>5.6404562491209447</v>
      </c>
      <c r="Q338" s="1">
        <f t="shared" si="26"/>
        <v>0.84606843736814163</v>
      </c>
      <c r="R338" s="1">
        <f t="shared" si="27"/>
        <v>0.91981978526673458</v>
      </c>
      <c r="S338" s="1">
        <f t="shared" si="28"/>
        <v>3.1490045207458943E-3</v>
      </c>
      <c r="T338" s="56">
        <f t="shared" si="29"/>
        <v>0.50124510449305038</v>
      </c>
    </row>
    <row r="339" spans="1:20" x14ac:dyDescent="0.25">
      <c r="A339">
        <v>0.34504520522196458</v>
      </c>
      <c r="B339">
        <v>-1.5436035027960315</v>
      </c>
      <c r="D339">
        <v>0.34786165008106229</v>
      </c>
      <c r="E339">
        <v>-2.5915021558375884</v>
      </c>
      <c r="J339">
        <v>10</v>
      </c>
      <c r="K339">
        <v>-3.4816480365407187E-2</v>
      </c>
      <c r="L339">
        <v>2.8676763238254561</v>
      </c>
      <c r="M339">
        <v>20</v>
      </c>
      <c r="N339">
        <v>0.39836373503021605</v>
      </c>
      <c r="O339">
        <v>149.08643878313603</v>
      </c>
      <c r="P339" s="1">
        <f t="shared" si="25"/>
        <v>5.4269326823914819</v>
      </c>
      <c r="Q339" s="1">
        <f t="shared" si="26"/>
        <v>0.81403990235872226</v>
      </c>
      <c r="R339" s="1">
        <f t="shared" si="27"/>
        <v>0.90224159866341913</v>
      </c>
      <c r="S339" s="1">
        <f t="shared" si="28"/>
        <v>-0.48011554337256951</v>
      </c>
      <c r="T339" s="56">
        <f t="shared" si="29"/>
        <v>0.31743742632524319</v>
      </c>
    </row>
    <row r="340" spans="1:20" x14ac:dyDescent="0.25">
      <c r="A340">
        <v>0.3459961111416765</v>
      </c>
      <c r="B340">
        <v>-0.3827221917163115</v>
      </c>
      <c r="D340">
        <v>0.34810124961742794</v>
      </c>
      <c r="E340">
        <v>1.9465603566004575</v>
      </c>
      <c r="J340">
        <v>10</v>
      </c>
      <c r="K340">
        <v>-0.29761667974526063</v>
      </c>
      <c r="L340">
        <v>8.8049990534391824</v>
      </c>
      <c r="M340">
        <v>20</v>
      </c>
      <c r="N340">
        <v>-0.81745099919316999</v>
      </c>
      <c r="O340">
        <v>180.84443936874058</v>
      </c>
      <c r="P340" s="1">
        <f t="shared" si="25"/>
        <v>6.773194229363563</v>
      </c>
      <c r="Q340" s="1">
        <f t="shared" si="26"/>
        <v>1.0159791344045344</v>
      </c>
      <c r="R340" s="1">
        <f t="shared" si="27"/>
        <v>1.0079579030914607</v>
      </c>
      <c r="S340" s="1">
        <f t="shared" si="28"/>
        <v>0.51573018858580277</v>
      </c>
      <c r="T340" s="56">
        <f t="shared" si="29"/>
        <v>0.69495426828179774</v>
      </c>
    </row>
    <row r="341" spans="1:20" x14ac:dyDescent="0.25">
      <c r="A341">
        <v>0.34657712768200744</v>
      </c>
      <c r="B341">
        <v>-2.980073077196721E-2</v>
      </c>
      <c r="D341">
        <v>0.34814087905958724</v>
      </c>
      <c r="E341">
        <v>0.85314763623500767</v>
      </c>
      <c r="J341">
        <v>10</v>
      </c>
      <c r="K341">
        <v>0.42553847379167564</v>
      </c>
      <c r="L341">
        <v>6.9735034337036579</v>
      </c>
      <c r="M341">
        <v>20</v>
      </c>
      <c r="N341">
        <v>0.65452678313704382</v>
      </c>
      <c r="O341">
        <v>459.9677677456632</v>
      </c>
      <c r="P341" s="1">
        <f t="shared" si="25"/>
        <v>16.676473970691674</v>
      </c>
      <c r="Q341" s="1">
        <f t="shared" si="26"/>
        <v>2.5014710956037511</v>
      </c>
      <c r="R341" s="1">
        <f t="shared" si="27"/>
        <v>1.5816039629451335</v>
      </c>
      <c r="S341" s="1">
        <f t="shared" si="28"/>
        <v>-0.14478233155091802</v>
      </c>
      <c r="T341" s="56">
        <f t="shared" si="29"/>
        <v>0.44295993824723845</v>
      </c>
    </row>
    <row r="342" spans="1:20" x14ac:dyDescent="0.25">
      <c r="A342">
        <v>0.34731617288694294</v>
      </c>
      <c r="B342">
        <v>-0.7616949915245641</v>
      </c>
      <c r="D342">
        <v>0.34833274615698162</v>
      </c>
      <c r="E342">
        <v>-3.7208762967111397</v>
      </c>
      <c r="J342">
        <v>10</v>
      </c>
      <c r="K342">
        <v>0.18668504253582796</v>
      </c>
      <c r="L342">
        <v>4.4812091203388169</v>
      </c>
      <c r="M342">
        <v>20</v>
      </c>
      <c r="N342">
        <v>0.63167948042064381</v>
      </c>
      <c r="O342">
        <v>220.93317677212471</v>
      </c>
      <c r="P342" s="1">
        <f t="shared" si="25"/>
        <v>8.0505137818736969</v>
      </c>
      <c r="Q342" s="1">
        <f t="shared" si="26"/>
        <v>1.2075770672810544</v>
      </c>
      <c r="R342" s="1">
        <f t="shared" si="27"/>
        <v>1.0988981150593782</v>
      </c>
      <c r="S342" s="1">
        <f t="shared" si="28"/>
        <v>-0.40494603802352586</v>
      </c>
      <c r="T342" s="56">
        <f t="shared" si="29"/>
        <v>0.34429719692140481</v>
      </c>
    </row>
    <row r="343" spans="1:20" x14ac:dyDescent="0.25">
      <c r="A343">
        <v>0.35129847766887412</v>
      </c>
      <c r="B343">
        <v>0.5617334863927681</v>
      </c>
      <c r="D343">
        <v>0.3497268154137011</v>
      </c>
      <c r="E343">
        <v>-1.9412736980939371</v>
      </c>
      <c r="J343">
        <v>10</v>
      </c>
      <c r="K343">
        <v>-0.48926131057669409</v>
      </c>
      <c r="L343">
        <v>5.7452903788311565</v>
      </c>
      <c r="M343">
        <v>20</v>
      </c>
      <c r="N343">
        <v>-0.60800522646786703</v>
      </c>
      <c r="O343">
        <v>222.40652493328008</v>
      </c>
      <c r="P343" s="1">
        <f t="shared" si="25"/>
        <v>8.1482791182896879</v>
      </c>
      <c r="Q343" s="1">
        <f t="shared" si="26"/>
        <v>1.2222418677434532</v>
      </c>
      <c r="R343" s="1">
        <f t="shared" si="27"/>
        <v>1.105550481770712</v>
      </c>
      <c r="S343" s="1">
        <f t="shared" si="28"/>
        <v>0.10740705001637374</v>
      </c>
      <c r="T343" s="56">
        <f t="shared" si="29"/>
        <v>0.54238400555337363</v>
      </c>
    </row>
    <row r="344" spans="1:20" x14ac:dyDescent="0.25">
      <c r="A344">
        <v>0.35186318823896201</v>
      </c>
      <c r="B344">
        <v>0.28155682230135426</v>
      </c>
      <c r="D344">
        <v>0.35118468766061706</v>
      </c>
      <c r="E344">
        <v>0.81953612266261189</v>
      </c>
      <c r="J344">
        <v>10</v>
      </c>
      <c r="K344">
        <v>0.29220495889603626</v>
      </c>
      <c r="L344">
        <v>7.0952045237584622</v>
      </c>
      <c r="M344">
        <v>20</v>
      </c>
      <c r="N344">
        <v>0.69620488943655801</v>
      </c>
      <c r="O344">
        <v>136.18765314659561</v>
      </c>
      <c r="P344" s="1">
        <f t="shared" si="25"/>
        <v>5.1172449167983602</v>
      </c>
      <c r="Q344" s="1">
        <f t="shared" si="26"/>
        <v>0.76758673751975404</v>
      </c>
      <c r="R344" s="1">
        <f t="shared" si="27"/>
        <v>0.87612027571547169</v>
      </c>
      <c r="S344" s="1">
        <f t="shared" si="28"/>
        <v>-0.46112382253749429</v>
      </c>
      <c r="T344" s="56">
        <f t="shared" si="29"/>
        <v>0.32413590877850856</v>
      </c>
    </row>
    <row r="345" spans="1:20" x14ac:dyDescent="0.25">
      <c r="A345">
        <v>0.35238889227956516</v>
      </c>
      <c r="B345">
        <v>0.30752289603697136</v>
      </c>
      <c r="D345">
        <v>0.3546002876577159</v>
      </c>
      <c r="E345">
        <v>0.85290548327066062</v>
      </c>
      <c r="J345">
        <v>10</v>
      </c>
      <c r="K345">
        <v>-0.40371196519117802</v>
      </c>
      <c r="L345">
        <v>10.981399961170723</v>
      </c>
      <c r="M345">
        <v>20</v>
      </c>
      <c r="N345">
        <v>0.83088269434483664</v>
      </c>
      <c r="O345">
        <v>207.89085204635504</v>
      </c>
      <c r="P345" s="1">
        <f t="shared" si="25"/>
        <v>7.8168661431259201</v>
      </c>
      <c r="Q345" s="1">
        <f t="shared" si="26"/>
        <v>1.172529921468888</v>
      </c>
      <c r="R345" s="1">
        <f t="shared" si="27"/>
        <v>1.0828342077478381</v>
      </c>
      <c r="S345" s="1">
        <f t="shared" si="28"/>
        <v>-1.1401511429010167</v>
      </c>
      <c r="T345" s="56">
        <f t="shared" si="29"/>
        <v>0.13194133213250564</v>
      </c>
    </row>
    <row r="346" spans="1:20" x14ac:dyDescent="0.25">
      <c r="A346">
        <v>0.35335362920007618</v>
      </c>
      <c r="B346">
        <v>0.19979665921709966</v>
      </c>
      <c r="D346">
        <v>0.35720039708308882</v>
      </c>
      <c r="E346">
        <v>2.7599078259754606</v>
      </c>
      <c r="J346">
        <v>10</v>
      </c>
      <c r="K346">
        <v>5.6425278671667911E-2</v>
      </c>
      <c r="L346">
        <v>4.5296738808599768</v>
      </c>
      <c r="M346">
        <v>20</v>
      </c>
      <c r="N346">
        <v>0.19092356865257898</v>
      </c>
      <c r="O346">
        <v>158.28011580393476</v>
      </c>
      <c r="P346" s="1">
        <f t="shared" si="25"/>
        <v>5.8146353458855264</v>
      </c>
      <c r="Q346" s="1">
        <f t="shared" si="26"/>
        <v>0.8721953018828289</v>
      </c>
      <c r="R346" s="1">
        <f t="shared" si="27"/>
        <v>0.93391396920852876</v>
      </c>
      <c r="S346" s="1">
        <f t="shared" si="28"/>
        <v>-0.14401571709532879</v>
      </c>
      <c r="T346" s="56">
        <f t="shared" si="29"/>
        <v>0.44325980101044682</v>
      </c>
    </row>
    <row r="347" spans="1:20" x14ac:dyDescent="0.25">
      <c r="A347">
        <v>0.35437978700596007</v>
      </c>
      <c r="B347">
        <v>0.18787090994010214</v>
      </c>
      <c r="D347">
        <v>0.35782408960447354</v>
      </c>
      <c r="E347">
        <v>-4.6447410147720802</v>
      </c>
      <c r="J347">
        <v>10</v>
      </c>
      <c r="K347">
        <v>0.25530664515827084</v>
      </c>
      <c r="L347">
        <v>7.191572228164361</v>
      </c>
      <c r="M347">
        <v>20</v>
      </c>
      <c r="N347">
        <v>-0.58095537610824977</v>
      </c>
      <c r="O347">
        <v>331.10347288983303</v>
      </c>
      <c r="P347" s="1">
        <f t="shared" si="25"/>
        <v>12.081965897071337</v>
      </c>
      <c r="Q347" s="1">
        <f t="shared" si="26"/>
        <v>1.8122948845607003</v>
      </c>
      <c r="R347" s="1">
        <f t="shared" si="27"/>
        <v>1.3462150216665614</v>
      </c>
      <c r="S347" s="1">
        <f t="shared" si="28"/>
        <v>0.6211949857989707</v>
      </c>
      <c r="T347" s="56">
        <f t="shared" si="29"/>
        <v>0.73025198420685944</v>
      </c>
    </row>
    <row r="348" spans="1:20" x14ac:dyDescent="0.25">
      <c r="A348">
        <v>0.35443910046694183</v>
      </c>
      <c r="B348">
        <v>-0.44650505515164696</v>
      </c>
      <c r="D348">
        <v>0.35783916978668961</v>
      </c>
      <c r="E348">
        <v>0.30942896614760684</v>
      </c>
      <c r="J348">
        <v>10</v>
      </c>
      <c r="K348">
        <v>-3.2277398531732615E-2</v>
      </c>
      <c r="L348">
        <v>3.6198969002799597</v>
      </c>
      <c r="M348">
        <v>20</v>
      </c>
      <c r="N348">
        <v>-1.0091227443354001</v>
      </c>
      <c r="O348">
        <v>218.35321161134777</v>
      </c>
      <c r="P348" s="1">
        <f t="shared" si="25"/>
        <v>7.9276110182724198</v>
      </c>
      <c r="Q348" s="1">
        <f t="shared" si="26"/>
        <v>1.1891416527408629</v>
      </c>
      <c r="R348" s="1">
        <f t="shared" si="27"/>
        <v>1.0904777176727927</v>
      </c>
      <c r="S348" s="1">
        <f t="shared" si="28"/>
        <v>0.89579578745393351</v>
      </c>
      <c r="T348" s="56">
        <f t="shared" si="29"/>
        <v>0.81100059079097664</v>
      </c>
    </row>
    <row r="349" spans="1:20" x14ac:dyDescent="0.25">
      <c r="A349">
        <v>0.35551852125185002</v>
      </c>
      <c r="B349">
        <v>0.15162527233769652</v>
      </c>
      <c r="D349">
        <v>0.35789296158166717</v>
      </c>
      <c r="E349">
        <v>3.7041338566723425</v>
      </c>
      <c r="J349">
        <v>10</v>
      </c>
      <c r="K349">
        <v>0.3623910060923663</v>
      </c>
      <c r="L349">
        <v>10.58503417296776</v>
      </c>
      <c r="M349">
        <v>20</v>
      </c>
      <c r="N349">
        <v>-0.37686493556066125</v>
      </c>
      <c r="O349">
        <v>107.33387132811158</v>
      </c>
      <c r="P349" s="1">
        <f t="shared" si="25"/>
        <v>4.2113894821814046</v>
      </c>
      <c r="Q349" s="1">
        <f t="shared" si="26"/>
        <v>0.63170842232721069</v>
      </c>
      <c r="R349" s="1">
        <f t="shared" si="27"/>
        <v>0.79480086960647611</v>
      </c>
      <c r="S349" s="1">
        <f t="shared" si="28"/>
        <v>0.93011466132271581</v>
      </c>
      <c r="T349" s="56">
        <f t="shared" si="29"/>
        <v>0.81986901658548317</v>
      </c>
    </row>
    <row r="350" spans="1:20" x14ac:dyDescent="0.25">
      <c r="A350">
        <v>0.35811408459593641</v>
      </c>
      <c r="B350">
        <v>-3.2249545256490819E-2</v>
      </c>
      <c r="D350">
        <v>0.35856007743618734</v>
      </c>
      <c r="E350">
        <v>-2.4527996663437079</v>
      </c>
      <c r="J350">
        <v>10</v>
      </c>
      <c r="K350">
        <v>0.45482113364414545</v>
      </c>
      <c r="L350">
        <v>6.9187082646659395</v>
      </c>
      <c r="M350">
        <v>20</v>
      </c>
      <c r="N350">
        <v>-0.22024500253792212</v>
      </c>
      <c r="O350">
        <v>174.58795185743443</v>
      </c>
      <c r="P350" s="1">
        <f t="shared" si="25"/>
        <v>6.4823807186464419</v>
      </c>
      <c r="Q350" s="1">
        <f t="shared" si="26"/>
        <v>0.97235710779696627</v>
      </c>
      <c r="R350" s="1">
        <f t="shared" si="27"/>
        <v>0.98608169428144554</v>
      </c>
      <c r="S350" s="1">
        <f t="shared" si="28"/>
        <v>0.6845945321741177</v>
      </c>
      <c r="T350" s="56">
        <f t="shared" si="29"/>
        <v>0.75038610154185648</v>
      </c>
    </row>
    <row r="351" spans="1:20" x14ac:dyDescent="0.25">
      <c r="A351">
        <v>0.35836755122812169</v>
      </c>
      <c r="B351">
        <v>1.8194032236351632</v>
      </c>
      <c r="D351">
        <v>0.35859072915025469</v>
      </c>
      <c r="E351">
        <v>-0.90903700197486614</v>
      </c>
      <c r="J351">
        <v>10</v>
      </c>
      <c r="K351">
        <v>-0.34869776754931081</v>
      </c>
      <c r="L351">
        <v>11.054343372121167</v>
      </c>
      <c r="M351">
        <v>20</v>
      </c>
      <c r="N351">
        <v>1.049077862944614</v>
      </c>
      <c r="O351">
        <v>187.2269005412798</v>
      </c>
      <c r="P351" s="1">
        <f t="shared" si="25"/>
        <v>7.0814729969071779</v>
      </c>
      <c r="Q351" s="1">
        <f t="shared" si="26"/>
        <v>1.0622209495360766</v>
      </c>
      <c r="R351" s="1">
        <f t="shared" si="27"/>
        <v>1.0306410381583282</v>
      </c>
      <c r="S351" s="1">
        <f t="shared" si="28"/>
        <v>-1.356219652374445</v>
      </c>
      <c r="T351" s="56">
        <f t="shared" si="29"/>
        <v>9.2932932394239776E-2</v>
      </c>
    </row>
    <row r="352" spans="1:20" x14ac:dyDescent="0.25">
      <c r="A352">
        <v>0.35980097815218837</v>
      </c>
      <c r="B352">
        <v>6.4801497501321137E-2</v>
      </c>
      <c r="D352">
        <v>0.35878379750715594</v>
      </c>
      <c r="E352">
        <v>0.68639291953331849</v>
      </c>
      <c r="J352">
        <v>10</v>
      </c>
      <c r="K352">
        <v>2.9364628062467091E-2</v>
      </c>
      <c r="L352">
        <v>6.175568525605347</v>
      </c>
      <c r="M352">
        <v>20</v>
      </c>
      <c r="N352">
        <v>-0.41246636669711734</v>
      </c>
      <c r="O352">
        <v>211.4597471925718</v>
      </c>
      <c r="P352" s="1">
        <f t="shared" si="25"/>
        <v>7.7726898470777552</v>
      </c>
      <c r="Q352" s="1">
        <f t="shared" si="26"/>
        <v>1.1659034770616632</v>
      </c>
      <c r="R352" s="1">
        <f t="shared" si="27"/>
        <v>1.0797701038006484</v>
      </c>
      <c r="S352" s="1">
        <f t="shared" si="28"/>
        <v>0.40918987588598499</v>
      </c>
      <c r="T352" s="56">
        <f t="shared" si="29"/>
        <v>0.65724320585714013</v>
      </c>
    </row>
    <row r="353" spans="1:20" x14ac:dyDescent="0.25">
      <c r="A353">
        <v>0.3598138670600981</v>
      </c>
      <c r="B353">
        <v>0.75903926699538715</v>
      </c>
      <c r="D353">
        <v>0.36318576328509056</v>
      </c>
      <c r="E353">
        <v>-0.25829354285633599</v>
      </c>
      <c r="J353">
        <v>10</v>
      </c>
      <c r="K353">
        <v>0.26419343157613184</v>
      </c>
      <c r="L353">
        <v>3.0157029073439459</v>
      </c>
      <c r="M353">
        <v>20</v>
      </c>
      <c r="N353">
        <v>0.78751889645900519</v>
      </c>
      <c r="O353">
        <v>159.93413963331034</v>
      </c>
      <c r="P353" s="1">
        <f t="shared" si="25"/>
        <v>5.8196372335947961</v>
      </c>
      <c r="Q353" s="1">
        <f t="shared" si="26"/>
        <v>0.87294558503921937</v>
      </c>
      <c r="R353" s="1">
        <f t="shared" si="27"/>
        <v>0.93431557037182</v>
      </c>
      <c r="S353" s="1">
        <f t="shared" si="28"/>
        <v>-0.56011639051954454</v>
      </c>
      <c r="T353" s="56">
        <f t="shared" si="29"/>
        <v>0.28992711209753452</v>
      </c>
    </row>
    <row r="354" spans="1:20" x14ac:dyDescent="0.25">
      <c r="A354">
        <v>0.36348406948036449</v>
      </c>
      <c r="B354">
        <v>0.77247477747732773</v>
      </c>
      <c r="D354">
        <v>0.36535044649636428</v>
      </c>
      <c r="E354">
        <v>5.5518223655326437</v>
      </c>
      <c r="J354">
        <v>10</v>
      </c>
      <c r="K354">
        <v>0.13467911230691243</v>
      </c>
      <c r="L354">
        <v>1.9727988421528082</v>
      </c>
      <c r="M354">
        <v>20</v>
      </c>
      <c r="N354">
        <v>-7.4550431463649147E-2</v>
      </c>
      <c r="O354">
        <v>265.48380676145257</v>
      </c>
      <c r="P354" s="1">
        <f t="shared" si="25"/>
        <v>9.5520216287001922</v>
      </c>
      <c r="Q354" s="1">
        <f t="shared" si="26"/>
        <v>1.4328032443050287</v>
      </c>
      <c r="R354" s="1">
        <f t="shared" si="27"/>
        <v>1.1969975957808054</v>
      </c>
      <c r="S354" s="1">
        <f t="shared" si="28"/>
        <v>0.17479529157623785</v>
      </c>
      <c r="T354" s="56">
        <f t="shared" si="29"/>
        <v>0.56875084656030717</v>
      </c>
    </row>
    <row r="355" spans="1:20" x14ac:dyDescent="0.25">
      <c r="A355">
        <v>0.36425089129772181</v>
      </c>
      <c r="B355">
        <v>-0.23850816432968713</v>
      </c>
      <c r="D355">
        <v>0.36627368281123096</v>
      </c>
      <c r="E355">
        <v>4.1587323948988342E-2</v>
      </c>
      <c r="J355">
        <v>10</v>
      </c>
      <c r="K355">
        <v>0.15943055586831179</v>
      </c>
      <c r="L355">
        <v>2.3652383491747195</v>
      </c>
      <c r="M355">
        <v>20</v>
      </c>
      <c r="N355">
        <v>0.18961884165946685</v>
      </c>
      <c r="O355">
        <v>383.87203395767091</v>
      </c>
      <c r="P355" s="1">
        <f t="shared" si="25"/>
        <v>13.794188296673058</v>
      </c>
      <c r="Q355" s="1">
        <f t="shared" si="26"/>
        <v>2.0691282445009587</v>
      </c>
      <c r="R355" s="1">
        <f t="shared" si="27"/>
        <v>1.4384464691120622</v>
      </c>
      <c r="S355" s="1">
        <f t="shared" si="28"/>
        <v>-2.0986728696125882E-2</v>
      </c>
      <c r="T355" s="56">
        <f t="shared" si="29"/>
        <v>0.49170254338837838</v>
      </c>
    </row>
    <row r="356" spans="1:20" x14ac:dyDescent="0.25">
      <c r="A356">
        <v>0.36456163880872705</v>
      </c>
      <c r="B356">
        <v>7.1241856858250685E-2</v>
      </c>
      <c r="D356">
        <v>0.36688755719061539</v>
      </c>
      <c r="E356">
        <v>-3.0284006732017588</v>
      </c>
      <c r="J356">
        <v>10</v>
      </c>
      <c r="K356">
        <v>-4.4183252612128854E-3</v>
      </c>
      <c r="L356">
        <v>7.273424399126772</v>
      </c>
      <c r="M356">
        <v>20</v>
      </c>
      <c r="N356">
        <v>-0.97679617624635284</v>
      </c>
      <c r="O356">
        <v>141.37730322740887</v>
      </c>
      <c r="P356" s="1">
        <f t="shared" si="25"/>
        <v>5.3089545580905595</v>
      </c>
      <c r="Q356" s="1">
        <f t="shared" si="26"/>
        <v>0.79634318371358392</v>
      </c>
      <c r="R356" s="1">
        <f t="shared" si="27"/>
        <v>0.89238062715053601</v>
      </c>
      <c r="S356" s="1">
        <f t="shared" si="28"/>
        <v>1.0896447338733062</v>
      </c>
      <c r="T356" s="56">
        <f t="shared" si="29"/>
        <v>0.85742046181785891</v>
      </c>
    </row>
    <row r="357" spans="1:20" x14ac:dyDescent="0.25">
      <c r="A357">
        <v>0.36478372792153035</v>
      </c>
      <c r="B357">
        <v>-1.1745351002900861</v>
      </c>
      <c r="D357">
        <v>0.36810490166672816</v>
      </c>
      <c r="E357">
        <v>-1.8937742004254687</v>
      </c>
      <c r="J357">
        <v>10</v>
      </c>
      <c r="K357">
        <v>0.7523690328525845</v>
      </c>
      <c r="L357">
        <v>13.726915831624355</v>
      </c>
      <c r="M357">
        <v>20</v>
      </c>
      <c r="N357">
        <v>-0.6054955326817435</v>
      </c>
      <c r="O357">
        <v>126.55940561014438</v>
      </c>
      <c r="P357" s="1">
        <f t="shared" si="25"/>
        <v>5.0102257657774549</v>
      </c>
      <c r="Q357" s="1">
        <f t="shared" si="26"/>
        <v>0.75153386486661822</v>
      </c>
      <c r="R357" s="1">
        <f t="shared" si="27"/>
        <v>0.86691052875519869</v>
      </c>
      <c r="S357" s="1">
        <f t="shared" si="28"/>
        <v>1.5663260745997545</v>
      </c>
      <c r="T357" s="56">
        <f t="shared" si="29"/>
        <v>0.93574724120257269</v>
      </c>
    </row>
    <row r="358" spans="1:20" x14ac:dyDescent="0.25">
      <c r="A358">
        <v>0.36988158921736947</v>
      </c>
      <c r="B358">
        <v>-0.25538611225783825</v>
      </c>
      <c r="D358">
        <v>0.36855730686733101</v>
      </c>
      <c r="E358">
        <v>-9.7739306283983751E-2</v>
      </c>
      <c r="J358">
        <v>10</v>
      </c>
      <c r="K358">
        <v>-0.25274425752286334</v>
      </c>
      <c r="L358">
        <v>14.32209675124024</v>
      </c>
      <c r="M358">
        <v>20</v>
      </c>
      <c r="N358">
        <v>-0.55837699960648024</v>
      </c>
      <c r="O358">
        <v>193.69288661066162</v>
      </c>
      <c r="P358" s="1">
        <f t="shared" si="25"/>
        <v>7.4291065486393526</v>
      </c>
      <c r="Q358" s="1">
        <f t="shared" si="26"/>
        <v>1.1143659822959029</v>
      </c>
      <c r="R358" s="1">
        <f t="shared" si="27"/>
        <v>1.0556353453233285</v>
      </c>
      <c r="S358" s="1">
        <f t="shared" si="28"/>
        <v>0.28952492301212712</v>
      </c>
      <c r="T358" s="56">
        <f t="shared" si="29"/>
        <v>0.61284359202477057</v>
      </c>
    </row>
    <row r="359" spans="1:20" x14ac:dyDescent="0.25">
      <c r="A359">
        <v>0.37265152792752232</v>
      </c>
      <c r="B359">
        <v>0.8355755198863335</v>
      </c>
      <c r="D359">
        <v>0.36864241184660418</v>
      </c>
      <c r="E359">
        <v>-0.89471928163220582</v>
      </c>
      <c r="J359">
        <v>10</v>
      </c>
      <c r="K359">
        <v>-0.13846101865055971</v>
      </c>
      <c r="L359">
        <v>3.6068978322864496</v>
      </c>
      <c r="M359">
        <v>20</v>
      </c>
      <c r="N359">
        <v>-0.19968161154793052</v>
      </c>
      <c r="O359">
        <v>141.65873185465736</v>
      </c>
      <c r="P359" s="1">
        <f t="shared" si="25"/>
        <v>5.1880582031051361</v>
      </c>
      <c r="Q359" s="1">
        <f t="shared" si="26"/>
        <v>0.77820873046577044</v>
      </c>
      <c r="R359" s="1">
        <f t="shared" si="27"/>
        <v>0.88216139706165475</v>
      </c>
      <c r="S359" s="1">
        <f t="shared" si="28"/>
        <v>6.9398403853634133E-2</v>
      </c>
      <c r="T359" s="56">
        <f t="shared" si="29"/>
        <v>0.5274171195837758</v>
      </c>
    </row>
    <row r="360" spans="1:20" x14ac:dyDescent="0.25">
      <c r="A360">
        <v>0.37423059567736483</v>
      </c>
      <c r="B360">
        <v>-1.6485182641190477</v>
      </c>
      <c r="D360">
        <v>0.37169291781565716</v>
      </c>
      <c r="E360">
        <v>1.0225387507034611</v>
      </c>
      <c r="J360">
        <v>10</v>
      </c>
      <c r="K360">
        <v>0.16540093383810017</v>
      </c>
      <c r="L360">
        <v>1.470114254743657</v>
      </c>
      <c r="M360">
        <v>20</v>
      </c>
      <c r="N360">
        <v>1.2766612337600236</v>
      </c>
      <c r="O360">
        <v>167.20925841459126</v>
      </c>
      <c r="P360" s="1">
        <f t="shared" si="25"/>
        <v>6.0242633096191041</v>
      </c>
      <c r="Q360" s="1">
        <f t="shared" si="26"/>
        <v>0.90363949644286556</v>
      </c>
      <c r="R360" s="1">
        <f t="shared" si="27"/>
        <v>0.95059954578301031</v>
      </c>
      <c r="S360" s="1">
        <f t="shared" si="28"/>
        <v>-1.169009921003672</v>
      </c>
      <c r="T360" s="56">
        <f t="shared" si="29"/>
        <v>0.126127965885446</v>
      </c>
    </row>
    <row r="361" spans="1:20" x14ac:dyDescent="0.25">
      <c r="A361">
        <v>0.37644503506271509</v>
      </c>
      <c r="B361">
        <v>1.6536023395019583</v>
      </c>
      <c r="D361">
        <v>0.37193345946677558</v>
      </c>
      <c r="E361">
        <v>-1.7863060327272251</v>
      </c>
      <c r="J361">
        <v>10</v>
      </c>
      <c r="K361">
        <v>0.13096666862111306</v>
      </c>
      <c r="L361">
        <v>14.622782328392034</v>
      </c>
      <c r="M361">
        <v>20</v>
      </c>
      <c r="N361">
        <v>-0.40873840475796896</v>
      </c>
      <c r="O361">
        <v>176.74673263810985</v>
      </c>
      <c r="P361" s="1">
        <f t="shared" si="25"/>
        <v>6.8346255345179241</v>
      </c>
      <c r="Q361" s="1">
        <f t="shared" si="26"/>
        <v>1.0251938301776886</v>
      </c>
      <c r="R361" s="1">
        <f t="shared" si="27"/>
        <v>1.0125185579423661</v>
      </c>
      <c r="S361" s="1">
        <f t="shared" si="28"/>
        <v>0.53303227792275465</v>
      </c>
      <c r="T361" s="56">
        <f t="shared" si="29"/>
        <v>0.70089153970071716</v>
      </c>
    </row>
    <row r="362" spans="1:20" x14ac:dyDescent="0.25">
      <c r="A362">
        <v>0.37649016442380856</v>
      </c>
      <c r="B362">
        <v>-1.9360777514521033</v>
      </c>
      <c r="D362">
        <v>0.37246721146541339</v>
      </c>
      <c r="E362">
        <v>-1.9760107113597769</v>
      </c>
      <c r="J362">
        <v>10</v>
      </c>
      <c r="K362">
        <v>-0.64566131641186075</v>
      </c>
      <c r="L362">
        <v>9.3321758800637209</v>
      </c>
      <c r="M362">
        <v>20</v>
      </c>
      <c r="N362">
        <v>-0.73306665967720619</v>
      </c>
      <c r="O362">
        <v>293.30688618439814</v>
      </c>
      <c r="P362" s="1">
        <f t="shared" si="25"/>
        <v>10.808537930873639</v>
      </c>
      <c r="Q362" s="1">
        <f t="shared" si="26"/>
        <v>1.6212806896310459</v>
      </c>
      <c r="R362" s="1">
        <f t="shared" si="27"/>
        <v>1.2732952091447787</v>
      </c>
      <c r="S362" s="1">
        <f t="shared" si="28"/>
        <v>6.8644995000061382E-2</v>
      </c>
      <c r="T362" s="56">
        <f t="shared" si="29"/>
        <v>0.52711995802677081</v>
      </c>
    </row>
    <row r="363" spans="1:20" x14ac:dyDescent="0.25">
      <c r="A363">
        <v>0.3789634022908801</v>
      </c>
      <c r="B363">
        <v>-0.60766069509554654</v>
      </c>
      <c r="D363">
        <v>0.3727291568298633</v>
      </c>
      <c r="E363">
        <v>3.0682947419791162</v>
      </c>
      <c r="J363">
        <v>10</v>
      </c>
      <c r="K363">
        <v>0.38304347071971279</v>
      </c>
      <c r="L363">
        <v>18.131760317542643</v>
      </c>
      <c r="M363">
        <v>20</v>
      </c>
      <c r="N363">
        <v>-0.40913267071118753</v>
      </c>
      <c r="O363">
        <v>151.6958497614292</v>
      </c>
      <c r="P363" s="1">
        <f t="shared" si="25"/>
        <v>6.0652717885347087</v>
      </c>
      <c r="Q363" s="1">
        <f t="shared" si="26"/>
        <v>0.90979076828020622</v>
      </c>
      <c r="R363" s="1">
        <f t="shared" si="27"/>
        <v>0.9538295278928024</v>
      </c>
      <c r="S363" s="1">
        <f t="shared" si="28"/>
        <v>0.83052172140337666</v>
      </c>
      <c r="T363" s="56">
        <f t="shared" si="29"/>
        <v>0.79336511736550741</v>
      </c>
    </row>
    <row r="364" spans="1:20" x14ac:dyDescent="0.25">
      <c r="A364">
        <v>0.38014440692559381</v>
      </c>
      <c r="B364">
        <v>-0.51914980758738238</v>
      </c>
      <c r="D364">
        <v>0.37431492387745591</v>
      </c>
      <c r="E364">
        <v>-0.2810661533203529</v>
      </c>
      <c r="J364">
        <v>10</v>
      </c>
      <c r="K364">
        <v>-0.14267038750404026</v>
      </c>
      <c r="L364">
        <v>18.191585834341563</v>
      </c>
      <c r="M364">
        <v>20</v>
      </c>
      <c r="N364">
        <v>-7.8365363833654555E-2</v>
      </c>
      <c r="O364">
        <v>161.96272088648382</v>
      </c>
      <c r="P364" s="1">
        <f t="shared" si="25"/>
        <v>6.4340823828866212</v>
      </c>
      <c r="Q364" s="1">
        <f t="shared" si="26"/>
        <v>0.96511235743299317</v>
      </c>
      <c r="R364" s="1">
        <f t="shared" si="27"/>
        <v>0.98240132198251506</v>
      </c>
      <c r="S364" s="1">
        <f t="shared" si="28"/>
        <v>-6.5456979985141162E-2</v>
      </c>
      <c r="T364" s="56">
        <f t="shared" si="29"/>
        <v>0.474137641556863</v>
      </c>
    </row>
    <row r="365" spans="1:20" x14ac:dyDescent="0.25">
      <c r="A365">
        <v>0.38095400997099549</v>
      </c>
      <c r="B365">
        <v>-1.4022771210875362</v>
      </c>
      <c r="D365">
        <v>0.37527829812999913</v>
      </c>
      <c r="E365">
        <v>2.6392406164177373</v>
      </c>
      <c r="J365">
        <v>10</v>
      </c>
      <c r="K365">
        <v>-9.0125695351161994E-2</v>
      </c>
      <c r="L365">
        <v>5.34741317329037</v>
      </c>
      <c r="M365">
        <v>20</v>
      </c>
      <c r="N365">
        <v>-0.37774794122924504</v>
      </c>
      <c r="O365">
        <v>178.43291558853338</v>
      </c>
      <c r="P365" s="1">
        <f t="shared" si="25"/>
        <v>6.5635831700651339</v>
      </c>
      <c r="Q365" s="1">
        <f t="shared" si="26"/>
        <v>0.98453747550977</v>
      </c>
      <c r="R365" s="1">
        <f t="shared" si="27"/>
        <v>0.99223861823140602</v>
      </c>
      <c r="S365" s="1">
        <f t="shared" si="28"/>
        <v>0.28987205354972884</v>
      </c>
      <c r="T365" s="56">
        <f t="shared" si="29"/>
        <v>0.6129750174282218</v>
      </c>
    </row>
    <row r="366" spans="1:20" x14ac:dyDescent="0.25">
      <c r="A366">
        <v>0.38134400150059033</v>
      </c>
      <c r="B366">
        <v>0.61587002164742444</v>
      </c>
      <c r="D366">
        <v>0.37563215540282713</v>
      </c>
      <c r="E366">
        <v>-1.280264317529145</v>
      </c>
      <c r="J366">
        <v>10</v>
      </c>
      <c r="K366">
        <v>0.70467763180204201</v>
      </c>
      <c r="L366">
        <v>6.4850980762402513</v>
      </c>
      <c r="M366">
        <v>20</v>
      </c>
      <c r="N366">
        <v>-1.2116842106024706</v>
      </c>
      <c r="O366">
        <v>316.52423948520124</v>
      </c>
      <c r="P366" s="1">
        <f t="shared" si="25"/>
        <v>11.536047770051482</v>
      </c>
      <c r="Q366" s="1">
        <f t="shared" si="26"/>
        <v>1.7304071655077222</v>
      </c>
      <c r="R366" s="1">
        <f t="shared" si="27"/>
        <v>1.3154494157920791</v>
      </c>
      <c r="S366" s="1">
        <f t="shared" si="28"/>
        <v>1.4568115044169925</v>
      </c>
      <c r="T366" s="56">
        <f t="shared" si="29"/>
        <v>0.92185386061424834</v>
      </c>
    </row>
    <row r="367" spans="1:20" x14ac:dyDescent="0.25">
      <c r="A367">
        <v>0.38208605406971108</v>
      </c>
      <c r="B367">
        <v>0.82542328527779318</v>
      </c>
      <c r="D367">
        <v>0.37602123175277302</v>
      </c>
      <c r="E367">
        <v>5.0170121960491088</v>
      </c>
      <c r="J367">
        <v>10</v>
      </c>
      <c r="K367">
        <v>-0.88411240994901164</v>
      </c>
      <c r="L367">
        <v>12.412169725015422</v>
      </c>
      <c r="M367">
        <v>20</v>
      </c>
      <c r="N367">
        <v>1.5552365618987096</v>
      </c>
      <c r="O367">
        <v>239.66454780621012</v>
      </c>
      <c r="P367" s="1">
        <f t="shared" si="25"/>
        <v>9.0027399118294831</v>
      </c>
      <c r="Q367" s="1">
        <f t="shared" si="26"/>
        <v>1.3504109867744225</v>
      </c>
      <c r="R367" s="1">
        <f t="shared" si="27"/>
        <v>1.1620718509517485</v>
      </c>
      <c r="S367" s="1">
        <f t="shared" si="28"/>
        <v>-2.0991378199634299</v>
      </c>
      <c r="T367" s="56">
        <f t="shared" si="29"/>
        <v>2.2472531396423048E-2</v>
      </c>
    </row>
    <row r="368" spans="1:20" x14ac:dyDescent="0.25">
      <c r="A368">
        <v>0.38251674631726829</v>
      </c>
      <c r="B368">
        <v>1.7856245904113166</v>
      </c>
      <c r="D368">
        <v>0.37751607405713494</v>
      </c>
      <c r="E368">
        <v>4.5044800992855016</v>
      </c>
      <c r="J368">
        <v>10</v>
      </c>
      <c r="K368">
        <v>-4.3833097151946276E-3</v>
      </c>
      <c r="L368">
        <v>7.7258543733915319</v>
      </c>
      <c r="M368">
        <v>20</v>
      </c>
      <c r="N368">
        <v>0.56567523301964684</v>
      </c>
      <c r="O368">
        <v>279.25600095093841</v>
      </c>
      <c r="P368" s="1">
        <f t="shared" si="25"/>
        <v>10.249351975868928</v>
      </c>
      <c r="Q368" s="1">
        <f t="shared" si="26"/>
        <v>1.5374027963803392</v>
      </c>
      <c r="R368" s="1">
        <f t="shared" si="27"/>
        <v>1.2399204798616479</v>
      </c>
      <c r="S368" s="1">
        <f t="shared" si="28"/>
        <v>-0.45975411487553575</v>
      </c>
      <c r="T368" s="56">
        <f t="shared" si="29"/>
        <v>0.32462137663481389</v>
      </c>
    </row>
    <row r="369" spans="1:20" x14ac:dyDescent="0.25">
      <c r="A369">
        <v>0.38389958977012051</v>
      </c>
      <c r="B369">
        <v>-0.8328674994118046</v>
      </c>
      <c r="D369">
        <v>0.3775614160818247</v>
      </c>
      <c r="E369">
        <v>3.235005120814094</v>
      </c>
      <c r="J369">
        <v>10</v>
      </c>
      <c r="K369">
        <v>-0.31402623790199868</v>
      </c>
      <c r="L369">
        <v>6.630644708872838</v>
      </c>
      <c r="M369">
        <v>20</v>
      </c>
      <c r="N369">
        <v>0.5068562779797503</v>
      </c>
      <c r="O369">
        <v>200.35831691288351</v>
      </c>
      <c r="P369" s="1">
        <f t="shared" si="25"/>
        <v>7.392462915062727</v>
      </c>
      <c r="Q369" s="1">
        <f t="shared" si="26"/>
        <v>1.108869437259409</v>
      </c>
      <c r="R369" s="1">
        <f t="shared" si="27"/>
        <v>1.0530286972629992</v>
      </c>
      <c r="S369" s="1">
        <f t="shared" si="28"/>
        <v>-0.77954429733526009</v>
      </c>
      <c r="T369" s="56">
        <f t="shared" si="29"/>
        <v>0.22109939294162845</v>
      </c>
    </row>
    <row r="370" spans="1:20" x14ac:dyDescent="0.25">
      <c r="A370">
        <v>0.38454448061809621</v>
      </c>
      <c r="B370">
        <v>0.7215112418634817</v>
      </c>
      <c r="D370">
        <v>0.37851387590312136</v>
      </c>
      <c r="E370">
        <v>2.9405266525373008</v>
      </c>
      <c r="J370">
        <v>10</v>
      </c>
      <c r="K370">
        <v>-0.11723830084520159</v>
      </c>
      <c r="L370">
        <v>11.89041129173604</v>
      </c>
      <c r="M370">
        <v>20</v>
      </c>
      <c r="N370">
        <v>-0.40180379187404469</v>
      </c>
      <c r="O370">
        <v>174.83618653128477</v>
      </c>
      <c r="P370" s="1">
        <f t="shared" si="25"/>
        <v>6.6688070651078855</v>
      </c>
      <c r="Q370" s="1">
        <f t="shared" si="26"/>
        <v>1.0003210597661827</v>
      </c>
      <c r="R370" s="1">
        <f t="shared" si="27"/>
        <v>1.0001605170002377</v>
      </c>
      <c r="S370" s="1">
        <f t="shared" si="28"/>
        <v>0.28451982076070642</v>
      </c>
      <c r="T370" s="56">
        <f t="shared" si="29"/>
        <v>0.61094712581422017</v>
      </c>
    </row>
    <row r="371" spans="1:20" x14ac:dyDescent="0.25">
      <c r="A371">
        <v>0.38649384417423449</v>
      </c>
      <c r="B371">
        <v>1.7822458175942302</v>
      </c>
      <c r="D371">
        <v>0.37860920996582414</v>
      </c>
      <c r="E371">
        <v>3.6710373444748257</v>
      </c>
      <c r="J371">
        <v>10</v>
      </c>
      <c r="K371">
        <v>-2.2877202354720794E-2</v>
      </c>
      <c r="L371">
        <v>5.7620350628258734</v>
      </c>
      <c r="M371">
        <v>20</v>
      </c>
      <c r="N371">
        <v>0.37359847851803352</v>
      </c>
      <c r="O371">
        <v>202.53828470475253</v>
      </c>
      <c r="P371" s="1">
        <f t="shared" si="25"/>
        <v>7.4392971345563712</v>
      </c>
      <c r="Q371" s="1">
        <f t="shared" si="26"/>
        <v>1.1158945701834557</v>
      </c>
      <c r="R371" s="1">
        <f t="shared" si="27"/>
        <v>1.0563591104276309</v>
      </c>
      <c r="S371" s="1">
        <f t="shared" si="28"/>
        <v>-0.37532282058158678</v>
      </c>
      <c r="T371" s="56">
        <f t="shared" si="29"/>
        <v>0.35512432605315514</v>
      </c>
    </row>
    <row r="372" spans="1:20" x14ac:dyDescent="0.25">
      <c r="A372">
        <v>0.38695021890509773</v>
      </c>
      <c r="B372">
        <v>0.7789867595420219</v>
      </c>
      <c r="D372">
        <v>0.38014332944694518</v>
      </c>
      <c r="E372">
        <v>-0.37022278206677584</v>
      </c>
      <c r="J372">
        <v>10</v>
      </c>
      <c r="K372">
        <v>0.8037100087676663</v>
      </c>
      <c r="L372">
        <v>9.3706303510220064</v>
      </c>
      <c r="M372">
        <v>20</v>
      </c>
      <c r="N372">
        <v>-4.8798827947393875E-2</v>
      </c>
      <c r="O372">
        <v>92.710997386287886</v>
      </c>
      <c r="P372" s="1">
        <f t="shared" si="25"/>
        <v>3.645772419189639</v>
      </c>
      <c r="Q372" s="1">
        <f t="shared" si="26"/>
        <v>0.54686586287844585</v>
      </c>
      <c r="R372" s="1">
        <f t="shared" si="27"/>
        <v>0.73950379503992125</v>
      </c>
      <c r="S372" s="1">
        <f t="shared" si="28"/>
        <v>1.1528119834314554</v>
      </c>
      <c r="T372" s="56">
        <f t="shared" si="29"/>
        <v>0.8706326731983679</v>
      </c>
    </row>
    <row r="373" spans="1:20" x14ac:dyDescent="0.25">
      <c r="A373">
        <v>0.3884447246237831</v>
      </c>
      <c r="B373">
        <v>1.2116311154386494</v>
      </c>
      <c r="D373">
        <v>0.38048614913586043</v>
      </c>
      <c r="E373">
        <v>-1.6775486562892183</v>
      </c>
      <c r="J373">
        <v>10</v>
      </c>
      <c r="K373">
        <v>-7.1461045081377961E-2</v>
      </c>
      <c r="L373">
        <v>9.0629378033804571</v>
      </c>
      <c r="M373">
        <v>20</v>
      </c>
      <c r="N373">
        <v>-0.26113457693099917</v>
      </c>
      <c r="O373">
        <v>259.91282150180621</v>
      </c>
      <c r="P373" s="1">
        <f t="shared" si="25"/>
        <v>9.6062771180423816</v>
      </c>
      <c r="Q373" s="1">
        <f t="shared" si="26"/>
        <v>1.4409415677063573</v>
      </c>
      <c r="R373" s="1">
        <f t="shared" si="27"/>
        <v>1.2003922557674043</v>
      </c>
      <c r="S373" s="1">
        <f t="shared" si="28"/>
        <v>0.15800962638530516</v>
      </c>
      <c r="T373" s="56">
        <f t="shared" si="29"/>
        <v>0.56220836843970035</v>
      </c>
    </row>
    <row r="374" spans="1:20" x14ac:dyDescent="0.25">
      <c r="A374">
        <v>0.38866307057351435</v>
      </c>
      <c r="B374">
        <v>0.53797521104570478</v>
      </c>
      <c r="D374">
        <v>0.3812378523553781</v>
      </c>
      <c r="E374">
        <v>-4.5681797507768351</v>
      </c>
      <c r="J374">
        <v>10</v>
      </c>
      <c r="K374">
        <v>-1.4079319043958094E-2</v>
      </c>
      <c r="L374">
        <v>9.3453937801744935</v>
      </c>
      <c r="M374">
        <v>20</v>
      </c>
      <c r="N374">
        <v>-0.20739588876494963</v>
      </c>
      <c r="O374">
        <v>166.24045083290093</v>
      </c>
      <c r="P374" s="1">
        <f t="shared" si="25"/>
        <v>6.270923021895551</v>
      </c>
      <c r="Q374" s="1">
        <f t="shared" si="26"/>
        <v>0.9406384532843326</v>
      </c>
      <c r="R374" s="1">
        <f t="shared" si="27"/>
        <v>0.96986517273502126</v>
      </c>
      <c r="S374" s="1">
        <f t="shared" si="28"/>
        <v>0.19932313805622953</v>
      </c>
      <c r="T374" s="56">
        <f t="shared" si="29"/>
        <v>0.57827479793628567</v>
      </c>
    </row>
    <row r="375" spans="1:20" x14ac:dyDescent="0.25">
      <c r="A375">
        <v>0.38886301371252563</v>
      </c>
      <c r="B375">
        <v>0.34025447348540183</v>
      </c>
      <c r="D375">
        <v>0.38296268126216571</v>
      </c>
      <c r="E375">
        <v>2.7021731023069151</v>
      </c>
      <c r="J375">
        <v>10</v>
      </c>
      <c r="K375">
        <v>0.10070141343021533</v>
      </c>
      <c r="L375">
        <v>4.856551723254082</v>
      </c>
      <c r="M375">
        <v>20</v>
      </c>
      <c r="N375">
        <v>-0.42458629309294338</v>
      </c>
      <c r="O375">
        <v>232.01793181523129</v>
      </c>
      <c r="P375" s="1">
        <f t="shared" si="25"/>
        <v>8.459802983517335</v>
      </c>
      <c r="Q375" s="1">
        <f t="shared" si="26"/>
        <v>1.2689704475276002</v>
      </c>
      <c r="R375" s="1">
        <f t="shared" si="27"/>
        <v>1.1264858843001986</v>
      </c>
      <c r="S375" s="1">
        <f t="shared" si="28"/>
        <v>0.46630651466128281</v>
      </c>
      <c r="T375" s="56">
        <f t="shared" si="29"/>
        <v>0.67769814414383722</v>
      </c>
    </row>
    <row r="376" spans="1:20" x14ac:dyDescent="0.25">
      <c r="A376">
        <v>0.393424786128451</v>
      </c>
      <c r="B376">
        <v>0.16874992070370354</v>
      </c>
      <c r="D376">
        <v>0.38460463432003589</v>
      </c>
      <c r="E376">
        <v>-1.7854943087058928</v>
      </c>
      <c r="J376">
        <v>10</v>
      </c>
      <c r="K376">
        <v>-0.2033974624282564</v>
      </c>
      <c r="L376">
        <v>3.4142640676691092</v>
      </c>
      <c r="M376">
        <v>20</v>
      </c>
      <c r="N376">
        <v>-0.41136866343549627</v>
      </c>
      <c r="O376">
        <v>146.19776326058775</v>
      </c>
      <c r="P376" s="1">
        <f t="shared" si="25"/>
        <v>5.3432866902948879</v>
      </c>
      <c r="Q376" s="1">
        <f t="shared" si="26"/>
        <v>0.80149300354423314</v>
      </c>
      <c r="R376" s="1">
        <f t="shared" si="27"/>
        <v>0.89526141631605749</v>
      </c>
      <c r="S376" s="1">
        <f t="shared" si="28"/>
        <v>0.23230220493923198</v>
      </c>
      <c r="T376" s="56">
        <f t="shared" si="29"/>
        <v>0.59100355989188524</v>
      </c>
    </row>
    <row r="377" spans="1:20" x14ac:dyDescent="0.25">
      <c r="A377">
        <v>0.39364770715691288</v>
      </c>
      <c r="B377">
        <v>2.5361259758938104E-2</v>
      </c>
      <c r="D377">
        <v>0.38644720265994126</v>
      </c>
      <c r="E377">
        <v>4.2693256966686022</v>
      </c>
      <c r="J377">
        <v>10</v>
      </c>
      <c r="K377">
        <v>0.25062036002054811</v>
      </c>
      <c r="L377">
        <v>2.0573472653152258</v>
      </c>
      <c r="M377">
        <v>20</v>
      </c>
      <c r="N377">
        <v>0.24796730372145248</v>
      </c>
      <c r="O377">
        <v>151.69921705263627</v>
      </c>
      <c r="P377" s="1">
        <f t="shared" si="25"/>
        <v>5.4913058684982676</v>
      </c>
      <c r="Q377" s="1">
        <f t="shared" si="26"/>
        <v>0.82369588027474017</v>
      </c>
      <c r="R377" s="1">
        <f t="shared" si="27"/>
        <v>0.90757692802028644</v>
      </c>
      <c r="S377" s="1">
        <f t="shared" si="28"/>
        <v>2.9232302157380561E-3</v>
      </c>
      <c r="T377" s="56">
        <f t="shared" si="29"/>
        <v>0.50115583445917844</v>
      </c>
    </row>
    <row r="378" spans="1:20" x14ac:dyDescent="0.25">
      <c r="A378">
        <v>0.39455574471513954</v>
      </c>
      <c r="B378">
        <v>0.32005800676415674</v>
      </c>
      <c r="D378">
        <v>0.38753444830302397</v>
      </c>
      <c r="E378">
        <v>-2.739924869956667</v>
      </c>
      <c r="J378">
        <v>10</v>
      </c>
      <c r="K378">
        <v>-4.8004267227952369E-2</v>
      </c>
      <c r="L378">
        <v>5.3014885367867652</v>
      </c>
      <c r="M378">
        <v>20</v>
      </c>
      <c r="N378">
        <v>-0.47766281227268337</v>
      </c>
      <c r="O378">
        <v>139.73844076371927</v>
      </c>
      <c r="P378" s="1">
        <f t="shared" si="25"/>
        <v>5.1799974750180722</v>
      </c>
      <c r="Q378" s="1">
        <f t="shared" si="26"/>
        <v>0.77699962125271083</v>
      </c>
      <c r="R378" s="1">
        <f t="shared" si="27"/>
        <v>0.8814758200045596</v>
      </c>
      <c r="S378" s="1">
        <f t="shared" si="28"/>
        <v>0.48743089179974158</v>
      </c>
      <c r="T378" s="56">
        <f t="shared" si="29"/>
        <v>0.68512617740023818</v>
      </c>
    </row>
    <row r="379" spans="1:20" x14ac:dyDescent="0.25">
      <c r="A379">
        <v>0.39529255833422716</v>
      </c>
      <c r="B379">
        <v>1.0046346687886398</v>
      </c>
      <c r="D379">
        <v>0.388562371365332</v>
      </c>
      <c r="E379">
        <v>-1.1861691325520951</v>
      </c>
      <c r="J379">
        <v>10</v>
      </c>
      <c r="K379">
        <v>0.35231596484663896</v>
      </c>
      <c r="L379">
        <v>5.8229784592916589</v>
      </c>
      <c r="M379">
        <v>20</v>
      </c>
      <c r="N379">
        <v>-5.3917293598715332E-2</v>
      </c>
      <c r="O379">
        <v>235.3488176263055</v>
      </c>
      <c r="P379" s="1">
        <f t="shared" si="25"/>
        <v>8.6132784316284692</v>
      </c>
      <c r="Q379" s="1">
        <f t="shared" si="26"/>
        <v>1.2919917647442702</v>
      </c>
      <c r="R379" s="1">
        <f t="shared" si="27"/>
        <v>1.1366581565027676</v>
      </c>
      <c r="S379" s="1">
        <f t="shared" si="28"/>
        <v>0.35739263922166309</v>
      </c>
      <c r="T379" s="56">
        <f t="shared" si="29"/>
        <v>0.63826114396327249</v>
      </c>
    </row>
    <row r="380" spans="1:20" x14ac:dyDescent="0.25">
      <c r="A380">
        <v>0.39579470833370001</v>
      </c>
      <c r="B380">
        <v>0.23150960259954445</v>
      </c>
      <c r="D380">
        <v>0.38897908454763508</v>
      </c>
      <c r="E380">
        <v>1.6172834841654549</v>
      </c>
      <c r="J380">
        <v>10</v>
      </c>
      <c r="K380">
        <v>0.67248231516714441</v>
      </c>
      <c r="L380">
        <v>6.7840899211966716</v>
      </c>
      <c r="M380">
        <v>20</v>
      </c>
      <c r="N380">
        <v>0.73884853804884187</v>
      </c>
      <c r="O380">
        <v>337.92188392453579</v>
      </c>
      <c r="P380" s="1">
        <f t="shared" si="25"/>
        <v>12.310927637347588</v>
      </c>
      <c r="Q380" s="1">
        <f t="shared" si="26"/>
        <v>1.846639145602138</v>
      </c>
      <c r="R380" s="1">
        <f t="shared" si="27"/>
        <v>1.3589110146003447</v>
      </c>
      <c r="S380" s="1">
        <f t="shared" si="28"/>
        <v>-4.8837798920347814E-2</v>
      </c>
      <c r="T380" s="56">
        <f t="shared" si="29"/>
        <v>0.48069763299818508</v>
      </c>
    </row>
    <row r="381" spans="1:20" x14ac:dyDescent="0.25">
      <c r="A381">
        <v>0.39768473028086626</v>
      </c>
      <c r="B381">
        <v>-0.50120092964789364</v>
      </c>
      <c r="D381">
        <v>0.39120898444925789</v>
      </c>
      <c r="E381">
        <v>-2.9890150051414821</v>
      </c>
      <c r="J381">
        <v>10</v>
      </c>
      <c r="K381">
        <v>-0.20503853193076793</v>
      </c>
      <c r="L381">
        <v>8.265020023915298</v>
      </c>
      <c r="M381">
        <v>20</v>
      </c>
      <c r="N381">
        <v>0.24377771637773549</v>
      </c>
      <c r="O381">
        <v>170.22961869967128</v>
      </c>
      <c r="P381" s="1">
        <f t="shared" si="25"/>
        <v>6.3748085258423774</v>
      </c>
      <c r="Q381" s="1">
        <f t="shared" si="26"/>
        <v>0.95622127887635655</v>
      </c>
      <c r="R381" s="1">
        <f t="shared" si="27"/>
        <v>0.97786567527260948</v>
      </c>
      <c r="S381" s="1">
        <f t="shared" si="28"/>
        <v>-0.45897535792263328</v>
      </c>
      <c r="T381" s="56">
        <f t="shared" si="29"/>
        <v>0.32489753303071633</v>
      </c>
    </row>
    <row r="382" spans="1:20" x14ac:dyDescent="0.25">
      <c r="A382">
        <v>0.39806507108456612</v>
      </c>
      <c r="B382">
        <v>1.5908790373941883</v>
      </c>
      <c r="D382">
        <v>0.39125824149823818</v>
      </c>
      <c r="E382">
        <v>6.9488062274558615</v>
      </c>
      <c r="J382">
        <v>10</v>
      </c>
      <c r="K382">
        <v>-0.1163621163868811</v>
      </c>
      <c r="L382">
        <v>12.063784783589661</v>
      </c>
      <c r="M382">
        <v>20</v>
      </c>
      <c r="N382">
        <v>0.96432108534827421</v>
      </c>
      <c r="O382">
        <v>163.21341547906104</v>
      </c>
      <c r="P382" s="1">
        <f t="shared" si="25"/>
        <v>6.2599000093803818</v>
      </c>
      <c r="Q382" s="1">
        <f t="shared" si="26"/>
        <v>0.93898500140705721</v>
      </c>
      <c r="R382" s="1">
        <f t="shared" si="27"/>
        <v>0.96901238454782257</v>
      </c>
      <c r="S382" s="1">
        <f t="shared" si="28"/>
        <v>-1.1152418885125421</v>
      </c>
      <c r="T382" s="56">
        <f t="shared" si="29"/>
        <v>0.1371137572463158</v>
      </c>
    </row>
    <row r="383" spans="1:20" x14ac:dyDescent="0.25">
      <c r="A383">
        <v>0.40003602786071257</v>
      </c>
      <c r="B383">
        <v>-0.44152443479106296</v>
      </c>
      <c r="D383">
        <v>0.39472932397478244</v>
      </c>
      <c r="E383">
        <v>0.983176956879106</v>
      </c>
      <c r="J383">
        <v>10</v>
      </c>
      <c r="K383">
        <v>0.3060930566789466</v>
      </c>
      <c r="L383">
        <v>7.7073228084222603</v>
      </c>
      <c r="M383">
        <v>20</v>
      </c>
      <c r="N383">
        <v>-1.518809714298186</v>
      </c>
      <c r="O383">
        <v>262.59580844075231</v>
      </c>
      <c r="P383" s="1">
        <f t="shared" si="25"/>
        <v>9.6536832588990915</v>
      </c>
      <c r="Q383" s="1">
        <f t="shared" si="26"/>
        <v>1.4480524888348636</v>
      </c>
      <c r="R383" s="1">
        <f t="shared" si="27"/>
        <v>1.2033505261705184</v>
      </c>
      <c r="S383" s="1">
        <f t="shared" si="28"/>
        <v>1.5165180313541811</v>
      </c>
      <c r="T383" s="56">
        <f t="shared" si="29"/>
        <v>0.92970086005225361</v>
      </c>
    </row>
    <row r="384" spans="1:20" x14ac:dyDescent="0.25">
      <c r="A384">
        <v>0.40337624394818306</v>
      </c>
      <c r="B384">
        <v>-0.19223307390348054</v>
      </c>
      <c r="D384">
        <v>0.39856986842988096</v>
      </c>
      <c r="E384">
        <v>-1.680734161482178</v>
      </c>
      <c r="J384">
        <v>10</v>
      </c>
      <c r="K384">
        <v>0.12040243291266961</v>
      </c>
      <c r="L384">
        <v>3.4149901865788741</v>
      </c>
      <c r="M384">
        <v>20</v>
      </c>
      <c r="N384">
        <v>-0.29696827027692052</v>
      </c>
      <c r="O384">
        <v>173.98041872239912</v>
      </c>
      <c r="P384" s="1">
        <f t="shared" si="25"/>
        <v>6.3355503181777859</v>
      </c>
      <c r="Q384" s="1">
        <f t="shared" si="26"/>
        <v>0.95033254772666786</v>
      </c>
      <c r="R384" s="1">
        <f t="shared" si="27"/>
        <v>0.97485001293874329</v>
      </c>
      <c r="S384" s="1">
        <f t="shared" si="28"/>
        <v>0.42813837785302106</v>
      </c>
      <c r="T384" s="56">
        <f t="shared" si="29"/>
        <v>0.664087123675145</v>
      </c>
    </row>
    <row r="385" spans="1:20" x14ac:dyDescent="0.25">
      <c r="A385">
        <v>0.40351779052150183</v>
      </c>
      <c r="B385">
        <v>-0.54284328143694438</v>
      </c>
      <c r="D385">
        <v>0.3996113310821332</v>
      </c>
      <c r="E385">
        <v>-1.2481943974762544</v>
      </c>
      <c r="J385">
        <v>10</v>
      </c>
      <c r="K385">
        <v>1.8424998415866867E-2</v>
      </c>
      <c r="L385">
        <v>3.7848125159122104</v>
      </c>
      <c r="M385">
        <v>20</v>
      </c>
      <c r="N385">
        <v>-0.86066660628603131</v>
      </c>
      <c r="O385">
        <v>156.2204541600523</v>
      </c>
      <c r="P385" s="1">
        <f t="shared" si="25"/>
        <v>5.7144738098558756</v>
      </c>
      <c r="Q385" s="1">
        <f t="shared" si="26"/>
        <v>0.85717107147838134</v>
      </c>
      <c r="R385" s="1">
        <f t="shared" si="27"/>
        <v>0.92583533712987065</v>
      </c>
      <c r="S385" s="1">
        <f t="shared" si="28"/>
        <v>0.94951182942219503</v>
      </c>
      <c r="T385" s="56">
        <f t="shared" si="29"/>
        <v>0.8247577354130109</v>
      </c>
    </row>
    <row r="386" spans="1:20" x14ac:dyDescent="0.25">
      <c r="A386">
        <v>0.40389508178934486</v>
      </c>
      <c r="B386">
        <v>-2.0065181161044165</v>
      </c>
      <c r="D386">
        <v>0.39967916984999563</v>
      </c>
      <c r="E386">
        <v>0.77242884458428307</v>
      </c>
      <c r="J386">
        <v>10</v>
      </c>
      <c r="K386">
        <v>0.16940816749411169</v>
      </c>
      <c r="L386">
        <v>16.52946099759297</v>
      </c>
      <c r="M386">
        <v>20</v>
      </c>
      <c r="N386">
        <v>0.77747517593707016</v>
      </c>
      <c r="O386">
        <v>289.18907323913083</v>
      </c>
      <c r="P386" s="1">
        <f t="shared" ref="P386:P449" si="30">(L386+O386)/(J386+M386-2)</f>
        <v>10.918519079882994</v>
      </c>
      <c r="Q386" s="1">
        <f t="shared" ref="Q386:Q449" si="31">P386*0.15</f>
        <v>1.637777861982449</v>
      </c>
      <c r="R386" s="1">
        <f t="shared" ref="R386:R449" si="32">SQRT(Q386)</f>
        <v>1.2797569542621947</v>
      </c>
      <c r="S386" s="1">
        <f t="shared" ref="S386:S449" si="33">(K386-N386)/R386</f>
        <v>-0.47514257017147538</v>
      </c>
      <c r="T386" s="56">
        <f t="shared" ref="T386:T449" si="34">_xlfn.T.DIST(S386,28,TRUE)</f>
        <v>0.31918546089920652</v>
      </c>
    </row>
    <row r="387" spans="1:20" x14ac:dyDescent="0.25">
      <c r="A387">
        <v>0.4046050386955905</v>
      </c>
      <c r="B387">
        <v>-0.91409447122714482</v>
      </c>
      <c r="D387">
        <v>0.39989299541629464</v>
      </c>
      <c r="E387">
        <v>2.2668571057238296</v>
      </c>
      <c r="J387">
        <v>10</v>
      </c>
      <c r="K387">
        <v>-0.12832003903895384</v>
      </c>
      <c r="L387">
        <v>11.466459317242988</v>
      </c>
      <c r="M387">
        <v>20</v>
      </c>
      <c r="N387">
        <v>1.3819133607739786</v>
      </c>
      <c r="O387">
        <v>87.683869934496187</v>
      </c>
      <c r="P387" s="1">
        <f t="shared" si="30"/>
        <v>3.5410831875621134</v>
      </c>
      <c r="Q387" s="1">
        <f t="shared" si="31"/>
        <v>0.53116247813431694</v>
      </c>
      <c r="R387" s="1">
        <f t="shared" si="32"/>
        <v>0.72880894487809145</v>
      </c>
      <c r="S387" s="1">
        <f t="shared" si="33"/>
        <v>-2.0721938313552815</v>
      </c>
      <c r="T387" s="56">
        <f t="shared" si="34"/>
        <v>2.3785173718867597E-2</v>
      </c>
    </row>
    <row r="388" spans="1:20" x14ac:dyDescent="0.25">
      <c r="A388">
        <v>0.40491697245647584</v>
      </c>
      <c r="B388">
        <v>3.3014657674357295E-2</v>
      </c>
      <c r="D388">
        <v>0.40046537041356489</v>
      </c>
      <c r="E388">
        <v>5.1099443646762666</v>
      </c>
      <c r="J388">
        <v>10</v>
      </c>
      <c r="K388">
        <v>-0.23133191007218556</v>
      </c>
      <c r="L388">
        <v>7.967444304447131</v>
      </c>
      <c r="M388">
        <v>20</v>
      </c>
      <c r="N388">
        <v>0.24601387963230081</v>
      </c>
      <c r="O388">
        <v>246.07282127629807</v>
      </c>
      <c r="P388" s="1">
        <f t="shared" si="30"/>
        <v>9.0728666278837569</v>
      </c>
      <c r="Q388" s="1">
        <f t="shared" si="31"/>
        <v>1.3609299941825634</v>
      </c>
      <c r="R388" s="1">
        <f t="shared" si="32"/>
        <v>1.1665890425435015</v>
      </c>
      <c r="S388" s="1">
        <f t="shared" si="33"/>
        <v>-0.40918075885895044</v>
      </c>
      <c r="T388" s="56">
        <f t="shared" si="34"/>
        <v>0.34276010044567023</v>
      </c>
    </row>
    <row r="389" spans="1:20" x14ac:dyDescent="0.25">
      <c r="A389">
        <v>0.40529789769615332</v>
      </c>
      <c r="B389">
        <v>-0.12629016055143438</v>
      </c>
      <c r="D389">
        <v>0.40309812586668581</v>
      </c>
      <c r="E389">
        <v>-4.6916845838040899</v>
      </c>
      <c r="J389">
        <v>10</v>
      </c>
      <c r="K389">
        <v>-0.2663995246621198</v>
      </c>
      <c r="L389">
        <v>6.6476461595649976</v>
      </c>
      <c r="M389">
        <v>20</v>
      </c>
      <c r="N389">
        <v>0.26339858663959603</v>
      </c>
      <c r="O389">
        <v>155.8055293892138</v>
      </c>
      <c r="P389" s="1">
        <f t="shared" si="30"/>
        <v>5.8018991267421001</v>
      </c>
      <c r="Q389" s="1">
        <f t="shared" si="31"/>
        <v>0.87028486901131497</v>
      </c>
      <c r="R389" s="1">
        <f t="shared" si="32"/>
        <v>0.9328905986295043</v>
      </c>
      <c r="S389" s="1">
        <f t="shared" si="33"/>
        <v>-0.56791022664397561</v>
      </c>
      <c r="T389" s="56">
        <f t="shared" si="34"/>
        <v>0.28731107925949584</v>
      </c>
    </row>
    <row r="390" spans="1:20" x14ac:dyDescent="0.25">
      <c r="A390">
        <v>0.40597148452481979</v>
      </c>
      <c r="B390">
        <v>-0.3769673639908433</v>
      </c>
      <c r="D390">
        <v>0.40442280483783632</v>
      </c>
      <c r="E390">
        <v>-0.23622010644430702</v>
      </c>
      <c r="J390">
        <v>10</v>
      </c>
      <c r="K390">
        <v>-0.1346373892374686</v>
      </c>
      <c r="L390">
        <v>7.8559887804696942</v>
      </c>
      <c r="M390">
        <v>20</v>
      </c>
      <c r="N390">
        <v>0.38286867379611067</v>
      </c>
      <c r="O390">
        <v>195.75690644697534</v>
      </c>
      <c r="P390" s="1">
        <f t="shared" si="30"/>
        <v>7.2718891152658935</v>
      </c>
      <c r="Q390" s="1">
        <f t="shared" si="31"/>
        <v>1.0907833672898839</v>
      </c>
      <c r="R390" s="1">
        <f t="shared" si="32"/>
        <v>1.0444057483994829</v>
      </c>
      <c r="S390" s="1">
        <f t="shared" si="33"/>
        <v>-0.49550288652340352</v>
      </c>
      <c r="T390" s="56">
        <f t="shared" si="34"/>
        <v>0.31205593722272618</v>
      </c>
    </row>
    <row r="391" spans="1:20" x14ac:dyDescent="0.25">
      <c r="A391">
        <v>0.40598042174226379</v>
      </c>
      <c r="B391">
        <v>0.12875716492999345</v>
      </c>
      <c r="D391">
        <v>0.40743501224160328</v>
      </c>
      <c r="E391">
        <v>-0.98790042443397397</v>
      </c>
      <c r="J391">
        <v>10</v>
      </c>
      <c r="K391">
        <v>-0.11971712865488371</v>
      </c>
      <c r="L391">
        <v>22.216108863951298</v>
      </c>
      <c r="M391">
        <v>20</v>
      </c>
      <c r="N391">
        <v>0.92250484954092826</v>
      </c>
      <c r="O391">
        <v>132.17415402940733</v>
      </c>
      <c r="P391" s="1">
        <f t="shared" si="30"/>
        <v>5.5139379604770937</v>
      </c>
      <c r="Q391" s="1">
        <f t="shared" si="31"/>
        <v>0.82709069407156399</v>
      </c>
      <c r="R391" s="1">
        <f t="shared" si="32"/>
        <v>0.90944526722148811</v>
      </c>
      <c r="S391" s="1">
        <f t="shared" si="33"/>
        <v>-1.1459974731409397</v>
      </c>
      <c r="T391" s="56">
        <f t="shared" si="34"/>
        <v>0.13074815367709561</v>
      </c>
    </row>
    <row r="392" spans="1:20" x14ac:dyDescent="0.25">
      <c r="A392">
        <v>0.40638027261427068</v>
      </c>
      <c r="B392">
        <v>-0.76046944741392508</v>
      </c>
      <c r="D392">
        <v>0.40782792871007234</v>
      </c>
      <c r="E392">
        <v>0.6987120252688328</v>
      </c>
      <c r="J392">
        <v>10</v>
      </c>
      <c r="K392">
        <v>0.11459246707090642</v>
      </c>
      <c r="L392">
        <v>22.178083792837604</v>
      </c>
      <c r="M392">
        <v>20</v>
      </c>
      <c r="N392">
        <v>0.30194473424671742</v>
      </c>
      <c r="O392">
        <v>242.91382758794498</v>
      </c>
      <c r="P392" s="1">
        <f t="shared" si="30"/>
        <v>9.467568263599377</v>
      </c>
      <c r="Q392" s="1">
        <f t="shared" si="31"/>
        <v>1.4201352395399065</v>
      </c>
      <c r="R392" s="1">
        <f t="shared" si="32"/>
        <v>1.1916942726806681</v>
      </c>
      <c r="S392" s="1">
        <f t="shared" si="33"/>
        <v>-0.1572150437161787</v>
      </c>
      <c r="T392" s="56">
        <f t="shared" si="34"/>
        <v>0.43810179304330266</v>
      </c>
    </row>
    <row r="393" spans="1:20" x14ac:dyDescent="0.25">
      <c r="A393">
        <v>0.41378194346729236</v>
      </c>
      <c r="B393">
        <v>-0.55565351431141607</v>
      </c>
      <c r="D393">
        <v>0.40815676759532349</v>
      </c>
      <c r="E393">
        <v>-0.11173984034940077</v>
      </c>
      <c r="J393">
        <v>10</v>
      </c>
      <c r="K393">
        <v>-0.22142125999380369</v>
      </c>
      <c r="L393">
        <v>11.822451938052764</v>
      </c>
      <c r="M393">
        <v>20</v>
      </c>
      <c r="N393">
        <v>-0.71535248821419373</v>
      </c>
      <c r="O393">
        <v>224.25020693339911</v>
      </c>
      <c r="P393" s="1">
        <f t="shared" si="30"/>
        <v>8.4311663882661385</v>
      </c>
      <c r="Q393" s="1">
        <f t="shared" si="31"/>
        <v>1.2646749582399208</v>
      </c>
      <c r="R393" s="1">
        <f t="shared" si="32"/>
        <v>1.124577679949198</v>
      </c>
      <c r="S393" s="1">
        <f t="shared" si="33"/>
        <v>0.43921485996654586</v>
      </c>
      <c r="T393" s="56">
        <f t="shared" si="34"/>
        <v>0.66806156504975744</v>
      </c>
    </row>
    <row r="394" spans="1:20" x14ac:dyDescent="0.25">
      <c r="A394">
        <v>0.41616685878477289</v>
      </c>
      <c r="B394">
        <v>0.67235419010103215</v>
      </c>
      <c r="D394">
        <v>0.40845835680025222</v>
      </c>
      <c r="E394">
        <v>2.7918788384795334</v>
      </c>
      <c r="J394">
        <v>10</v>
      </c>
      <c r="K394">
        <v>6.1880882640252821E-3</v>
      </c>
      <c r="L394">
        <v>3.3249666987877111</v>
      </c>
      <c r="M394">
        <v>20</v>
      </c>
      <c r="N394">
        <v>0.50241294161423866</v>
      </c>
      <c r="O394">
        <v>341.11969710243972</v>
      </c>
      <c r="P394" s="1">
        <f t="shared" si="30"/>
        <v>12.301595135758122</v>
      </c>
      <c r="Q394" s="1">
        <f t="shared" si="31"/>
        <v>1.8452392703637182</v>
      </c>
      <c r="R394" s="1">
        <f t="shared" si="32"/>
        <v>1.3583958445032576</v>
      </c>
      <c r="S394" s="1">
        <f t="shared" si="33"/>
        <v>-0.36530209905911076</v>
      </c>
      <c r="T394" s="56">
        <f t="shared" si="34"/>
        <v>0.35881550214438745</v>
      </c>
    </row>
    <row r="395" spans="1:20" x14ac:dyDescent="0.25">
      <c r="A395">
        <v>0.41618458107003187</v>
      </c>
      <c r="B395">
        <v>0.841773726278916</v>
      </c>
      <c r="D395">
        <v>0.40896380556723266</v>
      </c>
      <c r="E395">
        <v>9.1225895141633373</v>
      </c>
      <c r="J395">
        <v>10</v>
      </c>
      <c r="K395">
        <v>-2.6353177418059204E-2</v>
      </c>
      <c r="L395">
        <v>5.5773143400070149</v>
      </c>
      <c r="M395">
        <v>20</v>
      </c>
      <c r="N395">
        <v>1.0775883049518598</v>
      </c>
      <c r="O395">
        <v>185.40200919509385</v>
      </c>
      <c r="P395" s="1">
        <f t="shared" si="30"/>
        <v>6.8206901262536022</v>
      </c>
      <c r="Q395" s="1">
        <f t="shared" si="31"/>
        <v>1.0231035189380402</v>
      </c>
      <c r="R395" s="1">
        <f t="shared" si="32"/>
        <v>1.0114857976946785</v>
      </c>
      <c r="S395" s="1">
        <f t="shared" si="33"/>
        <v>-1.09140581596495</v>
      </c>
      <c r="T395" s="56">
        <f t="shared" si="34"/>
        <v>0.14219858399412189</v>
      </c>
    </row>
    <row r="396" spans="1:20" x14ac:dyDescent="0.25">
      <c r="A396">
        <v>0.41758015159551987</v>
      </c>
      <c r="B396">
        <v>-1.7212187231052667E-3</v>
      </c>
      <c r="D396">
        <v>0.4090929964219383</v>
      </c>
      <c r="E396">
        <v>-0.36261031141293643</v>
      </c>
      <c r="J396">
        <v>10</v>
      </c>
      <c r="K396">
        <v>-0.20120330646022921</v>
      </c>
      <c r="L396">
        <v>4.9164531777018494</v>
      </c>
      <c r="M396">
        <v>20</v>
      </c>
      <c r="N396">
        <v>7.6773343380409642E-2</v>
      </c>
      <c r="O396">
        <v>179.35313615962824</v>
      </c>
      <c r="P396" s="1">
        <f t="shared" si="30"/>
        <v>6.5810567620475027</v>
      </c>
      <c r="Q396" s="1">
        <f t="shared" si="31"/>
        <v>0.98715851430712531</v>
      </c>
      <c r="R396" s="1">
        <f t="shared" si="32"/>
        <v>0.99355851076175949</v>
      </c>
      <c r="S396" s="1">
        <f t="shared" si="33"/>
        <v>-0.27977884224202826</v>
      </c>
      <c r="T396" s="56">
        <f t="shared" si="34"/>
        <v>0.39085183695130465</v>
      </c>
    </row>
    <row r="397" spans="1:20" x14ac:dyDescent="0.25">
      <c r="A397">
        <v>0.41772159008238063</v>
      </c>
      <c r="B397">
        <v>0.31490912988374475</v>
      </c>
      <c r="D397">
        <v>0.40926243802155737</v>
      </c>
      <c r="E397">
        <v>-0.10003464353758318</v>
      </c>
      <c r="J397">
        <v>10</v>
      </c>
      <c r="K397">
        <v>-0.49601692353462568</v>
      </c>
      <c r="L397">
        <v>8.1254504429303758</v>
      </c>
      <c r="M397">
        <v>20</v>
      </c>
      <c r="N397">
        <v>-0.2368237835526088</v>
      </c>
      <c r="O397">
        <v>325.8689165027634</v>
      </c>
      <c r="P397" s="1">
        <f t="shared" si="30"/>
        <v>11.928370248060492</v>
      </c>
      <c r="Q397" s="1">
        <f t="shared" si="31"/>
        <v>1.7892555372090737</v>
      </c>
      <c r="R397" s="1">
        <f t="shared" si="32"/>
        <v>1.3376305682844847</v>
      </c>
      <c r="S397" s="1">
        <f t="shared" si="33"/>
        <v>-0.19377034745432953</v>
      </c>
      <c r="T397" s="56">
        <f t="shared" si="34"/>
        <v>0.42387729919150097</v>
      </c>
    </row>
    <row r="398" spans="1:20" x14ac:dyDescent="0.25">
      <c r="A398">
        <v>0.41794703536158229</v>
      </c>
      <c r="B398">
        <v>-0.42656211007852107</v>
      </c>
      <c r="D398">
        <v>0.41103900854014286</v>
      </c>
      <c r="E398">
        <v>2.5211313607087504</v>
      </c>
      <c r="J398">
        <v>10</v>
      </c>
      <c r="K398">
        <v>-0.16306444194924552</v>
      </c>
      <c r="L398">
        <v>8.1439026492060105</v>
      </c>
      <c r="M398">
        <v>20</v>
      </c>
      <c r="N398">
        <v>-0.58845614944402769</v>
      </c>
      <c r="O398">
        <v>427.71416022719399</v>
      </c>
      <c r="P398" s="1">
        <f t="shared" si="30"/>
        <v>15.566359388442857</v>
      </c>
      <c r="Q398" s="1">
        <f t="shared" si="31"/>
        <v>2.3349539082664283</v>
      </c>
      <c r="R398" s="1">
        <f t="shared" si="32"/>
        <v>1.528055597243251</v>
      </c>
      <c r="S398" s="1">
        <f t="shared" si="33"/>
        <v>0.27838758502126942</v>
      </c>
      <c r="T398" s="56">
        <f t="shared" si="34"/>
        <v>0.60861978119223492</v>
      </c>
    </row>
    <row r="399" spans="1:20" x14ac:dyDescent="0.25">
      <c r="A399">
        <v>0.41860864832869138</v>
      </c>
      <c r="B399">
        <v>0.15054183677420951</v>
      </c>
      <c r="D399">
        <v>0.41114844912139092</v>
      </c>
      <c r="E399">
        <v>-1.7633526601912308</v>
      </c>
      <c r="J399">
        <v>10</v>
      </c>
      <c r="K399">
        <v>-0.22928315956960432</v>
      </c>
      <c r="L399">
        <v>11.370989146157495</v>
      </c>
      <c r="M399">
        <v>20</v>
      </c>
      <c r="N399">
        <v>-0.3327114120565966</v>
      </c>
      <c r="O399">
        <v>115.04907094929061</v>
      </c>
      <c r="P399" s="1">
        <f t="shared" si="30"/>
        <v>4.5150021462660037</v>
      </c>
      <c r="Q399" s="1">
        <f t="shared" si="31"/>
        <v>0.67725032193990053</v>
      </c>
      <c r="R399" s="1">
        <f t="shared" si="32"/>
        <v>0.82295219906134309</v>
      </c>
      <c r="S399" s="1">
        <f t="shared" si="33"/>
        <v>0.12567953838019055</v>
      </c>
      <c r="T399" s="56">
        <f t="shared" si="34"/>
        <v>0.54955816181050066</v>
      </c>
    </row>
    <row r="400" spans="1:20" x14ac:dyDescent="0.25">
      <c r="A400">
        <v>0.41938158315250229</v>
      </c>
      <c r="B400">
        <v>-0.47012690629344434</v>
      </c>
      <c r="D400">
        <v>0.41144885852990887</v>
      </c>
      <c r="E400">
        <v>-0.4295741325677227</v>
      </c>
      <c r="J400">
        <v>10</v>
      </c>
      <c r="K400">
        <v>-0.47055436880327761</v>
      </c>
      <c r="L400">
        <v>7.8815514425130901</v>
      </c>
      <c r="M400">
        <v>20</v>
      </c>
      <c r="N400">
        <v>-1.6670086927206285</v>
      </c>
      <c r="O400">
        <v>192.65049324308649</v>
      </c>
      <c r="P400" s="1">
        <f t="shared" si="30"/>
        <v>7.1618587387714134</v>
      </c>
      <c r="Q400" s="1">
        <f t="shared" si="31"/>
        <v>1.074278810815712</v>
      </c>
      <c r="R400" s="1">
        <f t="shared" si="32"/>
        <v>1.0364742210087581</v>
      </c>
      <c r="S400" s="1">
        <f t="shared" si="33"/>
        <v>1.1543502960960192</v>
      </c>
      <c r="T400" s="56">
        <f t="shared" si="34"/>
        <v>0.87094290300810584</v>
      </c>
    </row>
    <row r="401" spans="1:20" x14ac:dyDescent="0.25">
      <c r="A401">
        <v>0.42236193355081475</v>
      </c>
      <c r="B401">
        <v>0.89394916358287446</v>
      </c>
      <c r="D401">
        <v>0.41246167268578438</v>
      </c>
      <c r="E401">
        <v>1.5159237102579937</v>
      </c>
      <c r="J401">
        <v>10</v>
      </c>
      <c r="K401">
        <v>0.73669195899128681</v>
      </c>
      <c r="L401">
        <v>9.0650909354242497</v>
      </c>
      <c r="M401">
        <v>20</v>
      </c>
      <c r="N401">
        <v>0.24325538220182352</v>
      </c>
      <c r="O401">
        <v>79.912076664993251</v>
      </c>
      <c r="P401" s="1">
        <f t="shared" si="30"/>
        <v>3.1777559857291964</v>
      </c>
      <c r="Q401" s="1">
        <f t="shared" si="31"/>
        <v>0.47666339785937945</v>
      </c>
      <c r="R401" s="1">
        <f t="shared" si="32"/>
        <v>0.69040813861032913</v>
      </c>
      <c r="S401" s="1">
        <f t="shared" si="33"/>
        <v>0.7147027232075579</v>
      </c>
      <c r="T401" s="56">
        <f t="shared" si="34"/>
        <v>0.75964522264307754</v>
      </c>
    </row>
    <row r="402" spans="1:20" x14ac:dyDescent="0.25">
      <c r="A402">
        <v>0.42257021966521968</v>
      </c>
      <c r="B402">
        <v>-0.86767840912216343</v>
      </c>
      <c r="D402">
        <v>0.41830333804044373</v>
      </c>
      <c r="E402">
        <v>7.1973165597682964</v>
      </c>
      <c r="J402">
        <v>10</v>
      </c>
      <c r="K402">
        <v>0.36179687867843313</v>
      </c>
      <c r="L402">
        <v>3.1499760443529037</v>
      </c>
      <c r="M402">
        <v>20</v>
      </c>
      <c r="N402">
        <v>0.86014756220720301</v>
      </c>
      <c r="O402">
        <v>211.4151777189947</v>
      </c>
      <c r="P402" s="1">
        <f t="shared" si="30"/>
        <v>7.6630412058338431</v>
      </c>
      <c r="Q402" s="1">
        <f t="shared" si="31"/>
        <v>1.1494561808750765</v>
      </c>
      <c r="R402" s="1">
        <f t="shared" si="32"/>
        <v>1.0721269425189708</v>
      </c>
      <c r="S402" s="1">
        <f t="shared" si="33"/>
        <v>-0.46482432608016638</v>
      </c>
      <c r="T402" s="56">
        <f t="shared" si="34"/>
        <v>0.32282591044361786</v>
      </c>
    </row>
    <row r="403" spans="1:20" x14ac:dyDescent="0.25">
      <c r="A403">
        <v>0.42505437883222308</v>
      </c>
      <c r="B403">
        <v>-0.59830199461430311</v>
      </c>
      <c r="D403">
        <v>0.41961167343964223</v>
      </c>
      <c r="E403">
        <v>1.7568829628089588</v>
      </c>
      <c r="J403">
        <v>10</v>
      </c>
      <c r="K403">
        <v>0.11202109817531891</v>
      </c>
      <c r="L403">
        <v>7.0300073046477607</v>
      </c>
      <c r="M403">
        <v>20</v>
      </c>
      <c r="N403">
        <v>1.5622255739344837</v>
      </c>
      <c r="O403">
        <v>188.67787332938616</v>
      </c>
      <c r="P403" s="1">
        <f t="shared" si="30"/>
        <v>6.9895671655012119</v>
      </c>
      <c r="Q403" s="1">
        <f t="shared" si="31"/>
        <v>1.0484350748251818</v>
      </c>
      <c r="R403" s="1">
        <f t="shared" si="32"/>
        <v>1.0239311865673306</v>
      </c>
      <c r="S403" s="1">
        <f t="shared" si="33"/>
        <v>-1.4163104852982265</v>
      </c>
      <c r="T403" s="56">
        <f t="shared" si="34"/>
        <v>8.385706058605899E-2</v>
      </c>
    </row>
    <row r="404" spans="1:20" x14ac:dyDescent="0.25">
      <c r="A404">
        <v>0.42533953300741856</v>
      </c>
      <c r="B404">
        <v>0.59364310800447129</v>
      </c>
      <c r="D404">
        <v>0.41982895458400482</v>
      </c>
      <c r="E404">
        <v>-1.8450912227763183</v>
      </c>
      <c r="J404">
        <v>10</v>
      </c>
      <c r="K404">
        <v>5.9219928516540676E-2</v>
      </c>
      <c r="L404">
        <v>6.4083240985385324</v>
      </c>
      <c r="M404">
        <v>20</v>
      </c>
      <c r="N404">
        <v>0.52751738280676364</v>
      </c>
      <c r="O404">
        <v>198.45617208356393</v>
      </c>
      <c r="P404" s="1">
        <f t="shared" si="30"/>
        <v>7.3165891493608024</v>
      </c>
      <c r="Q404" s="1">
        <f t="shared" si="31"/>
        <v>1.0974883724041202</v>
      </c>
      <c r="R404" s="1">
        <f t="shared" si="32"/>
        <v>1.0476107924244196</v>
      </c>
      <c r="S404" s="1">
        <f t="shared" si="33"/>
        <v>-0.44701472882545595</v>
      </c>
      <c r="T404" s="56">
        <f t="shared" si="34"/>
        <v>0.32915158221312424</v>
      </c>
    </row>
    <row r="405" spans="1:20" x14ac:dyDescent="0.25">
      <c r="A405">
        <v>0.4266930514679288</v>
      </c>
      <c r="B405">
        <v>0.40936583900474943</v>
      </c>
      <c r="D405">
        <v>0.42310229098944041</v>
      </c>
      <c r="E405">
        <v>2.3582545020417456</v>
      </c>
      <c r="J405">
        <v>10</v>
      </c>
      <c r="K405">
        <v>0.71571957960259169</v>
      </c>
      <c r="L405">
        <v>5.1375671367644324</v>
      </c>
      <c r="M405">
        <v>20</v>
      </c>
      <c r="N405">
        <v>-0.11148813769068511</v>
      </c>
      <c r="O405">
        <v>139.04463377029256</v>
      </c>
      <c r="P405" s="1">
        <f t="shared" si="30"/>
        <v>5.1493643181091784</v>
      </c>
      <c r="Q405" s="1">
        <f t="shared" si="31"/>
        <v>0.77240464771637674</v>
      </c>
      <c r="R405" s="1">
        <f t="shared" si="32"/>
        <v>0.87886554586943322</v>
      </c>
      <c r="S405" s="1">
        <f t="shared" si="33"/>
        <v>0.94122214846293351</v>
      </c>
      <c r="T405" s="56">
        <f t="shared" si="34"/>
        <v>0.82267941460894745</v>
      </c>
    </row>
    <row r="406" spans="1:20" x14ac:dyDescent="0.25">
      <c r="A406">
        <v>0.42711096573442731</v>
      </c>
      <c r="B406">
        <v>-0.23292386686080135</v>
      </c>
      <c r="D406">
        <v>0.42379122320628171</v>
      </c>
      <c r="E406">
        <v>3.0997337000826519</v>
      </c>
      <c r="J406">
        <v>10</v>
      </c>
      <c r="K406">
        <v>3.5479615689837374E-2</v>
      </c>
      <c r="L406">
        <v>14.895123489635015</v>
      </c>
      <c r="M406">
        <v>20</v>
      </c>
      <c r="N406">
        <v>0.11918831091861648</v>
      </c>
      <c r="O406">
        <v>144.17352840609141</v>
      </c>
      <c r="P406" s="1">
        <f t="shared" si="30"/>
        <v>5.6810232819902291</v>
      </c>
      <c r="Q406" s="1">
        <f t="shared" si="31"/>
        <v>0.85215349229853432</v>
      </c>
      <c r="R406" s="1">
        <f t="shared" si="32"/>
        <v>0.9231216021188835</v>
      </c>
      <c r="S406" s="1">
        <f t="shared" si="33"/>
        <v>-9.0680030709538895E-2</v>
      </c>
      <c r="T406" s="56">
        <f t="shared" si="34"/>
        <v>0.46419622045435255</v>
      </c>
    </row>
    <row r="407" spans="1:20" x14ac:dyDescent="0.25">
      <c r="A407">
        <v>0.4292115183971702</v>
      </c>
      <c r="B407">
        <v>0.59830199461430311</v>
      </c>
      <c r="D407">
        <v>0.4239324217951439</v>
      </c>
      <c r="E407">
        <v>1.2568882505092915</v>
      </c>
      <c r="J407">
        <v>10</v>
      </c>
      <c r="K407">
        <v>7.067308160912944E-2</v>
      </c>
      <c r="L407">
        <v>5.5989371138935544</v>
      </c>
      <c r="M407">
        <v>20</v>
      </c>
      <c r="N407">
        <v>0.31672783165959117</v>
      </c>
      <c r="O407">
        <v>133.81984940552371</v>
      </c>
      <c r="P407" s="1">
        <f t="shared" si="30"/>
        <v>4.9792423756934738</v>
      </c>
      <c r="Q407" s="1">
        <f t="shared" si="31"/>
        <v>0.74688635635402101</v>
      </c>
      <c r="R407" s="1">
        <f t="shared" si="32"/>
        <v>0.86422587114366178</v>
      </c>
      <c r="S407" s="1">
        <f t="shared" si="33"/>
        <v>-0.28471115973981254</v>
      </c>
      <c r="T407" s="56">
        <f t="shared" si="34"/>
        <v>0.38898032299121554</v>
      </c>
    </row>
    <row r="408" spans="1:20" x14ac:dyDescent="0.25">
      <c r="A408">
        <v>0.4296551730785243</v>
      </c>
      <c r="B408">
        <v>-0.59976628108415753</v>
      </c>
      <c r="D408">
        <v>0.42771776080210255</v>
      </c>
      <c r="E408">
        <v>5.3388096114304062</v>
      </c>
      <c r="J408">
        <v>10</v>
      </c>
      <c r="K408">
        <v>-0.10866438060475048</v>
      </c>
      <c r="L408">
        <v>4.7354697681863662</v>
      </c>
      <c r="M408">
        <v>20</v>
      </c>
      <c r="N408">
        <v>0.43082809156658186</v>
      </c>
      <c r="O408">
        <v>237.64944062863438</v>
      </c>
      <c r="P408" s="1">
        <f t="shared" si="30"/>
        <v>8.6566039427435975</v>
      </c>
      <c r="Q408" s="1">
        <f t="shared" si="31"/>
        <v>1.2984905914115397</v>
      </c>
      <c r="R408" s="1">
        <f t="shared" si="32"/>
        <v>1.1395133133981101</v>
      </c>
      <c r="S408" s="1">
        <f t="shared" si="33"/>
        <v>-0.47344113125148773</v>
      </c>
      <c r="T408" s="56">
        <f t="shared" si="34"/>
        <v>0.31978450568538852</v>
      </c>
    </row>
    <row r="409" spans="1:20" x14ac:dyDescent="0.25">
      <c r="A409">
        <v>0.43094849456281148</v>
      </c>
      <c r="B409">
        <v>-2.247652446385473</v>
      </c>
      <c r="D409">
        <v>0.42894971818880601</v>
      </c>
      <c r="E409">
        <v>1.7373333741943497</v>
      </c>
      <c r="J409">
        <v>10</v>
      </c>
      <c r="K409">
        <v>0.50008225116471294</v>
      </c>
      <c r="L409">
        <v>9.0621113814869112</v>
      </c>
      <c r="M409">
        <v>20</v>
      </c>
      <c r="N409">
        <v>-0.19731584529836255</v>
      </c>
      <c r="O409">
        <v>96.416164257876019</v>
      </c>
      <c r="P409" s="1">
        <f t="shared" si="30"/>
        <v>3.7670812728343903</v>
      </c>
      <c r="Q409" s="1">
        <f t="shared" si="31"/>
        <v>0.56506219092515853</v>
      </c>
      <c r="R409" s="1">
        <f t="shared" si="32"/>
        <v>0.7517061865683683</v>
      </c>
      <c r="S409" s="1">
        <f t="shared" si="33"/>
        <v>0.92775356771610995</v>
      </c>
      <c r="T409" s="56">
        <f t="shared" si="34"/>
        <v>0.81926783680141047</v>
      </c>
    </row>
    <row r="410" spans="1:20" x14ac:dyDescent="0.25">
      <c r="A410">
        <v>0.4311376188574183</v>
      </c>
      <c r="B410">
        <v>-1.2032251106575131</v>
      </c>
      <c r="D410">
        <v>0.43039861167127202</v>
      </c>
      <c r="E410">
        <v>-0.29280204557835532</v>
      </c>
      <c r="J410">
        <v>10</v>
      </c>
      <c r="K410">
        <v>2.5912413548212498E-2</v>
      </c>
      <c r="L410">
        <v>10.536414991241815</v>
      </c>
      <c r="M410">
        <v>20</v>
      </c>
      <c r="N410">
        <v>-0.91716771407845954</v>
      </c>
      <c r="O410">
        <v>107.50201230470833</v>
      </c>
      <c r="P410" s="1">
        <f t="shared" si="30"/>
        <v>4.215658117712505</v>
      </c>
      <c r="Q410" s="1">
        <f t="shared" si="31"/>
        <v>0.63234871765687573</v>
      </c>
      <c r="R410" s="1">
        <f t="shared" si="32"/>
        <v>0.7952035699472656</v>
      </c>
      <c r="S410" s="1">
        <f t="shared" si="33"/>
        <v>1.1859606310484911</v>
      </c>
      <c r="T410" s="56">
        <f t="shared" si="34"/>
        <v>0.87719768801522457</v>
      </c>
    </row>
    <row r="411" spans="1:20" x14ac:dyDescent="0.25">
      <c r="A411">
        <v>0.4319201881947683</v>
      </c>
      <c r="B411">
        <v>0.35113657759211492</v>
      </c>
      <c r="D411">
        <v>0.43158114213577659</v>
      </c>
      <c r="E411">
        <v>2.0872682819117472</v>
      </c>
      <c r="J411">
        <v>10</v>
      </c>
      <c r="K411">
        <v>0.25984286367020104</v>
      </c>
      <c r="L411">
        <v>11.244445743229747</v>
      </c>
      <c r="M411">
        <v>20</v>
      </c>
      <c r="N411">
        <v>-1.0708633942613233</v>
      </c>
      <c r="O411">
        <v>169.10215330845955</v>
      </c>
      <c r="P411" s="1">
        <f t="shared" si="30"/>
        <v>6.4409499661317602</v>
      </c>
      <c r="Q411" s="1">
        <f t="shared" si="31"/>
        <v>0.96614249491976401</v>
      </c>
      <c r="R411" s="1">
        <f t="shared" si="32"/>
        <v>0.98292547780580197</v>
      </c>
      <c r="S411" s="1">
        <f t="shared" si="33"/>
        <v>1.3538221238318882</v>
      </c>
      <c r="T411" s="56">
        <f t="shared" si="34"/>
        <v>0.90668964084499748</v>
      </c>
    </row>
    <row r="412" spans="1:20" x14ac:dyDescent="0.25">
      <c r="A412">
        <v>0.43345078431649731</v>
      </c>
      <c r="B412">
        <v>1.3884573490940966E-2</v>
      </c>
      <c r="D412">
        <v>0.43202345835204459</v>
      </c>
      <c r="E412">
        <v>3.5035493476698321</v>
      </c>
      <c r="J412">
        <v>10</v>
      </c>
      <c r="K412">
        <v>-0.24965811462607235</v>
      </c>
      <c r="L412">
        <v>13.568154779343198</v>
      </c>
      <c r="M412">
        <v>20</v>
      </c>
      <c r="N412">
        <v>0.84988488083581615</v>
      </c>
      <c r="O412">
        <v>159.40746757179906</v>
      </c>
      <c r="P412" s="1">
        <f t="shared" si="30"/>
        <v>6.1777007982550804</v>
      </c>
      <c r="Q412" s="1">
        <f t="shared" si="31"/>
        <v>0.92665511973826198</v>
      </c>
      <c r="R412" s="1">
        <f t="shared" si="32"/>
        <v>0.96262927429943768</v>
      </c>
      <c r="S412" s="1">
        <f t="shared" si="33"/>
        <v>-1.1422289190842352</v>
      </c>
      <c r="T412" s="56">
        <f t="shared" si="34"/>
        <v>0.13151637458197066</v>
      </c>
    </row>
    <row r="413" spans="1:20" x14ac:dyDescent="0.25">
      <c r="A413">
        <v>0.43348830554672768</v>
      </c>
      <c r="B413">
        <v>0.75955085776513442</v>
      </c>
      <c r="D413">
        <v>0.43352939567042537</v>
      </c>
      <c r="E413">
        <v>-3.7903571444530826</v>
      </c>
      <c r="J413">
        <v>10</v>
      </c>
      <c r="K413">
        <v>9.329960448667407E-2</v>
      </c>
      <c r="L413">
        <v>11.363466741258906</v>
      </c>
      <c r="M413">
        <v>20</v>
      </c>
      <c r="N413">
        <v>0.58058895660906273</v>
      </c>
      <c r="O413">
        <v>208.22666240921239</v>
      </c>
      <c r="P413" s="1">
        <f t="shared" si="30"/>
        <v>7.8425046125168327</v>
      </c>
      <c r="Q413" s="1">
        <f t="shared" si="31"/>
        <v>1.1763756918775248</v>
      </c>
      <c r="R413" s="1">
        <f t="shared" si="32"/>
        <v>1.0846085431516408</v>
      </c>
      <c r="S413" s="1">
        <f t="shared" si="33"/>
        <v>-0.4492767046684234</v>
      </c>
      <c r="T413" s="56">
        <f t="shared" si="34"/>
        <v>0.32834524971126766</v>
      </c>
    </row>
    <row r="414" spans="1:20" x14ac:dyDescent="0.25">
      <c r="A414">
        <v>0.43690160689375834</v>
      </c>
      <c r="B414">
        <v>-0.97381416708230972</v>
      </c>
      <c r="D414">
        <v>0.43534099502823687</v>
      </c>
      <c r="E414">
        <v>-3.5934492677824892</v>
      </c>
      <c r="J414">
        <v>10</v>
      </c>
      <c r="K414">
        <v>-0.39740871216054074</v>
      </c>
      <c r="L414">
        <v>12.821214299730812</v>
      </c>
      <c r="M414">
        <v>20</v>
      </c>
      <c r="N414">
        <v>-0.64224036918858474</v>
      </c>
      <c r="O414">
        <v>207.76783143959841</v>
      </c>
      <c r="P414" s="1">
        <f t="shared" si="30"/>
        <v>7.8781802049760428</v>
      </c>
      <c r="Q414" s="1">
        <f t="shared" si="31"/>
        <v>1.1817270307464063</v>
      </c>
      <c r="R414" s="1">
        <f t="shared" si="32"/>
        <v>1.0870726888053099</v>
      </c>
      <c r="S414" s="1">
        <f t="shared" si="33"/>
        <v>0.22522105425821465</v>
      </c>
      <c r="T414" s="56">
        <f t="shared" si="34"/>
        <v>0.588278490125964</v>
      </c>
    </row>
    <row r="415" spans="1:20" x14ac:dyDescent="0.25">
      <c r="A415">
        <v>0.438656331711479</v>
      </c>
      <c r="B415">
        <v>-0.84482962847687304</v>
      </c>
      <c r="D415">
        <v>0.43613457407121514</v>
      </c>
      <c r="E415">
        <v>1.5014422808690142</v>
      </c>
      <c r="J415">
        <v>10</v>
      </c>
      <c r="K415">
        <v>-0.88515719198767329</v>
      </c>
      <c r="L415">
        <v>16.861434051973564</v>
      </c>
      <c r="M415">
        <v>20</v>
      </c>
      <c r="N415">
        <v>-6.1610936654687976E-2</v>
      </c>
      <c r="O415">
        <v>109.40023932174135</v>
      </c>
      <c r="P415" s="1">
        <f t="shared" si="30"/>
        <v>4.5093454776326753</v>
      </c>
      <c r="Q415" s="1">
        <f t="shared" si="31"/>
        <v>0.67640182164490126</v>
      </c>
      <c r="R415" s="1">
        <f t="shared" si="32"/>
        <v>0.82243651526722794</v>
      </c>
      <c r="S415" s="1">
        <f t="shared" si="33"/>
        <v>-1.0013493321917946</v>
      </c>
      <c r="T415" s="56">
        <f t="shared" si="34"/>
        <v>0.16261681542849932</v>
      </c>
    </row>
    <row r="416" spans="1:20" x14ac:dyDescent="0.25">
      <c r="A416">
        <v>0.43893646520457164</v>
      </c>
      <c r="B416">
        <v>0.11527049537107814</v>
      </c>
      <c r="D416">
        <v>0.4361983961282998</v>
      </c>
      <c r="E416">
        <v>-3.3927760830465559</v>
      </c>
      <c r="J416">
        <v>10</v>
      </c>
      <c r="K416">
        <v>5.6811472859408241E-2</v>
      </c>
      <c r="L416">
        <v>10.843101348346186</v>
      </c>
      <c r="M416">
        <v>20</v>
      </c>
      <c r="N416">
        <v>-0.78398341315732978</v>
      </c>
      <c r="O416">
        <v>112.56922098127573</v>
      </c>
      <c r="P416" s="1">
        <f t="shared" si="30"/>
        <v>4.40758294034364</v>
      </c>
      <c r="Q416" s="1">
        <f t="shared" si="31"/>
        <v>0.66113744105154593</v>
      </c>
      <c r="R416" s="1">
        <f t="shared" si="32"/>
        <v>0.81310358568361141</v>
      </c>
      <c r="S416" s="1">
        <f t="shared" si="33"/>
        <v>1.0340563008461527</v>
      </c>
      <c r="T416" s="56">
        <f t="shared" si="34"/>
        <v>0.8450205675559147</v>
      </c>
    </row>
    <row r="417" spans="1:20" x14ac:dyDescent="0.25">
      <c r="A417">
        <v>0.43934561113133652</v>
      </c>
      <c r="B417">
        <v>-8.8585920821060427E-2</v>
      </c>
      <c r="D417">
        <v>0.436500873591676</v>
      </c>
      <c r="E417">
        <v>1.1286051596925972</v>
      </c>
      <c r="J417">
        <v>10</v>
      </c>
      <c r="K417">
        <v>-0.44176738356327405</v>
      </c>
      <c r="L417">
        <v>3.9390517228675179</v>
      </c>
      <c r="M417">
        <v>20</v>
      </c>
      <c r="N417">
        <v>0.84879894416189927</v>
      </c>
      <c r="O417">
        <v>153.45551929769718</v>
      </c>
      <c r="P417" s="1">
        <f t="shared" si="30"/>
        <v>5.6212346793058812</v>
      </c>
      <c r="Q417" s="1">
        <f t="shared" si="31"/>
        <v>0.8431852018958822</v>
      </c>
      <c r="R417" s="1">
        <f t="shared" si="32"/>
        <v>0.91825116493031589</v>
      </c>
      <c r="S417" s="1">
        <f t="shared" si="33"/>
        <v>-1.4054611385362212</v>
      </c>
      <c r="T417" s="56">
        <f t="shared" si="34"/>
        <v>8.544175672644333E-2</v>
      </c>
    </row>
    <row r="418" spans="1:20" x14ac:dyDescent="0.25">
      <c r="A418">
        <v>0.43991524893528744</v>
      </c>
      <c r="B418">
        <v>-0.95469431471428834</v>
      </c>
      <c r="D418">
        <v>0.43655447320989227</v>
      </c>
      <c r="E418">
        <v>5.9267160816034448</v>
      </c>
      <c r="J418">
        <v>10</v>
      </c>
      <c r="K418">
        <v>-0.32909576930251205</v>
      </c>
      <c r="L418">
        <v>20.816207768635248</v>
      </c>
      <c r="M418">
        <v>20</v>
      </c>
      <c r="N418">
        <v>0.64265651303685445</v>
      </c>
      <c r="O418">
        <v>120.26035285861465</v>
      </c>
      <c r="P418" s="1">
        <f t="shared" si="30"/>
        <v>5.0384485938303536</v>
      </c>
      <c r="Q418" s="1">
        <f t="shared" si="31"/>
        <v>0.75576728907455304</v>
      </c>
      <c r="R418" s="1">
        <f t="shared" si="32"/>
        <v>0.86934877297581381</v>
      </c>
      <c r="S418" s="1">
        <f t="shared" si="33"/>
        <v>-1.117793355839247</v>
      </c>
      <c r="T418" s="56">
        <f t="shared" si="34"/>
        <v>0.13657731968824119</v>
      </c>
    </row>
    <row r="419" spans="1:20" x14ac:dyDescent="0.25">
      <c r="A419">
        <v>0.44088682923789713</v>
      </c>
      <c r="B419">
        <v>0.47886032916721888</v>
      </c>
      <c r="D419">
        <v>0.43692985272497065</v>
      </c>
      <c r="E419">
        <v>-1.571396982171791</v>
      </c>
      <c r="J419">
        <v>10</v>
      </c>
      <c r="K419">
        <v>0.1705310523902881</v>
      </c>
      <c r="L419">
        <v>20.608448904614285</v>
      </c>
      <c r="M419">
        <v>20</v>
      </c>
      <c r="N419">
        <v>-0.98316377602714056</v>
      </c>
      <c r="O419">
        <v>133.8720158880962</v>
      </c>
      <c r="P419" s="1">
        <f t="shared" si="30"/>
        <v>5.5171594568825171</v>
      </c>
      <c r="Q419" s="1">
        <f t="shared" si="31"/>
        <v>0.82757391853237749</v>
      </c>
      <c r="R419" s="1">
        <f t="shared" si="32"/>
        <v>0.90971089832560403</v>
      </c>
      <c r="S419" s="1">
        <f t="shared" si="33"/>
        <v>1.2681994142764439</v>
      </c>
      <c r="T419" s="56">
        <f t="shared" si="34"/>
        <v>0.89241472350054096</v>
      </c>
    </row>
    <row r="420" spans="1:20" x14ac:dyDescent="0.25">
      <c r="A420">
        <v>0.44196106596416862</v>
      </c>
      <c r="B420">
        <v>0.55342297855531797</v>
      </c>
      <c r="D420">
        <v>0.43813614431792736</v>
      </c>
      <c r="E420">
        <v>1.0983667345954018</v>
      </c>
      <c r="J420">
        <v>10</v>
      </c>
      <c r="K420">
        <v>-0.30251476346165873</v>
      </c>
      <c r="L420">
        <v>9.9764769776726396</v>
      </c>
      <c r="M420">
        <v>20</v>
      </c>
      <c r="N420">
        <v>-1.7430980960853049E-2</v>
      </c>
      <c r="O420">
        <v>217.51622131519687</v>
      </c>
      <c r="P420" s="1">
        <f t="shared" si="30"/>
        <v>8.1247392247453387</v>
      </c>
      <c r="Q420" s="1">
        <f t="shared" si="31"/>
        <v>1.2187108837118008</v>
      </c>
      <c r="R420" s="1">
        <f t="shared" si="32"/>
        <v>1.1039523919589109</v>
      </c>
      <c r="S420" s="1">
        <f t="shared" si="33"/>
        <v>-0.25823919996671063</v>
      </c>
      <c r="T420" s="56">
        <f t="shared" si="34"/>
        <v>0.39905553185036918</v>
      </c>
    </row>
    <row r="421" spans="1:20" x14ac:dyDescent="0.25">
      <c r="A421">
        <v>0.44220564689387831</v>
      </c>
      <c r="B421">
        <v>-0.9425775715499185</v>
      </c>
      <c r="D421">
        <v>0.43947448819809298</v>
      </c>
      <c r="E421">
        <v>0.5542422024973348</v>
      </c>
      <c r="J421">
        <v>10</v>
      </c>
      <c r="K421">
        <v>0.400527824240271</v>
      </c>
      <c r="L421">
        <v>22.76091012588671</v>
      </c>
      <c r="M421">
        <v>20</v>
      </c>
      <c r="N421">
        <v>0.84547343362828542</v>
      </c>
      <c r="O421">
        <v>130.23044781872954</v>
      </c>
      <c r="P421" s="1">
        <f t="shared" si="30"/>
        <v>5.4639770694505803</v>
      </c>
      <c r="Q421" s="1">
        <f t="shared" si="31"/>
        <v>0.81959656041758699</v>
      </c>
      <c r="R421" s="1">
        <f t="shared" si="32"/>
        <v>0.9053157241634473</v>
      </c>
      <c r="S421" s="1">
        <f t="shared" si="33"/>
        <v>-0.49148114576178858</v>
      </c>
      <c r="T421" s="56">
        <f t="shared" si="34"/>
        <v>0.31345846813912098</v>
      </c>
    </row>
    <row r="422" spans="1:20" x14ac:dyDescent="0.25">
      <c r="A422">
        <v>0.44251293513398715</v>
      </c>
      <c r="B422">
        <v>-1.798580342438072</v>
      </c>
      <c r="D422">
        <v>0.4397600791520333</v>
      </c>
      <c r="E422">
        <v>-3.424822128863525</v>
      </c>
      <c r="J422">
        <v>10</v>
      </c>
      <c r="K422">
        <v>-0.25095687306020409</v>
      </c>
      <c r="L422">
        <v>11.960883723633886</v>
      </c>
      <c r="M422">
        <v>20</v>
      </c>
      <c r="N422">
        <v>0.57484532703711011</v>
      </c>
      <c r="O422">
        <v>224.66772555236739</v>
      </c>
      <c r="P422" s="1">
        <f t="shared" si="30"/>
        <v>8.4510217598571877</v>
      </c>
      <c r="Q422" s="1">
        <f t="shared" si="31"/>
        <v>1.267653263978578</v>
      </c>
      <c r="R422" s="1">
        <f t="shared" si="32"/>
        <v>1.1259010897847901</v>
      </c>
      <c r="S422" s="1">
        <f t="shared" si="33"/>
        <v>-0.73345892244865118</v>
      </c>
      <c r="T422" s="56">
        <f t="shared" si="34"/>
        <v>0.23468780791892396</v>
      </c>
    </row>
    <row r="423" spans="1:20" x14ac:dyDescent="0.25">
      <c r="A423">
        <v>0.44309240015159379</v>
      </c>
      <c r="B423">
        <v>-0.91293259174562991</v>
      </c>
      <c r="D423">
        <v>0.44158811021078481</v>
      </c>
      <c r="E423">
        <v>1.9953797584548738</v>
      </c>
      <c r="J423">
        <v>10</v>
      </c>
      <c r="K423">
        <v>0.56580347518320195</v>
      </c>
      <c r="L423">
        <v>12.740731979669691</v>
      </c>
      <c r="M423">
        <v>20</v>
      </c>
      <c r="N423">
        <v>-1.5737804835680436</v>
      </c>
      <c r="O423">
        <v>224.63937500589799</v>
      </c>
      <c r="P423" s="1">
        <f t="shared" si="30"/>
        <v>8.477860963770274</v>
      </c>
      <c r="Q423" s="1">
        <f t="shared" si="31"/>
        <v>1.2716791445655411</v>
      </c>
      <c r="R423" s="1">
        <f t="shared" si="32"/>
        <v>1.1276875207988875</v>
      </c>
      <c r="S423" s="1">
        <f t="shared" si="33"/>
        <v>1.8973198863063594</v>
      </c>
      <c r="T423" s="56">
        <f t="shared" si="34"/>
        <v>0.96592862187793949</v>
      </c>
    </row>
    <row r="424" spans="1:20" x14ac:dyDescent="0.25">
      <c r="A424">
        <v>0.44552851576808206</v>
      </c>
      <c r="B424">
        <v>4.1359271563123912E-2</v>
      </c>
      <c r="D424">
        <v>0.44216464983191639</v>
      </c>
      <c r="E424">
        <v>1.9056672010719922</v>
      </c>
      <c r="J424">
        <v>10</v>
      </c>
      <c r="K424">
        <v>-0.27338990093994653</v>
      </c>
      <c r="L424">
        <v>11.263175173593906</v>
      </c>
      <c r="M424">
        <v>20</v>
      </c>
      <c r="N424">
        <v>0.60430238249864487</v>
      </c>
      <c r="O424">
        <v>147.05838967714854</v>
      </c>
      <c r="P424" s="1">
        <f t="shared" si="30"/>
        <v>5.6543416018122299</v>
      </c>
      <c r="Q424" s="1">
        <f t="shared" si="31"/>
        <v>0.84815124027183442</v>
      </c>
      <c r="R424" s="1">
        <f t="shared" si="32"/>
        <v>0.92095126921669124</v>
      </c>
      <c r="S424" s="1">
        <f t="shared" si="33"/>
        <v>-0.9530279318525795</v>
      </c>
      <c r="T424" s="56">
        <f t="shared" si="34"/>
        <v>0.17436567408841064</v>
      </c>
    </row>
    <row r="425" spans="1:20" x14ac:dyDescent="0.25">
      <c r="A425">
        <v>0.44610812480396622</v>
      </c>
      <c r="B425">
        <v>-0.68226427174522541</v>
      </c>
      <c r="D425">
        <v>0.4428227964086231</v>
      </c>
      <c r="E425">
        <v>-1.2362913855668012</v>
      </c>
      <c r="J425">
        <v>10</v>
      </c>
      <c r="K425">
        <v>-0.45688352656725328</v>
      </c>
      <c r="L425">
        <v>12.272353164187551</v>
      </c>
      <c r="M425">
        <v>20</v>
      </c>
      <c r="N425">
        <v>-0.9667089705089893</v>
      </c>
      <c r="O425">
        <v>130.26347700845056</v>
      </c>
      <c r="P425" s="1">
        <f t="shared" si="30"/>
        <v>5.0905653633085048</v>
      </c>
      <c r="Q425" s="1">
        <f t="shared" si="31"/>
        <v>0.76358480449627575</v>
      </c>
      <c r="R425" s="1">
        <f t="shared" si="32"/>
        <v>0.87383339630405277</v>
      </c>
      <c r="S425" s="1">
        <f t="shared" si="33"/>
        <v>0.58343552226097439</v>
      </c>
      <c r="T425" s="56">
        <f t="shared" si="34"/>
        <v>0.71786469579203649</v>
      </c>
    </row>
    <row r="426" spans="1:20" x14ac:dyDescent="0.25">
      <c r="A426">
        <v>0.44759407066782386</v>
      </c>
      <c r="B426">
        <v>0.11842757885460742</v>
      </c>
      <c r="D426">
        <v>0.44402951097536847</v>
      </c>
      <c r="E426">
        <v>5.5366168680848205E-2</v>
      </c>
      <c r="J426">
        <v>10</v>
      </c>
      <c r="K426">
        <v>0.65045867359003751</v>
      </c>
      <c r="L426">
        <v>15.11893693065287</v>
      </c>
      <c r="M426">
        <v>20</v>
      </c>
      <c r="N426">
        <v>-6.2567781924371957E-2</v>
      </c>
      <c r="O426">
        <v>195.24946468925896</v>
      </c>
      <c r="P426" s="1">
        <f t="shared" si="30"/>
        <v>7.5131572007111362</v>
      </c>
      <c r="Q426" s="1">
        <f t="shared" si="31"/>
        <v>1.1269735801066705</v>
      </c>
      <c r="R426" s="1">
        <f t="shared" si="32"/>
        <v>1.0615901186930248</v>
      </c>
      <c r="S426" s="1">
        <f t="shared" si="33"/>
        <v>0.67165890390186656</v>
      </c>
      <c r="T426" s="56">
        <f t="shared" si="34"/>
        <v>0.74634744789968854</v>
      </c>
    </row>
    <row r="427" spans="1:20" x14ac:dyDescent="0.25">
      <c r="A427">
        <v>0.44864004287799208</v>
      </c>
      <c r="B427">
        <v>0.77836602940806188</v>
      </c>
      <c r="D427">
        <v>0.44437227027011317</v>
      </c>
      <c r="E427">
        <v>5.7161862480370473</v>
      </c>
      <c r="J427">
        <v>10</v>
      </c>
      <c r="K427">
        <v>0.17409922747901874</v>
      </c>
      <c r="L427">
        <v>15.776187850347045</v>
      </c>
      <c r="M427">
        <v>20</v>
      </c>
      <c r="N427">
        <v>-0.33985611821663042</v>
      </c>
      <c r="O427">
        <v>238.06149417532612</v>
      </c>
      <c r="P427" s="1">
        <f t="shared" si="30"/>
        <v>9.0656315009168988</v>
      </c>
      <c r="Q427" s="1">
        <f t="shared" si="31"/>
        <v>1.3598447251375347</v>
      </c>
      <c r="R427" s="1">
        <f t="shared" si="32"/>
        <v>1.1661238035206789</v>
      </c>
      <c r="S427" s="1">
        <f t="shared" si="33"/>
        <v>0.44073823391989031</v>
      </c>
      <c r="T427" s="56">
        <f t="shared" si="34"/>
        <v>0.6686066360476477</v>
      </c>
    </row>
    <row r="428" spans="1:20" x14ac:dyDescent="0.25">
      <c r="A428">
        <v>0.44867447443331876</v>
      </c>
      <c r="B428">
        <v>0.18927266864920966</v>
      </c>
      <c r="D428">
        <v>0.44473310995687532</v>
      </c>
      <c r="E428">
        <v>-0.27784313147094508</v>
      </c>
      <c r="J428">
        <v>10</v>
      </c>
      <c r="K428">
        <v>-4.0137365431291983E-2</v>
      </c>
      <c r="L428">
        <v>14.425433128683729</v>
      </c>
      <c r="M428">
        <v>20</v>
      </c>
      <c r="N428">
        <v>3.2587589657850913E-2</v>
      </c>
      <c r="O428">
        <v>236.63087522937792</v>
      </c>
      <c r="P428" s="1">
        <f t="shared" si="30"/>
        <v>8.9662967270736296</v>
      </c>
      <c r="Q428" s="1">
        <f t="shared" si="31"/>
        <v>1.3449445090610443</v>
      </c>
      <c r="R428" s="1">
        <f t="shared" si="32"/>
        <v>1.1597174263849985</v>
      </c>
      <c r="S428" s="1">
        <f t="shared" si="33"/>
        <v>-6.2709202633814645E-2</v>
      </c>
      <c r="T428" s="56">
        <f t="shared" si="34"/>
        <v>0.47522179594460168</v>
      </c>
    </row>
    <row r="429" spans="1:20" x14ac:dyDescent="0.25">
      <c r="A429">
        <v>0.44878130476895539</v>
      </c>
      <c r="B429">
        <v>0.63840616348898038</v>
      </c>
      <c r="D429">
        <v>0.44652180239351558</v>
      </c>
      <c r="E429">
        <v>3.6870262613319937</v>
      </c>
      <c r="J429">
        <v>10</v>
      </c>
      <c r="K429">
        <v>-0.72883869961515302</v>
      </c>
      <c r="L429">
        <v>4.7768530720032238</v>
      </c>
      <c r="M429">
        <v>20</v>
      </c>
      <c r="N429">
        <v>-0.19610661524893658</v>
      </c>
      <c r="O429">
        <v>135.34487430548356</v>
      </c>
      <c r="P429" s="1">
        <f t="shared" si="30"/>
        <v>5.0043474063388143</v>
      </c>
      <c r="Q429" s="1">
        <f t="shared" si="31"/>
        <v>0.75065211095082207</v>
      </c>
      <c r="R429" s="1">
        <f t="shared" si="32"/>
        <v>0.86640181841384778</v>
      </c>
      <c r="S429" s="1">
        <f t="shared" si="33"/>
        <v>-0.61487876992399182</v>
      </c>
      <c r="T429" s="56">
        <f t="shared" si="34"/>
        <v>0.27179995533244677</v>
      </c>
    </row>
    <row r="430" spans="1:20" x14ac:dyDescent="0.25">
      <c r="A430">
        <v>0.45015613980963476</v>
      </c>
      <c r="B430">
        <v>1.607922968105413</v>
      </c>
      <c r="D430">
        <v>0.44657580833068522</v>
      </c>
      <c r="E430">
        <v>-0.41778708123274555</v>
      </c>
      <c r="J430">
        <v>10</v>
      </c>
      <c r="K430">
        <v>0.4249218363838736</v>
      </c>
      <c r="L430">
        <v>9.6007263766237223</v>
      </c>
      <c r="M430">
        <v>20</v>
      </c>
      <c r="N430">
        <v>-1.1001645850683417</v>
      </c>
      <c r="O430">
        <v>127.26461404817755</v>
      </c>
      <c r="P430" s="1">
        <f t="shared" si="30"/>
        <v>4.8880478723143312</v>
      </c>
      <c r="Q430" s="1">
        <f t="shared" si="31"/>
        <v>0.73320718084714964</v>
      </c>
      <c r="R430" s="1">
        <f t="shared" si="32"/>
        <v>0.85627517822668997</v>
      </c>
      <c r="S430" s="1">
        <f t="shared" si="33"/>
        <v>1.781070455190124</v>
      </c>
      <c r="T430" s="56">
        <f t="shared" si="34"/>
        <v>0.95712326459517638</v>
      </c>
    </row>
    <row r="431" spans="1:20" x14ac:dyDescent="0.25">
      <c r="A431">
        <v>0.45191025369435289</v>
      </c>
      <c r="B431">
        <v>0.33903916119015776</v>
      </c>
      <c r="D431">
        <v>0.44828271465337399</v>
      </c>
      <c r="E431">
        <v>-0.28267595894249098</v>
      </c>
      <c r="J431">
        <v>10</v>
      </c>
      <c r="K431">
        <v>0.10187898169533582</v>
      </c>
      <c r="L431">
        <v>18.227576447597535</v>
      </c>
      <c r="M431">
        <v>20</v>
      </c>
      <c r="N431">
        <v>0.4597895861024881</v>
      </c>
      <c r="O431">
        <v>254.97513278807554</v>
      </c>
      <c r="P431" s="1">
        <f t="shared" si="30"/>
        <v>9.7572396155597527</v>
      </c>
      <c r="Q431" s="1">
        <f t="shared" si="31"/>
        <v>1.4635859423339628</v>
      </c>
      <c r="R431" s="1">
        <f t="shared" si="32"/>
        <v>1.2097875608279178</v>
      </c>
      <c r="S431" s="1">
        <f t="shared" si="33"/>
        <v>-0.29584582946299781</v>
      </c>
      <c r="T431" s="56">
        <f t="shared" si="34"/>
        <v>0.38476543236072552</v>
      </c>
    </row>
    <row r="432" spans="1:20" x14ac:dyDescent="0.25">
      <c r="A432">
        <v>0.45225696852421859</v>
      </c>
      <c r="B432">
        <v>-0.34293066164536867</v>
      </c>
      <c r="D432">
        <v>0.44931735462521649</v>
      </c>
      <c r="E432">
        <v>0.45214232727630588</v>
      </c>
      <c r="J432">
        <v>10</v>
      </c>
      <c r="K432">
        <v>3.2466687116539106E-3</v>
      </c>
      <c r="L432">
        <v>6.7360741863112299</v>
      </c>
      <c r="M432">
        <v>20</v>
      </c>
      <c r="N432">
        <v>0.93213008881321002</v>
      </c>
      <c r="O432">
        <v>155.76179371106761</v>
      </c>
      <c r="P432" s="1">
        <f t="shared" si="30"/>
        <v>5.8034952820492451</v>
      </c>
      <c r="Q432" s="1">
        <f t="shared" si="31"/>
        <v>0.8705242923073867</v>
      </c>
      <c r="R432" s="1">
        <f t="shared" si="32"/>
        <v>0.93301891315631258</v>
      </c>
      <c r="S432" s="1">
        <f t="shared" si="33"/>
        <v>-0.99556762140998134</v>
      </c>
      <c r="T432" s="56">
        <f t="shared" si="34"/>
        <v>0.16399332470352795</v>
      </c>
    </row>
    <row r="433" spans="1:20" x14ac:dyDescent="0.25">
      <c r="A433">
        <v>0.45266308738803107</v>
      </c>
      <c r="B433">
        <v>0.94472625278285705</v>
      </c>
      <c r="D433">
        <v>0.44949269821307125</v>
      </c>
      <c r="E433">
        <v>2.3732270585696824</v>
      </c>
      <c r="J433">
        <v>10</v>
      </c>
      <c r="K433">
        <v>-0.15189948499028105</v>
      </c>
      <c r="L433">
        <v>6.737544566642292</v>
      </c>
      <c r="M433">
        <v>20</v>
      </c>
      <c r="N433">
        <v>0.99427813552210864</v>
      </c>
      <c r="O433">
        <v>233.77965246013679</v>
      </c>
      <c r="P433" s="1">
        <f t="shared" si="30"/>
        <v>8.5898998938135396</v>
      </c>
      <c r="Q433" s="1">
        <f t="shared" si="31"/>
        <v>1.2884849840720309</v>
      </c>
      <c r="R433" s="1">
        <f t="shared" si="32"/>
        <v>1.1351145246502798</v>
      </c>
      <c r="S433" s="1">
        <f t="shared" si="33"/>
        <v>-1.0097462376014599</v>
      </c>
      <c r="T433" s="56">
        <f t="shared" si="34"/>
        <v>0.16063182911934881</v>
      </c>
    </row>
    <row r="434" spans="1:20" x14ac:dyDescent="0.25">
      <c r="A434">
        <v>0.45381198369526221</v>
      </c>
      <c r="B434">
        <v>0.61605533119291067</v>
      </c>
      <c r="D434">
        <v>0.45177534552924825</v>
      </c>
      <c r="E434">
        <v>1.4990787315127818</v>
      </c>
      <c r="J434">
        <v>10</v>
      </c>
      <c r="K434">
        <v>0.18349862784816651</v>
      </c>
      <c r="L434">
        <v>6.5051855966224119</v>
      </c>
      <c r="M434">
        <v>20</v>
      </c>
      <c r="N434">
        <v>-1.0441111191994423</v>
      </c>
      <c r="O434">
        <v>105.1968967866118</v>
      </c>
      <c r="P434" s="1">
        <f t="shared" si="30"/>
        <v>3.9893600851155075</v>
      </c>
      <c r="Q434" s="1">
        <f t="shared" si="31"/>
        <v>0.59840401276732613</v>
      </c>
      <c r="R434" s="1">
        <f t="shared" si="32"/>
        <v>0.77356577791893444</v>
      </c>
      <c r="S434" s="1">
        <f t="shared" si="33"/>
        <v>1.5869493998948021</v>
      </c>
      <c r="T434" s="56">
        <f t="shared" si="34"/>
        <v>0.93812288992624626</v>
      </c>
    </row>
    <row r="435" spans="1:20" x14ac:dyDescent="0.25">
      <c r="A435">
        <v>0.45543935075421005</v>
      </c>
      <c r="B435">
        <v>0.44456214709498454</v>
      </c>
      <c r="D435">
        <v>0.45195248374401986</v>
      </c>
      <c r="E435">
        <v>-1.9189922147688776</v>
      </c>
      <c r="J435">
        <v>10</v>
      </c>
      <c r="K435">
        <v>0.18654088762559695</v>
      </c>
      <c r="L435">
        <v>6.6924349436840149</v>
      </c>
      <c r="M435">
        <v>20</v>
      </c>
      <c r="N435">
        <v>0.62162092376638611</v>
      </c>
      <c r="O435">
        <v>267.55995713389183</v>
      </c>
      <c r="P435" s="1">
        <f t="shared" si="30"/>
        <v>9.7947282884848512</v>
      </c>
      <c r="Q435" s="1">
        <f t="shared" si="31"/>
        <v>1.4692092432727277</v>
      </c>
      <c r="R435" s="1">
        <f t="shared" si="32"/>
        <v>1.2121094188532353</v>
      </c>
      <c r="S435" s="1">
        <f t="shared" si="33"/>
        <v>-0.35894452214752531</v>
      </c>
      <c r="T435" s="56">
        <f t="shared" si="34"/>
        <v>0.36116459875486284</v>
      </c>
    </row>
    <row r="436" spans="1:20" x14ac:dyDescent="0.25">
      <c r="A436">
        <v>0.45562040578228469</v>
      </c>
      <c r="B436">
        <v>1.9370781956240535</v>
      </c>
      <c r="D436">
        <v>0.45323523305167512</v>
      </c>
      <c r="E436">
        <v>-2.987909969078828</v>
      </c>
      <c r="J436">
        <v>10</v>
      </c>
      <c r="K436">
        <v>-0.33293088108621305</v>
      </c>
      <c r="L436">
        <v>3.2594542761585696</v>
      </c>
      <c r="M436">
        <v>20</v>
      </c>
      <c r="N436">
        <v>-1.2949004178608448</v>
      </c>
      <c r="O436">
        <v>326.92524263927868</v>
      </c>
      <c r="P436" s="1">
        <f t="shared" si="30"/>
        <v>11.792310604122759</v>
      </c>
      <c r="Q436" s="1">
        <f t="shared" si="31"/>
        <v>1.7688465906184139</v>
      </c>
      <c r="R436" s="1">
        <f t="shared" si="32"/>
        <v>1.3299799211335537</v>
      </c>
      <c r="S436" s="1">
        <f t="shared" si="33"/>
        <v>0.72329628552191716</v>
      </c>
      <c r="T436" s="56">
        <f t="shared" si="34"/>
        <v>0.76225137920716146</v>
      </c>
    </row>
    <row r="437" spans="1:20" x14ac:dyDescent="0.25">
      <c r="A437">
        <v>0.45571779898993414</v>
      </c>
      <c r="B437">
        <v>1.3919225239078514</v>
      </c>
      <c r="D437">
        <v>0.45367420867892583</v>
      </c>
      <c r="E437">
        <v>-4.6388474891045917</v>
      </c>
      <c r="J437">
        <v>10</v>
      </c>
      <c r="K437">
        <v>0.455166400570306</v>
      </c>
      <c r="L437">
        <v>7.9539770941473948</v>
      </c>
      <c r="M437">
        <v>20</v>
      </c>
      <c r="N437">
        <v>-0.37811713923474599</v>
      </c>
      <c r="O437">
        <v>178.66972988677614</v>
      </c>
      <c r="P437" s="1">
        <f t="shared" si="30"/>
        <v>6.665132392175841</v>
      </c>
      <c r="Q437" s="1">
        <f t="shared" si="31"/>
        <v>0.99976985882637615</v>
      </c>
      <c r="R437" s="1">
        <f t="shared" si="32"/>
        <v>0.99988492279180619</v>
      </c>
      <c r="S437" s="1">
        <f t="shared" si="33"/>
        <v>0.83337944278469378</v>
      </c>
      <c r="T437" s="56">
        <f t="shared" si="34"/>
        <v>0.79415813258733525</v>
      </c>
    </row>
    <row r="438" spans="1:20" x14ac:dyDescent="0.25">
      <c r="A438">
        <v>0.45592573950613957</v>
      </c>
      <c r="B438">
        <v>0.33377773434040137</v>
      </c>
      <c r="D438">
        <v>0.45374299140245278</v>
      </c>
      <c r="E438">
        <v>3.6071226043077331</v>
      </c>
      <c r="J438">
        <v>10</v>
      </c>
      <c r="K438">
        <v>1.7372940419591032E-2</v>
      </c>
      <c r="L438">
        <v>3.9410124318390776</v>
      </c>
      <c r="M438">
        <v>20</v>
      </c>
      <c r="N438">
        <v>-0.64041944710879761</v>
      </c>
      <c r="O438">
        <v>269.94563262321856</v>
      </c>
      <c r="P438" s="1">
        <f t="shared" si="30"/>
        <v>9.7816658948234867</v>
      </c>
      <c r="Q438" s="1">
        <f t="shared" si="31"/>
        <v>1.4672498842235229</v>
      </c>
      <c r="R438" s="1">
        <f t="shared" si="32"/>
        <v>1.2113009057304973</v>
      </c>
      <c r="S438" s="1">
        <f t="shared" si="33"/>
        <v>0.54304622775105982</v>
      </c>
      <c r="T438" s="56">
        <f t="shared" si="34"/>
        <v>0.70430241215711553</v>
      </c>
    </row>
    <row r="439" spans="1:20" x14ac:dyDescent="0.25">
      <c r="A439">
        <v>0.45682787501390854</v>
      </c>
      <c r="B439">
        <v>2.2039512259652838</v>
      </c>
      <c r="D439">
        <v>0.45378776178488422</v>
      </c>
      <c r="E439">
        <v>-0.90307185359961295</v>
      </c>
      <c r="J439">
        <v>10</v>
      </c>
      <c r="K439">
        <v>-0.35857169677910861</v>
      </c>
      <c r="L439">
        <v>11.011487358336536</v>
      </c>
      <c r="M439">
        <v>20</v>
      </c>
      <c r="N439">
        <v>-0.75516175343182113</v>
      </c>
      <c r="O439">
        <v>107.61488296224054</v>
      </c>
      <c r="P439" s="1">
        <f t="shared" si="30"/>
        <v>4.2366560828777526</v>
      </c>
      <c r="Q439" s="1">
        <f t="shared" si="31"/>
        <v>0.63549841243166283</v>
      </c>
      <c r="R439" s="1">
        <f t="shared" si="32"/>
        <v>0.79718154295722554</v>
      </c>
      <c r="S439" s="1">
        <f t="shared" si="33"/>
        <v>0.49749026449047179</v>
      </c>
      <c r="T439" s="56">
        <f t="shared" si="34"/>
        <v>0.68863607831094886</v>
      </c>
    </row>
    <row r="440" spans="1:20" x14ac:dyDescent="0.25">
      <c r="A440">
        <v>0.45868455052161095</v>
      </c>
      <c r="B440">
        <v>0.42547299017314799</v>
      </c>
      <c r="D440">
        <v>0.45651715969897455</v>
      </c>
      <c r="E440">
        <v>2.9484938261248317</v>
      </c>
      <c r="J440">
        <v>10</v>
      </c>
      <c r="K440">
        <v>-0.27297517135593807</v>
      </c>
      <c r="L440">
        <v>3.5122868405771488</v>
      </c>
      <c r="M440">
        <v>20</v>
      </c>
      <c r="N440">
        <v>-0.63291628634942754</v>
      </c>
      <c r="O440">
        <v>190.67644334330217</v>
      </c>
      <c r="P440" s="1">
        <f t="shared" si="30"/>
        <v>6.9353117922814045</v>
      </c>
      <c r="Q440" s="1">
        <f t="shared" si="31"/>
        <v>1.0402967688422107</v>
      </c>
      <c r="R440" s="1">
        <f t="shared" si="32"/>
        <v>1.0199493952359651</v>
      </c>
      <c r="S440" s="1">
        <f t="shared" si="33"/>
        <v>0.35290095437550328</v>
      </c>
      <c r="T440" s="56">
        <f t="shared" si="34"/>
        <v>0.63659719834305095</v>
      </c>
    </row>
    <row r="441" spans="1:20" x14ac:dyDescent="0.25">
      <c r="A441">
        <v>0.4599844190524387</v>
      </c>
      <c r="B441">
        <v>-1.2324517228989862</v>
      </c>
      <c r="D441">
        <v>0.46007363152924108</v>
      </c>
      <c r="E441">
        <v>1.1867014075050974</v>
      </c>
      <c r="J441">
        <v>10</v>
      </c>
      <c r="K441">
        <v>0.20784182197530754</v>
      </c>
      <c r="L441">
        <v>2.4137721881605585</v>
      </c>
      <c r="M441">
        <v>20</v>
      </c>
      <c r="N441">
        <v>-0.33663105000414362</v>
      </c>
      <c r="O441">
        <v>132.51624579617021</v>
      </c>
      <c r="P441" s="1">
        <f t="shared" si="30"/>
        <v>4.8189292137260988</v>
      </c>
      <c r="Q441" s="1">
        <f t="shared" si="31"/>
        <v>0.72283938205891485</v>
      </c>
      <c r="R441" s="1">
        <f t="shared" si="32"/>
        <v>0.85019961306678726</v>
      </c>
      <c r="S441" s="1">
        <f t="shared" si="33"/>
        <v>0.64040592775085181</v>
      </c>
      <c r="T441" s="56">
        <f t="shared" si="34"/>
        <v>0.73644236268124641</v>
      </c>
    </row>
    <row r="442" spans="1:20" x14ac:dyDescent="0.25">
      <c r="A442">
        <v>0.46025659776735472</v>
      </c>
      <c r="B442">
        <v>-0.9662221600592602</v>
      </c>
      <c r="D442">
        <v>0.46221691646187257</v>
      </c>
      <c r="E442">
        <v>-0.43396699197728594</v>
      </c>
      <c r="J442">
        <v>10</v>
      </c>
      <c r="K442">
        <v>7.2644752435735427E-3</v>
      </c>
      <c r="L442">
        <v>8.2707373982745338</v>
      </c>
      <c r="M442">
        <v>20</v>
      </c>
      <c r="N442">
        <v>0.47437520947823941</v>
      </c>
      <c r="O442">
        <v>471.14769560535922</v>
      </c>
      <c r="P442" s="1">
        <f t="shared" si="30"/>
        <v>17.122086892986921</v>
      </c>
      <c r="Q442" s="1">
        <f t="shared" si="31"/>
        <v>2.568313033948038</v>
      </c>
      <c r="R442" s="1">
        <f t="shared" si="32"/>
        <v>1.6025957175619927</v>
      </c>
      <c r="S442" s="1">
        <f t="shared" si="33"/>
        <v>-0.29147134808601333</v>
      </c>
      <c r="T442" s="56">
        <f t="shared" si="34"/>
        <v>0.38641965805930889</v>
      </c>
    </row>
    <row r="443" spans="1:20" x14ac:dyDescent="0.25">
      <c r="A443">
        <v>0.46188785444855474</v>
      </c>
      <c r="B443">
        <v>-1.3141743693267927</v>
      </c>
      <c r="D443">
        <v>0.4646593424546922</v>
      </c>
      <c r="E443">
        <v>1.6995506905459479</v>
      </c>
      <c r="J443">
        <v>10</v>
      </c>
      <c r="K443">
        <v>-7.4874492383969482E-2</v>
      </c>
      <c r="L443">
        <v>6.6914873779286035</v>
      </c>
      <c r="M443">
        <v>20</v>
      </c>
      <c r="N443">
        <v>0.29729880793638586</v>
      </c>
      <c r="O443">
        <v>170.4872240183486</v>
      </c>
      <c r="P443" s="1">
        <f t="shared" si="30"/>
        <v>6.327811121295615</v>
      </c>
      <c r="Q443" s="1">
        <f t="shared" si="31"/>
        <v>0.94917166819434218</v>
      </c>
      <c r="R443" s="1">
        <f t="shared" si="32"/>
        <v>0.97425441656393952</v>
      </c>
      <c r="S443" s="1">
        <f t="shared" si="33"/>
        <v>-0.38200832759163572</v>
      </c>
      <c r="T443" s="56">
        <f t="shared" si="34"/>
        <v>0.35266961169208633</v>
      </c>
    </row>
    <row r="444" spans="1:20" x14ac:dyDescent="0.25">
      <c r="A444">
        <v>0.46329105950282157</v>
      </c>
      <c r="B444">
        <v>-0.74928038884536363</v>
      </c>
      <c r="D444">
        <v>0.4653205321778795</v>
      </c>
      <c r="E444">
        <v>-4.0670800024145137</v>
      </c>
      <c r="J444">
        <v>10</v>
      </c>
      <c r="K444">
        <v>0.42357828533567954</v>
      </c>
      <c r="L444">
        <v>5.1680356849213966</v>
      </c>
      <c r="M444">
        <v>20</v>
      </c>
      <c r="N444">
        <v>0.6608831279208971</v>
      </c>
      <c r="O444">
        <v>137.13165118832563</v>
      </c>
      <c r="P444" s="1">
        <f t="shared" si="30"/>
        <v>5.082131674044537</v>
      </c>
      <c r="Q444" s="1">
        <f t="shared" si="31"/>
        <v>0.76231975110668049</v>
      </c>
      <c r="R444" s="1">
        <f t="shared" si="32"/>
        <v>0.87310924351233421</v>
      </c>
      <c r="S444" s="1">
        <f t="shared" si="33"/>
        <v>-0.27179284190210867</v>
      </c>
      <c r="T444" s="56">
        <f t="shared" si="34"/>
        <v>0.39388767840021449</v>
      </c>
    </row>
    <row r="445" spans="1:20" x14ac:dyDescent="0.25">
      <c r="A445">
        <v>0.4642095036429521</v>
      </c>
      <c r="B445">
        <v>1.4267698134062812E-2</v>
      </c>
      <c r="D445">
        <v>0.46675134586547784</v>
      </c>
      <c r="E445">
        <v>3.2032660294589732</v>
      </c>
      <c r="J445">
        <v>10</v>
      </c>
      <c r="K445">
        <v>0.34279287319805007</v>
      </c>
      <c r="L445">
        <v>12.718163560200875</v>
      </c>
      <c r="M445">
        <v>20</v>
      </c>
      <c r="N445">
        <v>-1.2911594956221961</v>
      </c>
      <c r="O445">
        <v>226.40979256487293</v>
      </c>
      <c r="P445" s="1">
        <f t="shared" si="30"/>
        <v>8.5402841473240638</v>
      </c>
      <c r="Q445" s="1">
        <f t="shared" si="31"/>
        <v>1.2810426220986095</v>
      </c>
      <c r="R445" s="1">
        <f t="shared" si="32"/>
        <v>1.1318315343277061</v>
      </c>
      <c r="S445" s="1">
        <f t="shared" si="33"/>
        <v>1.4436356641987305</v>
      </c>
      <c r="T445" s="56">
        <f t="shared" si="34"/>
        <v>0.92003108286362245</v>
      </c>
    </row>
    <row r="446" spans="1:20" x14ac:dyDescent="0.25">
      <c r="A446">
        <v>0.46635472422085023</v>
      </c>
      <c r="B446">
        <v>-0.469273118142155</v>
      </c>
      <c r="D446">
        <v>0.46696921969124117</v>
      </c>
      <c r="E446">
        <v>4.0481411326709349</v>
      </c>
      <c r="J446">
        <v>10</v>
      </c>
      <c r="K446">
        <v>-8.5945885075489059E-2</v>
      </c>
      <c r="L446">
        <v>5.0100538922247342</v>
      </c>
      <c r="M446">
        <v>20</v>
      </c>
      <c r="N446">
        <v>-0.74334520036245522</v>
      </c>
      <c r="O446">
        <v>281.71093201792684</v>
      </c>
      <c r="P446" s="1">
        <f t="shared" si="30"/>
        <v>10.240035211076842</v>
      </c>
      <c r="Q446" s="1">
        <f t="shared" si="31"/>
        <v>1.5360052816615262</v>
      </c>
      <c r="R446" s="1">
        <f t="shared" si="32"/>
        <v>1.2393568015957011</v>
      </c>
      <c r="S446" s="1">
        <f t="shared" si="33"/>
        <v>0.53043587967609418</v>
      </c>
      <c r="T446" s="56">
        <f t="shared" si="34"/>
        <v>0.70000410949487113</v>
      </c>
    </row>
    <row r="447" spans="1:20" x14ac:dyDescent="0.25">
      <c r="A447">
        <v>0.46637814880875406</v>
      </c>
      <c r="B447">
        <v>-2.9035618354100734E-2</v>
      </c>
      <c r="D447">
        <v>0.46933710947606899</v>
      </c>
      <c r="E447">
        <v>3.9131834876116045</v>
      </c>
      <c r="J447">
        <v>10</v>
      </c>
      <c r="K447">
        <v>0.16500052879564464</v>
      </c>
      <c r="L447">
        <v>6.4131009379230743</v>
      </c>
      <c r="M447">
        <v>20</v>
      </c>
      <c r="N447">
        <v>0.12812239106096968</v>
      </c>
      <c r="O447">
        <v>200.88644735429139</v>
      </c>
      <c r="P447" s="1">
        <f t="shared" si="30"/>
        <v>7.4035552961505164</v>
      </c>
      <c r="Q447" s="1">
        <f t="shared" si="31"/>
        <v>1.1105332944225774</v>
      </c>
      <c r="R447" s="1">
        <f t="shared" si="32"/>
        <v>1.0538184352261908</v>
      </c>
      <c r="S447" s="1">
        <f t="shared" si="33"/>
        <v>3.499477376931584E-2</v>
      </c>
      <c r="T447" s="56">
        <f t="shared" si="34"/>
        <v>0.51383390060718837</v>
      </c>
    </row>
    <row r="448" spans="1:20" x14ac:dyDescent="0.25">
      <c r="A448">
        <v>0.46715935506647088</v>
      </c>
      <c r="B448">
        <v>0.25823283067438751</v>
      </c>
      <c r="D448">
        <v>0.47042147144662061</v>
      </c>
      <c r="E448">
        <v>-4.253005730561199</v>
      </c>
      <c r="J448">
        <v>10</v>
      </c>
      <c r="K448">
        <v>0.46781599394307705</v>
      </c>
      <c r="L448">
        <v>11.065059172865489</v>
      </c>
      <c r="M448">
        <v>20</v>
      </c>
      <c r="N448">
        <v>0.15326724792430468</v>
      </c>
      <c r="O448">
        <v>110.0957485691589</v>
      </c>
      <c r="P448" s="1">
        <f t="shared" si="30"/>
        <v>4.3271717050723</v>
      </c>
      <c r="Q448" s="1">
        <f t="shared" si="31"/>
        <v>0.64907575576084497</v>
      </c>
      <c r="R448" s="1">
        <f t="shared" si="32"/>
        <v>0.80565237898292397</v>
      </c>
      <c r="S448" s="1">
        <f t="shared" si="33"/>
        <v>0.39042737814026773</v>
      </c>
      <c r="T448" s="56">
        <f t="shared" si="34"/>
        <v>0.6504124186257163</v>
      </c>
    </row>
    <row r="449" spans="1:20" x14ac:dyDescent="0.25">
      <c r="A449">
        <v>0.46748632314271965</v>
      </c>
      <c r="B449">
        <v>-0.4612604698195355</v>
      </c>
      <c r="D449">
        <v>0.47140730520479845</v>
      </c>
      <c r="E449">
        <v>-1.2725461181162245</v>
      </c>
      <c r="J449">
        <v>10</v>
      </c>
      <c r="K449">
        <v>-2.262015641463222E-2</v>
      </c>
      <c r="L449">
        <v>7.4669283884320059</v>
      </c>
      <c r="M449">
        <v>20</v>
      </c>
      <c r="N449">
        <v>-1.5139849017486995</v>
      </c>
      <c r="O449">
        <v>240.41136097663653</v>
      </c>
      <c r="P449" s="1">
        <f t="shared" si="30"/>
        <v>8.8527960487524471</v>
      </c>
      <c r="Q449" s="1">
        <f t="shared" si="31"/>
        <v>1.3279194073128671</v>
      </c>
      <c r="R449" s="1">
        <f t="shared" si="32"/>
        <v>1.1523538550778867</v>
      </c>
      <c r="S449" s="1">
        <f t="shared" si="33"/>
        <v>1.294189921578617</v>
      </c>
      <c r="T449" s="56">
        <f t="shared" si="34"/>
        <v>0.89691359943331994</v>
      </c>
    </row>
    <row r="450" spans="1:20" x14ac:dyDescent="0.25">
      <c r="A450">
        <v>0.46789142547965545</v>
      </c>
      <c r="B450">
        <v>0.36606593312171753</v>
      </c>
      <c r="D450">
        <v>0.47154088233063585</v>
      </c>
      <c r="E450">
        <v>6.1151179090757068</v>
      </c>
      <c r="J450">
        <v>10</v>
      </c>
      <c r="K450">
        <v>-0.40416284718958195</v>
      </c>
      <c r="L450">
        <v>9.5299344264057559</v>
      </c>
      <c r="M450">
        <v>20</v>
      </c>
      <c r="N450">
        <v>1.1517169548369566</v>
      </c>
      <c r="O450">
        <v>365.18501614943335</v>
      </c>
      <c r="P450" s="1">
        <f t="shared" ref="P450:P513" si="35">(L450+O450)/(J450+M450-2)</f>
        <v>13.382676806279969</v>
      </c>
      <c r="Q450" s="1">
        <f t="shared" ref="Q450:Q513" si="36">P450*0.15</f>
        <v>2.0074015209419951</v>
      </c>
      <c r="R450" s="1">
        <f t="shared" ref="R450:R513" si="37">SQRT(Q450)</f>
        <v>1.4168279785993765</v>
      </c>
      <c r="S450" s="1">
        <f t="shared" ref="S450:S513" si="38">(K450-N450)/R450</f>
        <v>-1.0981430530223038</v>
      </c>
      <c r="T450" s="56">
        <f t="shared" ref="T450:T513" si="39">_xlfn.T.DIST(S450,28,TRUE)</f>
        <v>0.14074790200860132</v>
      </c>
    </row>
    <row r="451" spans="1:20" x14ac:dyDescent="0.25">
      <c r="A451">
        <v>0.46882159630408071</v>
      </c>
      <c r="B451">
        <v>-0.37631025406881236</v>
      </c>
      <c r="D451">
        <v>0.47253591135470419</v>
      </c>
      <c r="E451">
        <v>-2.2643023419277597</v>
      </c>
      <c r="J451">
        <v>10</v>
      </c>
      <c r="K451">
        <v>-0.15945340692269383</v>
      </c>
      <c r="L451">
        <v>5.0570303502437914</v>
      </c>
      <c r="M451">
        <v>20</v>
      </c>
      <c r="N451">
        <v>-0.30686925697409606</v>
      </c>
      <c r="O451">
        <v>133.04104651635004</v>
      </c>
      <c r="P451" s="1">
        <f t="shared" si="35"/>
        <v>4.9320741738069227</v>
      </c>
      <c r="Q451" s="1">
        <f t="shared" si="36"/>
        <v>0.73981112607103838</v>
      </c>
      <c r="R451" s="1">
        <f t="shared" si="37"/>
        <v>0.86012273895708535</v>
      </c>
      <c r="S451" s="1">
        <f t="shared" si="38"/>
        <v>0.17138931849441238</v>
      </c>
      <c r="T451" s="56">
        <f t="shared" si="39"/>
        <v>0.56742485862748171</v>
      </c>
    </row>
    <row r="452" spans="1:20" x14ac:dyDescent="0.25">
      <c r="A452">
        <v>0.4704417288393401</v>
      </c>
      <c r="B452">
        <v>1.0918233783741016</v>
      </c>
      <c r="D452">
        <v>0.4735011403142344</v>
      </c>
      <c r="E452">
        <v>4.5586268663555529</v>
      </c>
      <c r="J452">
        <v>10</v>
      </c>
      <c r="K452">
        <v>2.3394250092678703E-2</v>
      </c>
      <c r="L452">
        <v>3.2046480946562363</v>
      </c>
      <c r="M452">
        <v>20</v>
      </c>
      <c r="N452">
        <v>1.710975535615944</v>
      </c>
      <c r="O452">
        <v>159.64893259275075</v>
      </c>
      <c r="P452" s="1">
        <f t="shared" si="35"/>
        <v>5.816199310264536</v>
      </c>
      <c r="Q452" s="1">
        <f t="shared" si="36"/>
        <v>0.87242989653968039</v>
      </c>
      <c r="R452" s="1">
        <f t="shared" si="37"/>
        <v>0.93403955833769714</v>
      </c>
      <c r="S452" s="1">
        <f t="shared" si="38"/>
        <v>-1.806755688727617</v>
      </c>
      <c r="T452" s="56">
        <f t="shared" si="39"/>
        <v>4.0779563939260507E-2</v>
      </c>
    </row>
    <row r="453" spans="1:20" x14ac:dyDescent="0.25">
      <c r="A453">
        <v>0.47110251163482153</v>
      </c>
      <c r="B453">
        <v>-0.62170556702767499</v>
      </c>
      <c r="D453">
        <v>0.47370811277594027</v>
      </c>
      <c r="E453">
        <v>5.2505704354643967</v>
      </c>
      <c r="J453">
        <v>10</v>
      </c>
      <c r="K453">
        <v>3.7331574276322499E-2</v>
      </c>
      <c r="L453">
        <v>10.341754252051967</v>
      </c>
      <c r="M453">
        <v>20</v>
      </c>
      <c r="N453">
        <v>0.27952358664151689</v>
      </c>
      <c r="O453">
        <v>181.20164901103593</v>
      </c>
      <c r="P453" s="1">
        <f t="shared" si="35"/>
        <v>6.8408358308245676</v>
      </c>
      <c r="Q453" s="1">
        <f t="shared" si="36"/>
        <v>1.0261253746236851</v>
      </c>
      <c r="R453" s="1">
        <f t="shared" si="37"/>
        <v>1.0129784670088922</v>
      </c>
      <c r="S453" s="1">
        <f t="shared" si="38"/>
        <v>-0.23908900361952942</v>
      </c>
      <c r="T453" s="56">
        <f t="shared" si="39"/>
        <v>0.40638899053781785</v>
      </c>
    </row>
    <row r="454" spans="1:20" x14ac:dyDescent="0.25">
      <c r="A454">
        <v>0.47259513639904849</v>
      </c>
      <c r="B454">
        <v>0.27241640054853633</v>
      </c>
      <c r="D454">
        <v>0.47392546784956302</v>
      </c>
      <c r="E454">
        <v>-2.6191007725628879</v>
      </c>
      <c r="J454">
        <v>10</v>
      </c>
      <c r="K454">
        <v>0.73946239353972487</v>
      </c>
      <c r="L454">
        <v>7.7046877500777189</v>
      </c>
      <c r="M454">
        <v>20</v>
      </c>
      <c r="N454">
        <v>0.36632280512094439</v>
      </c>
      <c r="O454">
        <v>207.2051281097383</v>
      </c>
      <c r="P454" s="1">
        <f t="shared" si="35"/>
        <v>7.6753505664219999</v>
      </c>
      <c r="Q454" s="1">
        <f t="shared" si="36"/>
        <v>1.1513025849632998</v>
      </c>
      <c r="R454" s="1">
        <f t="shared" si="37"/>
        <v>1.0729876909654181</v>
      </c>
      <c r="S454" s="1">
        <f t="shared" si="38"/>
        <v>0.3477575666157447</v>
      </c>
      <c r="T454" s="56">
        <f t="shared" si="39"/>
        <v>0.63468848811450729</v>
      </c>
    </row>
    <row r="455" spans="1:20" x14ac:dyDescent="0.25">
      <c r="A455">
        <v>0.47265219654405755</v>
      </c>
      <c r="B455">
        <v>1.1736210581148043</v>
      </c>
      <c r="D455">
        <v>0.47437480733029613</v>
      </c>
      <c r="E455">
        <v>-3.5701684771538567</v>
      </c>
      <c r="J455">
        <v>10</v>
      </c>
      <c r="K455">
        <v>0.33814092148531927</v>
      </c>
      <c r="L455">
        <v>13.355826651758175</v>
      </c>
      <c r="M455">
        <v>20</v>
      </c>
      <c r="N455">
        <v>0.29151101102797838</v>
      </c>
      <c r="O455">
        <v>288.07522746378487</v>
      </c>
      <c r="P455" s="1">
        <f t="shared" si="35"/>
        <v>10.765394789840823</v>
      </c>
      <c r="Q455" s="1">
        <f t="shared" si="36"/>
        <v>1.6148092184761234</v>
      </c>
      <c r="R455" s="1">
        <f t="shared" si="37"/>
        <v>1.2707514385103498</v>
      </c>
      <c r="S455" s="1">
        <f t="shared" si="38"/>
        <v>3.6694753233569605E-2</v>
      </c>
      <c r="T455" s="56">
        <f t="shared" si="39"/>
        <v>0.51450562005446288</v>
      </c>
    </row>
    <row r="456" spans="1:20" x14ac:dyDescent="0.25">
      <c r="A456">
        <v>0.47284274215830702</v>
      </c>
      <c r="B456">
        <v>1.6306239558616653</v>
      </c>
      <c r="D456">
        <v>0.47439000808214793</v>
      </c>
      <c r="E456">
        <v>1.6033375197821442</v>
      </c>
      <c r="J456">
        <v>10</v>
      </c>
      <c r="K456">
        <v>-0.50184110023110406</v>
      </c>
      <c r="L456">
        <v>4.7714980977825441</v>
      </c>
      <c r="M456">
        <v>20</v>
      </c>
      <c r="N456">
        <v>-0.1724071728403942</v>
      </c>
      <c r="O456">
        <v>87.436485187209996</v>
      </c>
      <c r="P456" s="1">
        <f t="shared" si="35"/>
        <v>3.2931422601783047</v>
      </c>
      <c r="Q456" s="1">
        <f t="shared" si="36"/>
        <v>0.49397133902674567</v>
      </c>
      <c r="R456" s="1">
        <f t="shared" si="37"/>
        <v>0.70283094626428178</v>
      </c>
      <c r="S456" s="1">
        <f t="shared" si="38"/>
        <v>-0.46872427735536076</v>
      </c>
      <c r="T456" s="56">
        <f t="shared" si="39"/>
        <v>0.32144781109223919</v>
      </c>
    </row>
    <row r="457" spans="1:20" x14ac:dyDescent="0.25">
      <c r="A457">
        <v>0.47509795866746463</v>
      </c>
      <c r="B457">
        <v>-0.79137635111692362</v>
      </c>
      <c r="D457">
        <v>0.47562869864062707</v>
      </c>
      <c r="E457">
        <v>-2.7632329454263527</v>
      </c>
      <c r="J457">
        <v>10</v>
      </c>
      <c r="K457">
        <v>0.13868486803403357</v>
      </c>
      <c r="L457">
        <v>5.0059177420403396</v>
      </c>
      <c r="M457">
        <v>20</v>
      </c>
      <c r="N457">
        <v>0.41452915070294694</v>
      </c>
      <c r="O457">
        <v>182.55655117233934</v>
      </c>
      <c r="P457" s="1">
        <f t="shared" si="35"/>
        <v>6.6986596040849884</v>
      </c>
      <c r="Q457" s="1">
        <f t="shared" si="36"/>
        <v>1.0047989406127482</v>
      </c>
      <c r="R457" s="1">
        <f t="shared" si="37"/>
        <v>1.0023965984642746</v>
      </c>
      <c r="S457" s="1">
        <f t="shared" si="38"/>
        <v>-0.27518477525913554</v>
      </c>
      <c r="T457" s="56">
        <f t="shared" si="39"/>
        <v>0.39259740731472648</v>
      </c>
    </row>
    <row r="458" spans="1:20" x14ac:dyDescent="0.25">
      <c r="A458">
        <v>0.47535946605650603</v>
      </c>
      <c r="B458">
        <v>0.47200728658935986</v>
      </c>
      <c r="D458">
        <v>0.4763902936140082</v>
      </c>
      <c r="E458">
        <v>-0.20841003220084531</v>
      </c>
      <c r="J458">
        <v>10</v>
      </c>
      <c r="K458">
        <v>-0.43675743199855788</v>
      </c>
      <c r="L458">
        <v>19.075695013081013</v>
      </c>
      <c r="M458">
        <v>20</v>
      </c>
      <c r="N458">
        <v>-1.9018276589122252E-2</v>
      </c>
      <c r="O458">
        <v>91.452656794666638</v>
      </c>
      <c r="P458" s="1">
        <f t="shared" si="35"/>
        <v>3.9474411359909878</v>
      </c>
      <c r="Q458" s="1">
        <f t="shared" si="36"/>
        <v>0.59211617039864817</v>
      </c>
      <c r="R458" s="1">
        <f t="shared" si="37"/>
        <v>0.76949085140672602</v>
      </c>
      <c r="S458" s="1">
        <f t="shared" si="38"/>
        <v>-0.54287735149255634</v>
      </c>
      <c r="T458" s="56">
        <f t="shared" si="39"/>
        <v>0.29575495264881219</v>
      </c>
    </row>
    <row r="459" spans="1:20" x14ac:dyDescent="0.25">
      <c r="A459">
        <v>0.47582981209834363</v>
      </c>
      <c r="B459">
        <v>-0.90265302787884139</v>
      </c>
      <c r="D459">
        <v>0.47645591882581617</v>
      </c>
      <c r="E459">
        <v>4.2064477804615308</v>
      </c>
      <c r="J459">
        <v>10</v>
      </c>
      <c r="K459">
        <v>-0.34551169392216252</v>
      </c>
      <c r="L459">
        <v>9.5909531665960532</v>
      </c>
      <c r="M459">
        <v>20</v>
      </c>
      <c r="N459">
        <v>0.68046102455809887</v>
      </c>
      <c r="O459">
        <v>286.13087652723789</v>
      </c>
      <c r="P459" s="1">
        <f t="shared" si="35"/>
        <v>10.561493917636927</v>
      </c>
      <c r="Q459" s="1">
        <f t="shared" si="36"/>
        <v>1.5842240876455389</v>
      </c>
      <c r="R459" s="1">
        <f t="shared" si="37"/>
        <v>1.2586596393169756</v>
      </c>
      <c r="S459" s="1">
        <f t="shared" si="38"/>
        <v>-0.81513118116428673</v>
      </c>
      <c r="T459" s="56">
        <f t="shared" si="39"/>
        <v>0.21093845397172645</v>
      </c>
    </row>
    <row r="460" spans="1:20" x14ac:dyDescent="0.25">
      <c r="A460">
        <v>0.47654526567617461</v>
      </c>
      <c r="B460">
        <v>0.70425016929220874</v>
      </c>
      <c r="D460">
        <v>0.478779829543174</v>
      </c>
      <c r="E460">
        <v>-1.2130447009894851</v>
      </c>
      <c r="J460">
        <v>10</v>
      </c>
      <c r="K460">
        <v>0.36582639495463809</v>
      </c>
      <c r="L460">
        <v>11.84127140703694</v>
      </c>
      <c r="M460">
        <v>20</v>
      </c>
      <c r="N460">
        <v>-0.3300451714949304</v>
      </c>
      <c r="O460">
        <v>254.56440479027108</v>
      </c>
      <c r="P460" s="1">
        <f t="shared" si="35"/>
        <v>9.5144884356181443</v>
      </c>
      <c r="Q460" s="1">
        <f t="shared" si="36"/>
        <v>1.4271732653427216</v>
      </c>
      <c r="R460" s="1">
        <f t="shared" si="37"/>
        <v>1.1946435725113669</v>
      </c>
      <c r="S460" s="1">
        <f t="shared" si="38"/>
        <v>0.58249304015147774</v>
      </c>
      <c r="T460" s="56">
        <f t="shared" si="39"/>
        <v>0.71755184736775734</v>
      </c>
    </row>
    <row r="461" spans="1:20" x14ac:dyDescent="0.25">
      <c r="A461">
        <v>0.4766495657716544</v>
      </c>
      <c r="B461">
        <v>0.88327624325756915</v>
      </c>
      <c r="D461">
        <v>0.48002096215871981</v>
      </c>
      <c r="E461">
        <v>0.27914961378883163</v>
      </c>
      <c r="J461">
        <v>10</v>
      </c>
      <c r="K461">
        <v>0.21294999896781519</v>
      </c>
      <c r="L461">
        <v>17.655918146597656</v>
      </c>
      <c r="M461">
        <v>20</v>
      </c>
      <c r="N461">
        <v>0.63966080801947101</v>
      </c>
      <c r="O461">
        <v>267.32762328998166</v>
      </c>
      <c r="P461" s="1">
        <f t="shared" si="35"/>
        <v>10.177983622734976</v>
      </c>
      <c r="Q461" s="1">
        <f t="shared" si="36"/>
        <v>1.5266975434102463</v>
      </c>
      <c r="R461" s="1">
        <f t="shared" si="37"/>
        <v>1.2355960275956888</v>
      </c>
      <c r="S461" s="1">
        <f t="shared" si="38"/>
        <v>-0.34534815548248426</v>
      </c>
      <c r="T461" s="56">
        <f t="shared" si="39"/>
        <v>0.36620685871717329</v>
      </c>
    </row>
    <row r="462" spans="1:20" x14ac:dyDescent="0.25">
      <c r="A462">
        <v>0.47724456105560831</v>
      </c>
      <c r="B462">
        <v>0.18997297956957482</v>
      </c>
      <c r="D462">
        <v>0.4801269794964389</v>
      </c>
      <c r="E462">
        <v>-0.77516392934739997</v>
      </c>
      <c r="J462">
        <v>10</v>
      </c>
      <c r="K462">
        <v>-0.24243490770459175</v>
      </c>
      <c r="L462">
        <v>4.058780787288927</v>
      </c>
      <c r="M462">
        <v>20</v>
      </c>
      <c r="N462">
        <v>0.74567963906702062</v>
      </c>
      <c r="O462">
        <v>208.20800450368307</v>
      </c>
      <c r="P462" s="1">
        <f t="shared" si="35"/>
        <v>7.5809566175347145</v>
      </c>
      <c r="Q462" s="1">
        <f t="shared" si="36"/>
        <v>1.1371434926302071</v>
      </c>
      <c r="R462" s="1">
        <f t="shared" si="37"/>
        <v>1.0663693040547477</v>
      </c>
      <c r="S462" s="1">
        <f t="shared" si="38"/>
        <v>-0.92661570716113029</v>
      </c>
      <c r="T462" s="56">
        <f t="shared" si="39"/>
        <v>0.181022357398744</v>
      </c>
    </row>
    <row r="463" spans="1:20" x14ac:dyDescent="0.25">
      <c r="A463">
        <v>0.47862584015037579</v>
      </c>
      <c r="B463">
        <v>0.48332594815292396</v>
      </c>
      <c r="D463">
        <v>0.48206484356198787</v>
      </c>
      <c r="E463">
        <v>-4.1409673519865464</v>
      </c>
      <c r="J463">
        <v>10</v>
      </c>
      <c r="K463">
        <v>-8.5191913967719302E-2</v>
      </c>
      <c r="L463">
        <v>6.0957560349549631</v>
      </c>
      <c r="M463">
        <v>20</v>
      </c>
      <c r="N463">
        <v>-0.12238041676937428</v>
      </c>
      <c r="O463">
        <v>167.39624127653406</v>
      </c>
      <c r="P463" s="1">
        <f t="shared" si="35"/>
        <v>6.1961427611246078</v>
      </c>
      <c r="Q463" s="1">
        <f t="shared" si="36"/>
        <v>0.92942141416869117</v>
      </c>
      <c r="R463" s="1">
        <f t="shared" si="37"/>
        <v>0.96406504664814563</v>
      </c>
      <c r="S463" s="1">
        <f t="shared" si="38"/>
        <v>3.8574682207338284E-2</v>
      </c>
      <c r="T463" s="56">
        <f t="shared" si="39"/>
        <v>0.51524839303501913</v>
      </c>
    </row>
    <row r="464" spans="1:20" x14ac:dyDescent="0.25">
      <c r="A464">
        <v>0.4789855366379665</v>
      </c>
      <c r="B464">
        <v>-1.2877853805548511</v>
      </c>
      <c r="D464">
        <v>0.48221172474948781</v>
      </c>
      <c r="E464">
        <v>-0.13354724956116115</v>
      </c>
      <c r="J464">
        <v>10</v>
      </c>
      <c r="K464">
        <v>1.9659410099848174E-2</v>
      </c>
      <c r="L464">
        <v>5.2847519695545415</v>
      </c>
      <c r="M464">
        <v>20</v>
      </c>
      <c r="N464">
        <v>0.19312954805172922</v>
      </c>
      <c r="O464">
        <v>123.61175133456004</v>
      </c>
      <c r="P464" s="1">
        <f t="shared" si="35"/>
        <v>4.6034465465755208</v>
      </c>
      <c r="Q464" s="1">
        <f t="shared" si="36"/>
        <v>0.69051698198632805</v>
      </c>
      <c r="R464" s="1">
        <f t="shared" si="37"/>
        <v>0.83097351461182445</v>
      </c>
      <c r="S464" s="1">
        <f t="shared" si="38"/>
        <v>-0.20875531518343848</v>
      </c>
      <c r="T464" s="56">
        <f t="shared" si="39"/>
        <v>0.41807524773004201</v>
      </c>
    </row>
    <row r="465" spans="1:20" x14ac:dyDescent="0.25">
      <c r="A465">
        <v>0.47962105087365214</v>
      </c>
      <c r="B465">
        <v>0.58563273341860622</v>
      </c>
      <c r="D465">
        <v>0.4826395464377462</v>
      </c>
      <c r="E465">
        <v>5.4039658118654188</v>
      </c>
      <c r="J465">
        <v>10</v>
      </c>
      <c r="K465">
        <v>-0.26944769615511177</v>
      </c>
      <c r="L465">
        <v>6.1957500518856845</v>
      </c>
      <c r="M465">
        <v>20</v>
      </c>
      <c r="N465">
        <v>0.37418936585709162</v>
      </c>
      <c r="O465">
        <v>181.38084370573941</v>
      </c>
      <c r="P465" s="1">
        <f t="shared" si="35"/>
        <v>6.6991640627723248</v>
      </c>
      <c r="Q465" s="1">
        <f t="shared" si="36"/>
        <v>1.0048746094158487</v>
      </c>
      <c r="R465" s="1">
        <f t="shared" si="37"/>
        <v>1.0024343416981727</v>
      </c>
      <c r="S465" s="1">
        <f t="shared" si="38"/>
        <v>-0.64207403441690836</v>
      </c>
      <c r="T465" s="56">
        <f t="shared" si="39"/>
        <v>0.26302374689178948</v>
      </c>
    </row>
    <row r="466" spans="1:20" x14ac:dyDescent="0.25">
      <c r="A466">
        <v>0.47962588985197441</v>
      </c>
      <c r="B466">
        <v>-0.39932047002366744</v>
      </c>
      <c r="D466">
        <v>0.48283291876269163</v>
      </c>
      <c r="E466">
        <v>-3.9874423725905217</v>
      </c>
      <c r="J466">
        <v>10</v>
      </c>
      <c r="K466">
        <v>9.3835524239693768E-2</v>
      </c>
      <c r="L466">
        <v>7.237215256913168</v>
      </c>
      <c r="M466">
        <v>20</v>
      </c>
      <c r="N466">
        <v>0.83762426697830961</v>
      </c>
      <c r="O466">
        <v>127.2651014345701</v>
      </c>
      <c r="P466" s="1">
        <f t="shared" si="35"/>
        <v>4.8036541675529731</v>
      </c>
      <c r="Q466" s="1">
        <f t="shared" si="36"/>
        <v>0.72054812513294597</v>
      </c>
      <c r="R466" s="1">
        <f t="shared" si="37"/>
        <v>0.84885106180822201</v>
      </c>
      <c r="S466" s="1">
        <f t="shared" si="38"/>
        <v>-0.8762299727283106</v>
      </c>
      <c r="T466" s="56">
        <f t="shared" si="39"/>
        <v>0.19418033132836021</v>
      </c>
    </row>
    <row r="467" spans="1:20" x14ac:dyDescent="0.25">
      <c r="A467">
        <v>0.47987407176523245</v>
      </c>
      <c r="B467">
        <v>0.619202182861045</v>
      </c>
      <c r="D467">
        <v>0.48364983882705126</v>
      </c>
      <c r="E467">
        <v>-0.50901735789921077</v>
      </c>
      <c r="J467">
        <v>10</v>
      </c>
      <c r="K467">
        <v>-0.36630535760195926</v>
      </c>
      <c r="L467">
        <v>9.1836168755806895</v>
      </c>
      <c r="M467">
        <v>20</v>
      </c>
      <c r="N467">
        <v>0.17652365272624593</v>
      </c>
      <c r="O467">
        <v>161.81219555200965</v>
      </c>
      <c r="P467" s="1">
        <f t="shared" si="35"/>
        <v>6.1069933009853701</v>
      </c>
      <c r="Q467" s="1">
        <f t="shared" si="36"/>
        <v>0.91604899514780547</v>
      </c>
      <c r="R467" s="1">
        <f t="shared" si="37"/>
        <v>0.95710448496901601</v>
      </c>
      <c r="S467" s="1">
        <f t="shared" si="38"/>
        <v>-0.56715752444288048</v>
      </c>
      <c r="T467" s="56">
        <f t="shared" si="39"/>
        <v>0.28756321245015809</v>
      </c>
    </row>
    <row r="468" spans="1:20" x14ac:dyDescent="0.25">
      <c r="A468">
        <v>0.48036786505755402</v>
      </c>
      <c r="B468">
        <v>-1.0922394722001627</v>
      </c>
      <c r="D468">
        <v>0.48550452835899738</v>
      </c>
      <c r="E468">
        <v>-3.3426947572934296</v>
      </c>
      <c r="J468">
        <v>10</v>
      </c>
      <c r="K468">
        <v>-0.11977488156844629</v>
      </c>
      <c r="L468">
        <v>4.5781116633954646</v>
      </c>
      <c r="M468">
        <v>20</v>
      </c>
      <c r="N468">
        <v>-0.49389712216907355</v>
      </c>
      <c r="O468">
        <v>262.33003389672172</v>
      </c>
      <c r="P468" s="1">
        <f t="shared" si="35"/>
        <v>9.5324337700041859</v>
      </c>
      <c r="Q468" s="1">
        <f t="shared" si="36"/>
        <v>1.4298650655006278</v>
      </c>
      <c r="R468" s="1">
        <f t="shared" si="37"/>
        <v>1.1957696540306697</v>
      </c>
      <c r="S468" s="1">
        <f t="shared" si="38"/>
        <v>0.31287149606075521</v>
      </c>
      <c r="T468" s="56">
        <f t="shared" si="39"/>
        <v>0.62165158549324051</v>
      </c>
    </row>
    <row r="469" spans="1:20" x14ac:dyDescent="0.25">
      <c r="A469">
        <v>0.48353164577506247</v>
      </c>
      <c r="B469">
        <v>0.68052827373321634</v>
      </c>
      <c r="D469">
        <v>0.48648046922846822</v>
      </c>
      <c r="E469">
        <v>5.6528854167936515</v>
      </c>
      <c r="J469">
        <v>10</v>
      </c>
      <c r="K469">
        <v>0.54610950428468641</v>
      </c>
      <c r="L469">
        <v>6.5035414695848761</v>
      </c>
      <c r="M469">
        <v>20</v>
      </c>
      <c r="N469">
        <v>-0.43441463390081481</v>
      </c>
      <c r="O469">
        <v>170.90315896931548</v>
      </c>
      <c r="P469" s="1">
        <f t="shared" si="35"/>
        <v>6.3359535871035844</v>
      </c>
      <c r="Q469" s="1">
        <f t="shared" si="36"/>
        <v>0.95039303806553765</v>
      </c>
      <c r="R469" s="1">
        <f t="shared" si="37"/>
        <v>0.9748810379043884</v>
      </c>
      <c r="S469" s="1">
        <f t="shared" si="38"/>
        <v>1.0057885014291008</v>
      </c>
      <c r="T469" s="56">
        <f t="shared" si="39"/>
        <v>0.83843466922532361</v>
      </c>
    </row>
    <row r="470" spans="1:20" x14ac:dyDescent="0.25">
      <c r="A470">
        <v>0.48372294001698124</v>
      </c>
      <c r="B470">
        <v>-1.0806456884893123</v>
      </c>
      <c r="D470">
        <v>0.48700391353649952</v>
      </c>
      <c r="E470">
        <v>2.1554872057549801</v>
      </c>
      <c r="J470">
        <v>10</v>
      </c>
      <c r="K470">
        <v>-0.28724298317683861</v>
      </c>
      <c r="L470">
        <v>5.950436643416217</v>
      </c>
      <c r="M470">
        <v>20</v>
      </c>
      <c r="N470">
        <v>2.6263986683261464E-2</v>
      </c>
      <c r="O470">
        <v>202.63659899267626</v>
      </c>
      <c r="P470" s="1">
        <f t="shared" si="35"/>
        <v>7.4495369870033032</v>
      </c>
      <c r="Q470" s="1">
        <f t="shared" si="36"/>
        <v>1.1174305480504954</v>
      </c>
      <c r="R470" s="1">
        <f t="shared" si="37"/>
        <v>1.057085875437987</v>
      </c>
      <c r="S470" s="1">
        <f t="shared" si="38"/>
        <v>-0.29657663312377847</v>
      </c>
      <c r="T470" s="56">
        <f t="shared" si="39"/>
        <v>0.38448929089409356</v>
      </c>
    </row>
    <row r="471" spans="1:20" x14ac:dyDescent="0.25">
      <c r="A471">
        <v>0.48413503471166219</v>
      </c>
      <c r="B471">
        <v>2.0402876543812454</v>
      </c>
      <c r="D471">
        <v>0.48902964669010662</v>
      </c>
      <c r="E471">
        <v>2.2771162059598282</v>
      </c>
      <c r="J471">
        <v>10</v>
      </c>
      <c r="K471">
        <v>7.3987735049740877E-2</v>
      </c>
      <c r="L471">
        <v>6.1920966599936094</v>
      </c>
      <c r="M471">
        <v>20</v>
      </c>
      <c r="N471">
        <v>0.64463023022653942</v>
      </c>
      <c r="O471">
        <v>111.8352476472193</v>
      </c>
      <c r="P471" s="1">
        <f t="shared" si="35"/>
        <v>4.2152622966861752</v>
      </c>
      <c r="Q471" s="1">
        <f t="shared" si="36"/>
        <v>0.63228934450292629</v>
      </c>
      <c r="R471" s="1">
        <f t="shared" si="37"/>
        <v>0.79516623702401146</v>
      </c>
      <c r="S471" s="1">
        <f t="shared" si="38"/>
        <v>-0.71763924146538804</v>
      </c>
      <c r="T471" s="56">
        <f t="shared" si="39"/>
        <v>0.23946238264665959</v>
      </c>
    </row>
    <row r="472" spans="1:20" x14ac:dyDescent="0.25">
      <c r="A472">
        <v>0.48451635818569161</v>
      </c>
      <c r="B472">
        <v>-0.60738443607988302</v>
      </c>
      <c r="D472">
        <v>0.49007955475844966</v>
      </c>
      <c r="E472">
        <v>1.2175571521311213</v>
      </c>
      <c r="J472">
        <v>10</v>
      </c>
      <c r="K472">
        <v>0.23343420707533369</v>
      </c>
      <c r="L472">
        <v>10.865653714790135</v>
      </c>
      <c r="M472">
        <v>20</v>
      </c>
      <c r="N472">
        <v>-0.8092193331776798</v>
      </c>
      <c r="O472">
        <v>155.39795571219099</v>
      </c>
      <c r="P472" s="1">
        <f t="shared" si="35"/>
        <v>5.9379860509636115</v>
      </c>
      <c r="Q472" s="1">
        <f t="shared" si="36"/>
        <v>0.89069790764454171</v>
      </c>
      <c r="R472" s="1">
        <f t="shared" si="37"/>
        <v>0.94376793103206347</v>
      </c>
      <c r="S472" s="1">
        <f t="shared" si="38"/>
        <v>1.1047774627315563</v>
      </c>
      <c r="T472" s="56">
        <f t="shared" si="39"/>
        <v>0.86067026261203339</v>
      </c>
    </row>
    <row r="473" spans="1:20" x14ac:dyDescent="0.25">
      <c r="A473">
        <v>0.48470008486293847</v>
      </c>
      <c r="B473">
        <v>0.8589040589868091</v>
      </c>
      <c r="D473">
        <v>0.49010574198340628</v>
      </c>
      <c r="E473">
        <v>1.6644828485823382</v>
      </c>
      <c r="J473">
        <v>10</v>
      </c>
      <c r="K473">
        <v>0.29671639367734315</v>
      </c>
      <c r="L473">
        <v>16.78930139172715</v>
      </c>
      <c r="M473">
        <v>20</v>
      </c>
      <c r="N473">
        <v>-0.19747631426980661</v>
      </c>
      <c r="O473">
        <v>127.0080664320942</v>
      </c>
      <c r="P473" s="1">
        <f t="shared" si="35"/>
        <v>5.1356202794221906</v>
      </c>
      <c r="Q473" s="1">
        <f t="shared" si="36"/>
        <v>0.77034304191332859</v>
      </c>
      <c r="R473" s="1">
        <f t="shared" si="37"/>
        <v>0.8776918832445294</v>
      </c>
      <c r="S473" s="1">
        <f t="shared" si="38"/>
        <v>0.56305944874445779</v>
      </c>
      <c r="T473" s="56">
        <f t="shared" si="39"/>
        <v>0.71106212074055541</v>
      </c>
    </row>
    <row r="474" spans="1:20" x14ac:dyDescent="0.25">
      <c r="A474">
        <v>0.48610572552568876</v>
      </c>
      <c r="B474">
        <v>-0.32497382562723942</v>
      </c>
      <c r="D474">
        <v>0.49037344471407429</v>
      </c>
      <c r="E474">
        <v>-0.65438758042546397</v>
      </c>
      <c r="J474">
        <v>10</v>
      </c>
      <c r="K474">
        <v>-0.41712348775035935</v>
      </c>
      <c r="L474">
        <v>11.787932500789012</v>
      </c>
      <c r="M474">
        <v>20</v>
      </c>
      <c r="N474">
        <v>-0.91845709334847925</v>
      </c>
      <c r="O474">
        <v>122.19011758813737</v>
      </c>
      <c r="P474" s="1">
        <f t="shared" si="35"/>
        <v>4.7849303603187989</v>
      </c>
      <c r="Q474" s="1">
        <f t="shared" si="36"/>
        <v>0.71773955404781986</v>
      </c>
      <c r="R474" s="1">
        <f t="shared" si="37"/>
        <v>0.84719510978747969</v>
      </c>
      <c r="S474" s="1">
        <f t="shared" si="38"/>
        <v>0.59175696342709094</v>
      </c>
      <c r="T474" s="56">
        <f t="shared" si="39"/>
        <v>0.72061926656541009</v>
      </c>
    </row>
    <row r="475" spans="1:20" x14ac:dyDescent="0.25">
      <c r="A475">
        <v>0.48619107864567002</v>
      </c>
      <c r="B475">
        <v>-0.48978336053551175</v>
      </c>
      <c r="D475">
        <v>0.49063656076772699</v>
      </c>
      <c r="E475">
        <v>-1.0678893465865258</v>
      </c>
      <c r="J475">
        <v>10</v>
      </c>
      <c r="K475">
        <v>0.44173339119879529</v>
      </c>
      <c r="L475">
        <v>5.6506962204850071</v>
      </c>
      <c r="M475">
        <v>20</v>
      </c>
      <c r="N475">
        <v>-0.69856224968134484</v>
      </c>
      <c r="O475">
        <v>99.846194163226201</v>
      </c>
      <c r="P475" s="1">
        <f t="shared" si="35"/>
        <v>3.7677460851325431</v>
      </c>
      <c r="Q475" s="1">
        <f t="shared" si="36"/>
        <v>0.56516191276988148</v>
      </c>
      <c r="R475" s="1">
        <f t="shared" si="37"/>
        <v>0.75177251397605749</v>
      </c>
      <c r="S475" s="1">
        <f t="shared" si="38"/>
        <v>1.5168094332808453</v>
      </c>
      <c r="T475" s="56">
        <f t="shared" si="39"/>
        <v>0.92973753277380788</v>
      </c>
    </row>
    <row r="476" spans="1:20" x14ac:dyDescent="0.25">
      <c r="A476">
        <v>0.48672893099758952</v>
      </c>
      <c r="B476">
        <v>-1.1302518032607622</v>
      </c>
      <c r="D476">
        <v>0.49186798125817088</v>
      </c>
      <c r="E476">
        <v>2.6693426173096668</v>
      </c>
      <c r="J476">
        <v>10</v>
      </c>
      <c r="K476">
        <v>0.7529475851697498</v>
      </c>
      <c r="L476">
        <v>12.629055099526415</v>
      </c>
      <c r="M476">
        <v>20</v>
      </c>
      <c r="N476">
        <v>-0.32591902140666207</v>
      </c>
      <c r="O476">
        <v>273.62363342581347</v>
      </c>
      <c r="P476" s="1">
        <f t="shared" si="35"/>
        <v>10.223310304476424</v>
      </c>
      <c r="Q476" s="1">
        <f t="shared" si="36"/>
        <v>1.5334965456714635</v>
      </c>
      <c r="R476" s="1">
        <f t="shared" si="37"/>
        <v>1.2383442759069319</v>
      </c>
      <c r="S476" s="1">
        <f t="shared" si="38"/>
        <v>0.87121701740517787</v>
      </c>
      <c r="T476" s="56">
        <f t="shared" si="39"/>
        <v>0.80447771707138171</v>
      </c>
    </row>
    <row r="477" spans="1:20" x14ac:dyDescent="0.25">
      <c r="A477">
        <v>0.48754256027547704</v>
      </c>
      <c r="B477">
        <v>0.5425772542366758</v>
      </c>
      <c r="D477">
        <v>0.49237797224828572</v>
      </c>
      <c r="E477">
        <v>4.4025166482697387</v>
      </c>
      <c r="J477">
        <v>10</v>
      </c>
      <c r="K477">
        <v>-0.19642322968138615</v>
      </c>
      <c r="L477">
        <v>9.5265409133670271</v>
      </c>
      <c r="M477">
        <v>20</v>
      </c>
      <c r="N477">
        <v>0.20538470494102512</v>
      </c>
      <c r="O477">
        <v>174.38457755134684</v>
      </c>
      <c r="P477" s="1">
        <f t="shared" si="35"/>
        <v>6.5682542308826379</v>
      </c>
      <c r="Q477" s="1">
        <f t="shared" si="36"/>
        <v>0.98523813463239562</v>
      </c>
      <c r="R477" s="1">
        <f t="shared" si="37"/>
        <v>0.99259162530841238</v>
      </c>
      <c r="S477" s="1">
        <f t="shared" si="38"/>
        <v>-0.40480689578411849</v>
      </c>
      <c r="T477" s="56">
        <f t="shared" si="39"/>
        <v>0.34434774825480807</v>
      </c>
    </row>
    <row r="478" spans="1:20" x14ac:dyDescent="0.25">
      <c r="A478">
        <v>0.48758095441422167</v>
      </c>
      <c r="B478">
        <v>0.36459368857322261</v>
      </c>
      <c r="D478">
        <v>0.49296687387109905</v>
      </c>
      <c r="E478">
        <v>1.4509107552385103</v>
      </c>
      <c r="J478">
        <v>10</v>
      </c>
      <c r="K478">
        <v>0.21611674583255081</v>
      </c>
      <c r="L478">
        <v>14.354769018161463</v>
      </c>
      <c r="M478">
        <v>20</v>
      </c>
      <c r="N478">
        <v>-0.47040197500791692</v>
      </c>
      <c r="O478">
        <v>206.30582860122479</v>
      </c>
      <c r="P478" s="1">
        <f t="shared" si="35"/>
        <v>7.8807356292637945</v>
      </c>
      <c r="Q478" s="1">
        <f t="shared" si="36"/>
        <v>1.1821103443895691</v>
      </c>
      <c r="R478" s="1">
        <f t="shared" si="37"/>
        <v>1.0872489799441383</v>
      </c>
      <c r="S478" s="1">
        <f t="shared" si="38"/>
        <v>0.63142733035789134</v>
      </c>
      <c r="T478" s="56">
        <f t="shared" si="39"/>
        <v>0.73355870889466024</v>
      </c>
    </row>
    <row r="479" spans="1:20" x14ac:dyDescent="0.25">
      <c r="A479">
        <v>0.49113904271265341</v>
      </c>
      <c r="B479">
        <v>-3.179025043209549E-2</v>
      </c>
      <c r="D479">
        <v>0.4932804078046269</v>
      </c>
      <c r="E479">
        <v>2.733571133148871</v>
      </c>
      <c r="J479">
        <v>10</v>
      </c>
      <c r="K479">
        <v>-0.27917894840356894</v>
      </c>
      <c r="L479">
        <v>3.1850330017844217</v>
      </c>
      <c r="M479">
        <v>20</v>
      </c>
      <c r="N479">
        <v>0.29131916448932316</v>
      </c>
      <c r="O479">
        <v>134.14022094799483</v>
      </c>
      <c r="P479" s="1">
        <f t="shared" si="35"/>
        <v>4.9044733553492597</v>
      </c>
      <c r="Q479" s="1">
        <f t="shared" si="36"/>
        <v>0.73567100330238888</v>
      </c>
      <c r="R479" s="1">
        <f t="shared" si="37"/>
        <v>0.85771265777204719</v>
      </c>
      <c r="S479" s="1">
        <f t="shared" si="38"/>
        <v>-0.66513896900483005</v>
      </c>
      <c r="T479" s="56">
        <f t="shared" si="39"/>
        <v>0.25570179046528163</v>
      </c>
    </row>
    <row r="480" spans="1:20" x14ac:dyDescent="0.25">
      <c r="A480">
        <v>0.49295877213135852</v>
      </c>
      <c r="B480">
        <v>0.60858155848109163</v>
      </c>
      <c r="D480">
        <v>0.49366169728984144</v>
      </c>
      <c r="E480">
        <v>1.7754025486738101</v>
      </c>
      <c r="J480">
        <v>10</v>
      </c>
      <c r="K480">
        <v>0.40950703805719968</v>
      </c>
      <c r="L480">
        <v>5.2094484543317092</v>
      </c>
      <c r="M480">
        <v>20</v>
      </c>
      <c r="N480">
        <v>-0.51056816005257133</v>
      </c>
      <c r="O480">
        <v>243.57378509104649</v>
      </c>
      <c r="P480" s="1">
        <f t="shared" si="35"/>
        <v>8.8851154837635082</v>
      </c>
      <c r="Q480" s="1">
        <f t="shared" si="36"/>
        <v>1.3327673225645262</v>
      </c>
      <c r="R480" s="1">
        <f t="shared" si="37"/>
        <v>1.1544554225107726</v>
      </c>
      <c r="S480" s="1">
        <f t="shared" si="38"/>
        <v>0.79697767464138314</v>
      </c>
      <c r="T480" s="56">
        <f t="shared" si="39"/>
        <v>0.78391474845335973</v>
      </c>
    </row>
    <row r="481" spans="1:20" x14ac:dyDescent="0.25">
      <c r="A481">
        <v>0.49348065582010714</v>
      </c>
      <c r="B481">
        <v>-0.76681772043230012</v>
      </c>
      <c r="D481">
        <v>0.49366652575128289</v>
      </c>
      <c r="E481">
        <v>3.4496754290103127</v>
      </c>
      <c r="J481">
        <v>10</v>
      </c>
      <c r="K481">
        <v>-0.20577124359988375</v>
      </c>
      <c r="L481">
        <v>3.1784020027150177</v>
      </c>
      <c r="M481">
        <v>20</v>
      </c>
      <c r="N481">
        <v>0.41670613995847816</v>
      </c>
      <c r="O481">
        <v>184.00869889217981</v>
      </c>
      <c r="P481" s="1">
        <f t="shared" si="35"/>
        <v>6.6852536033891008</v>
      </c>
      <c r="Q481" s="1">
        <f t="shared" si="36"/>
        <v>1.0027880405083651</v>
      </c>
      <c r="R481" s="1">
        <f t="shared" si="37"/>
        <v>1.0013930499600869</v>
      </c>
      <c r="S481" s="1">
        <f t="shared" si="38"/>
        <v>-0.62161144775587596</v>
      </c>
      <c r="T481" s="56">
        <f t="shared" si="39"/>
        <v>0.26961300836069857</v>
      </c>
    </row>
    <row r="482" spans="1:20" x14ac:dyDescent="0.25">
      <c r="A482">
        <v>0.49425381485430675</v>
      </c>
      <c r="B482">
        <v>1.860125848907046</v>
      </c>
      <c r="D482">
        <v>0.49405518972440965</v>
      </c>
      <c r="E482">
        <v>-5.3728506406969245</v>
      </c>
      <c r="J482">
        <v>10</v>
      </c>
      <c r="K482">
        <v>-0.34233266887895297</v>
      </c>
      <c r="L482">
        <v>9.6066790071502357</v>
      </c>
      <c r="M482">
        <v>20</v>
      </c>
      <c r="N482">
        <v>5.7981250165539677E-2</v>
      </c>
      <c r="O482">
        <v>197.76904159064864</v>
      </c>
      <c r="P482" s="1">
        <f t="shared" si="35"/>
        <v>7.4062757356356741</v>
      </c>
      <c r="Q482" s="1">
        <f t="shared" si="36"/>
        <v>1.1109413603453511</v>
      </c>
      <c r="R482" s="1">
        <f t="shared" si="37"/>
        <v>1.0540120304557017</v>
      </c>
      <c r="S482" s="1">
        <f t="shared" si="38"/>
        <v>-0.37980014219706493</v>
      </c>
      <c r="T482" s="56">
        <f t="shared" si="39"/>
        <v>0.35347968123669365</v>
      </c>
    </row>
    <row r="483" spans="1:20" x14ac:dyDescent="0.25">
      <c r="A483">
        <v>0.49485085082732494</v>
      </c>
      <c r="B483">
        <v>1.8532591639086604</v>
      </c>
      <c r="D483">
        <v>0.4969029366422234</v>
      </c>
      <c r="E483">
        <v>0.51210758670094947</v>
      </c>
      <c r="J483">
        <v>10</v>
      </c>
      <c r="K483">
        <v>0.63506661263090791</v>
      </c>
      <c r="L483">
        <v>7.5618259332429618</v>
      </c>
      <c r="M483">
        <v>20</v>
      </c>
      <c r="N483">
        <v>0.20791980773537944</v>
      </c>
      <c r="O483">
        <v>257.21309581482058</v>
      </c>
      <c r="P483" s="1">
        <f t="shared" si="35"/>
        <v>9.4562472052879833</v>
      </c>
      <c r="Q483" s="1">
        <f t="shared" si="36"/>
        <v>1.4184370807931974</v>
      </c>
      <c r="R483" s="1">
        <f t="shared" si="37"/>
        <v>1.190981561903121</v>
      </c>
      <c r="S483" s="1">
        <f t="shared" si="38"/>
        <v>0.35865106443207406</v>
      </c>
      <c r="T483" s="56">
        <f t="shared" si="39"/>
        <v>0.63872683567184807</v>
      </c>
    </row>
    <row r="484" spans="1:20" x14ac:dyDescent="0.25">
      <c r="A484">
        <v>0.49594092706150439</v>
      </c>
      <c r="B484">
        <v>0.3215882315998897</v>
      </c>
      <c r="D484">
        <v>0.50092056570233479</v>
      </c>
      <c r="E484">
        <v>2.1012381205309794</v>
      </c>
      <c r="J484">
        <v>10</v>
      </c>
      <c r="K484">
        <v>-0.28599117740668589</v>
      </c>
      <c r="L484">
        <v>6.32680502535265</v>
      </c>
      <c r="M484">
        <v>20</v>
      </c>
      <c r="N484">
        <v>0.33093982324317039</v>
      </c>
      <c r="O484">
        <v>140.49031426913083</v>
      </c>
      <c r="P484" s="1">
        <f t="shared" si="35"/>
        <v>5.2434685462315533</v>
      </c>
      <c r="Q484" s="1">
        <f t="shared" si="36"/>
        <v>0.786520281934733</v>
      </c>
      <c r="R484" s="1">
        <f t="shared" si="37"/>
        <v>0.88685978707726565</v>
      </c>
      <c r="S484" s="1">
        <f t="shared" si="38"/>
        <v>-0.69563533000296873</v>
      </c>
      <c r="T484" s="56">
        <f t="shared" si="39"/>
        <v>0.24619550832226617</v>
      </c>
    </row>
    <row r="485" spans="1:20" x14ac:dyDescent="0.25">
      <c r="A485">
        <v>0.49597576445455738</v>
      </c>
      <c r="B485">
        <v>0.3931972969439812</v>
      </c>
      <c r="D485">
        <v>0.50200511729243436</v>
      </c>
      <c r="E485">
        <v>2.7169546649474796</v>
      </c>
      <c r="J485">
        <v>10</v>
      </c>
      <c r="K485">
        <v>-0.34833578865800519</v>
      </c>
      <c r="L485">
        <v>4.6978227835081547</v>
      </c>
      <c r="M485">
        <v>20</v>
      </c>
      <c r="N485">
        <v>0.13776024957223854</v>
      </c>
      <c r="O485">
        <v>99.373474949733691</v>
      </c>
      <c r="P485" s="1">
        <f t="shared" si="35"/>
        <v>3.7168320619014947</v>
      </c>
      <c r="Q485" s="1">
        <f t="shared" si="36"/>
        <v>0.55752480928522419</v>
      </c>
      <c r="R485" s="1">
        <f t="shared" si="37"/>
        <v>0.74667583949477312</v>
      </c>
      <c r="S485" s="1">
        <f t="shared" si="38"/>
        <v>-0.65101348204751508</v>
      </c>
      <c r="T485" s="56">
        <f t="shared" si="39"/>
        <v>0.26017256759371155</v>
      </c>
    </row>
    <row r="486" spans="1:20" x14ac:dyDescent="0.25">
      <c r="A486">
        <v>0.49600931675523874</v>
      </c>
      <c r="B486">
        <v>0.78594780461571645</v>
      </c>
      <c r="D486">
        <v>0.50299809696602416</v>
      </c>
      <c r="E486">
        <v>-1.1947911423249025</v>
      </c>
      <c r="J486">
        <v>10</v>
      </c>
      <c r="K486">
        <v>-5.0602125156729016E-2</v>
      </c>
      <c r="L486">
        <v>4.7160496813222244</v>
      </c>
      <c r="M486">
        <v>20</v>
      </c>
      <c r="N486">
        <v>0.23999569634725049</v>
      </c>
      <c r="O486">
        <v>134.30131189555001</v>
      </c>
      <c r="P486" s="1">
        <f t="shared" si="35"/>
        <v>4.9649057706025799</v>
      </c>
      <c r="Q486" s="1">
        <f t="shared" si="36"/>
        <v>0.74473586559038696</v>
      </c>
      <c r="R486" s="1">
        <f t="shared" si="37"/>
        <v>0.86298080256190346</v>
      </c>
      <c r="S486" s="1">
        <f t="shared" si="38"/>
        <v>-0.33673729547782644</v>
      </c>
      <c r="T486" s="56">
        <f t="shared" si="39"/>
        <v>0.36941293846351919</v>
      </c>
    </row>
    <row r="487" spans="1:20" x14ac:dyDescent="0.25">
      <c r="A487">
        <v>0.49830644957106085</v>
      </c>
      <c r="B487">
        <v>-1.1795827958849259</v>
      </c>
      <c r="D487">
        <v>0.50348687654280577</v>
      </c>
      <c r="E487">
        <v>-6.2660608398346085</v>
      </c>
      <c r="J487">
        <v>10</v>
      </c>
      <c r="K487">
        <v>4.0975692172651179E-2</v>
      </c>
      <c r="L487">
        <v>14.012760959364103</v>
      </c>
      <c r="M487">
        <v>20</v>
      </c>
      <c r="N487">
        <v>1.9742590745863708</v>
      </c>
      <c r="O487">
        <v>175.06522850490964</v>
      </c>
      <c r="P487" s="1">
        <f t="shared" si="35"/>
        <v>6.7527853380097769</v>
      </c>
      <c r="Q487" s="1">
        <f t="shared" si="36"/>
        <v>1.0129178007014665</v>
      </c>
      <c r="R487" s="1">
        <f t="shared" si="37"/>
        <v>1.0064381753001357</v>
      </c>
      <c r="S487" s="1">
        <f t="shared" si="38"/>
        <v>-1.9209161872632505</v>
      </c>
      <c r="T487" s="56">
        <f t="shared" si="39"/>
        <v>3.2488957918444299E-2</v>
      </c>
    </row>
    <row r="488" spans="1:20" x14ac:dyDescent="0.25">
      <c r="A488">
        <v>0.49850276770555113</v>
      </c>
      <c r="B488">
        <v>-0.24110590857162606</v>
      </c>
      <c r="D488">
        <v>0.50607889953911123</v>
      </c>
      <c r="E488">
        <v>2.6265258804869518</v>
      </c>
      <c r="J488">
        <v>10</v>
      </c>
      <c r="K488">
        <v>0.16222816157096531</v>
      </c>
      <c r="L488">
        <v>8.7395915655182499</v>
      </c>
      <c r="M488">
        <v>20</v>
      </c>
      <c r="N488">
        <v>-1.0719251156388054</v>
      </c>
      <c r="O488">
        <v>358.24655326259852</v>
      </c>
      <c r="P488" s="1">
        <f t="shared" si="35"/>
        <v>13.106648029575599</v>
      </c>
      <c r="Q488" s="1">
        <f t="shared" si="36"/>
        <v>1.9659972044363396</v>
      </c>
      <c r="R488" s="1">
        <f t="shared" si="37"/>
        <v>1.4021402228152289</v>
      </c>
      <c r="S488" s="1">
        <f t="shared" si="38"/>
        <v>0.88019247799041633</v>
      </c>
      <c r="T488" s="56">
        <f t="shared" si="39"/>
        <v>0.80687622300922268</v>
      </c>
    </row>
    <row r="489" spans="1:20" x14ac:dyDescent="0.25">
      <c r="A489">
        <v>0.49883687683465627</v>
      </c>
      <c r="B489">
        <v>1.1953761713812128</v>
      </c>
      <c r="D489">
        <v>0.50751012434764475</v>
      </c>
      <c r="E489">
        <v>-4.8793087933063362</v>
      </c>
      <c r="J489">
        <v>10</v>
      </c>
      <c r="K489">
        <v>-4.9061327445087954E-2</v>
      </c>
      <c r="L489">
        <v>4.5632050155653072</v>
      </c>
      <c r="M489">
        <v>20</v>
      </c>
      <c r="N489">
        <v>0.97991283723786182</v>
      </c>
      <c r="O489">
        <v>87.463847047502782</v>
      </c>
      <c r="P489" s="1">
        <f t="shared" si="35"/>
        <v>3.2866804308238602</v>
      </c>
      <c r="Q489" s="1">
        <f t="shared" si="36"/>
        <v>0.49300206462357898</v>
      </c>
      <c r="R489" s="1">
        <f t="shared" si="37"/>
        <v>0.70214105749740841</v>
      </c>
      <c r="S489" s="1">
        <f t="shared" si="38"/>
        <v>-1.4654806946490915</v>
      </c>
      <c r="T489" s="56">
        <f t="shared" si="39"/>
        <v>7.6965048397999711E-2</v>
      </c>
    </row>
    <row r="490" spans="1:20" x14ac:dyDescent="0.25">
      <c r="A490">
        <v>0.50104388673571709</v>
      </c>
      <c r="B490">
        <v>0.28243334782018792</v>
      </c>
      <c r="D490">
        <v>0.5077225334141876</v>
      </c>
      <c r="E490">
        <v>-0.77351319646368211</v>
      </c>
      <c r="J490">
        <v>10</v>
      </c>
      <c r="K490">
        <v>0.67023245264863363</v>
      </c>
      <c r="L490">
        <v>9.9290217515746839</v>
      </c>
      <c r="M490">
        <v>20</v>
      </c>
      <c r="N490">
        <v>0.29970669515932968</v>
      </c>
      <c r="O490">
        <v>307.58166303726136</v>
      </c>
      <c r="P490" s="1">
        <f t="shared" si="35"/>
        <v>11.339667313887002</v>
      </c>
      <c r="Q490" s="1">
        <f t="shared" si="36"/>
        <v>1.7009500970830502</v>
      </c>
      <c r="R490" s="1">
        <f t="shared" si="37"/>
        <v>1.3042047757476778</v>
      </c>
      <c r="S490" s="1">
        <f t="shared" si="38"/>
        <v>0.28410090530215087</v>
      </c>
      <c r="T490" s="56">
        <f t="shared" si="39"/>
        <v>0.61078826878782222</v>
      </c>
    </row>
    <row r="491" spans="1:20" x14ac:dyDescent="0.25">
      <c r="A491">
        <v>0.50207880093795243</v>
      </c>
      <c r="B491">
        <v>-1.3069529813947156</v>
      </c>
      <c r="D491">
        <v>0.50807357335782843</v>
      </c>
      <c r="E491">
        <v>1.1298500305656489</v>
      </c>
      <c r="J491">
        <v>10</v>
      </c>
      <c r="K491">
        <v>-0.10112603376910556</v>
      </c>
      <c r="L491">
        <v>6.7930334729871689</v>
      </c>
      <c r="M491">
        <v>20</v>
      </c>
      <c r="N491">
        <v>-0.98070097806157719</v>
      </c>
      <c r="O491">
        <v>189.68741764202886</v>
      </c>
      <c r="P491" s="1">
        <f t="shared" si="35"/>
        <v>7.0171589683934297</v>
      </c>
      <c r="Q491" s="1">
        <f t="shared" si="36"/>
        <v>1.0525738452590143</v>
      </c>
      <c r="R491" s="1">
        <f t="shared" si="37"/>
        <v>1.0259502157799931</v>
      </c>
      <c r="S491" s="1">
        <f t="shared" si="38"/>
        <v>0.85732712052091375</v>
      </c>
      <c r="T491" s="56">
        <f t="shared" si="39"/>
        <v>0.80072851556621494</v>
      </c>
    </row>
    <row r="492" spans="1:20" x14ac:dyDescent="0.25">
      <c r="A492">
        <v>0.5043819705088014</v>
      </c>
      <c r="B492">
        <v>1.8008995539275929</v>
      </c>
      <c r="D492">
        <v>0.50856164028635054</v>
      </c>
      <c r="E492">
        <v>0.48851302040020528</v>
      </c>
      <c r="J492">
        <v>10</v>
      </c>
      <c r="K492">
        <v>0.24215921712311683</v>
      </c>
      <c r="L492">
        <v>4.9422225974070679</v>
      </c>
      <c r="M492">
        <v>20</v>
      </c>
      <c r="N492">
        <v>-0.33522929129503609</v>
      </c>
      <c r="O492">
        <v>240.52865328275234</v>
      </c>
      <c r="P492" s="1">
        <f t="shared" si="35"/>
        <v>8.7668169957199797</v>
      </c>
      <c r="Q492" s="1">
        <f t="shared" si="36"/>
        <v>1.315022549357997</v>
      </c>
      <c r="R492" s="1">
        <f t="shared" si="37"/>
        <v>1.1467443260631365</v>
      </c>
      <c r="S492" s="1">
        <f t="shared" si="38"/>
        <v>0.50350238958702598</v>
      </c>
      <c r="T492" s="56">
        <f t="shared" si="39"/>
        <v>0.69072524930828383</v>
      </c>
    </row>
    <row r="493" spans="1:20" x14ac:dyDescent="0.25">
      <c r="A493">
        <v>0.50450484958269937</v>
      </c>
      <c r="B493">
        <v>-0.57260535868408624</v>
      </c>
      <c r="D493">
        <v>0.50877885244434984</v>
      </c>
      <c r="E493">
        <v>-1.001143804160165</v>
      </c>
      <c r="J493">
        <v>10</v>
      </c>
      <c r="K493">
        <v>-0.17425952592020622</v>
      </c>
      <c r="L493">
        <v>2.4116802011977856</v>
      </c>
      <c r="M493">
        <v>20</v>
      </c>
      <c r="N493">
        <v>-0.47991960968829517</v>
      </c>
      <c r="O493">
        <v>217.9950349532642</v>
      </c>
      <c r="P493" s="1">
        <f t="shared" si="35"/>
        <v>7.8716683983736422</v>
      </c>
      <c r="Q493" s="1">
        <f t="shared" si="36"/>
        <v>1.1807502597560462</v>
      </c>
      <c r="R493" s="1">
        <f t="shared" si="37"/>
        <v>1.0866233292894305</v>
      </c>
      <c r="S493" s="1">
        <f t="shared" si="38"/>
        <v>0.28129350394857389</v>
      </c>
      <c r="T493" s="56">
        <f t="shared" si="39"/>
        <v>0.6097231708613069</v>
      </c>
    </row>
    <row r="494" spans="1:20" x14ac:dyDescent="0.25">
      <c r="A494">
        <v>0.50629036428564245</v>
      </c>
      <c r="B494">
        <v>1.4349188859341666</v>
      </c>
      <c r="D494">
        <v>0.5095020764477044</v>
      </c>
      <c r="E494">
        <v>-4.652107921856441</v>
      </c>
      <c r="J494">
        <v>10</v>
      </c>
      <c r="K494">
        <v>-0.12467887700040592</v>
      </c>
      <c r="L494">
        <v>7.7241040841389683</v>
      </c>
      <c r="M494">
        <v>20</v>
      </c>
      <c r="N494">
        <v>-0.98957537261412654</v>
      </c>
      <c r="O494">
        <v>343.78197909096025</v>
      </c>
      <c r="P494" s="1">
        <f t="shared" si="35"/>
        <v>12.553788684824971</v>
      </c>
      <c r="Q494" s="1">
        <f t="shared" si="36"/>
        <v>1.8830683027237456</v>
      </c>
      <c r="R494" s="1">
        <f t="shared" si="37"/>
        <v>1.37224935879881</v>
      </c>
      <c r="S494" s="1">
        <f t="shared" si="38"/>
        <v>0.6302764800493712</v>
      </c>
      <c r="T494" s="56">
        <f t="shared" si="39"/>
        <v>0.73318787721279488</v>
      </c>
    </row>
    <row r="495" spans="1:20" x14ac:dyDescent="0.25">
      <c r="A495">
        <v>0.5066584816541233</v>
      </c>
      <c r="B495">
        <v>0.81952293840004131</v>
      </c>
      <c r="D495">
        <v>0.5096572218754517</v>
      </c>
      <c r="E495">
        <v>-1.7668553516614338</v>
      </c>
      <c r="J495">
        <v>10</v>
      </c>
      <c r="K495">
        <v>-0.39936605844559381</v>
      </c>
      <c r="L495">
        <v>10.568379426939137</v>
      </c>
      <c r="M495">
        <v>20</v>
      </c>
      <c r="N495">
        <v>-0.64125334006348567</v>
      </c>
      <c r="O495">
        <v>206.56820091170565</v>
      </c>
      <c r="P495" s="1">
        <f t="shared" si="35"/>
        <v>7.7548778692373137</v>
      </c>
      <c r="Q495" s="1">
        <f t="shared" si="36"/>
        <v>1.1632316803855971</v>
      </c>
      <c r="R495" s="1">
        <f t="shared" si="37"/>
        <v>1.0785321879228256</v>
      </c>
      <c r="S495" s="1">
        <f t="shared" si="38"/>
        <v>0.22427451338633586</v>
      </c>
      <c r="T495" s="56">
        <f t="shared" si="39"/>
        <v>0.58791388508203113</v>
      </c>
    </row>
    <row r="496" spans="1:20" x14ac:dyDescent="0.25">
      <c r="A496">
        <v>0.50739781879078572</v>
      </c>
      <c r="B496">
        <v>1.3504086382454261</v>
      </c>
      <c r="D496">
        <v>0.50974437614022761</v>
      </c>
      <c r="E496">
        <v>-5.3283899922007549</v>
      </c>
      <c r="J496">
        <v>10</v>
      </c>
      <c r="K496">
        <v>-0.23174413854576414</v>
      </c>
      <c r="L496">
        <v>5.6055926010112955</v>
      </c>
      <c r="M496">
        <v>20</v>
      </c>
      <c r="N496">
        <v>0.60216478573238419</v>
      </c>
      <c r="O496">
        <v>97.195205164457633</v>
      </c>
      <c r="P496" s="1">
        <f t="shared" si="35"/>
        <v>3.6714570630524617</v>
      </c>
      <c r="Q496" s="1">
        <f t="shared" si="36"/>
        <v>0.55071855945786918</v>
      </c>
      <c r="R496" s="1">
        <f t="shared" si="37"/>
        <v>0.74210414326957452</v>
      </c>
      <c r="S496" s="1">
        <f t="shared" si="38"/>
        <v>-1.1237087568384927</v>
      </c>
      <c r="T496" s="56">
        <f t="shared" si="39"/>
        <v>0.1353394511489914</v>
      </c>
    </row>
    <row r="497" spans="1:20" x14ac:dyDescent="0.25">
      <c r="A497">
        <v>0.50749329583127423</v>
      </c>
      <c r="B497">
        <v>-5.0854396249633282E-2</v>
      </c>
      <c r="D497">
        <v>0.51214316469648313</v>
      </c>
      <c r="E497">
        <v>-2.4673220229942672</v>
      </c>
      <c r="J497">
        <v>10</v>
      </c>
      <c r="K497">
        <v>0.2777313738988596</v>
      </c>
      <c r="L497">
        <v>11.064776617453418</v>
      </c>
      <c r="M497">
        <v>20</v>
      </c>
      <c r="N497">
        <v>0.25773715265131614</v>
      </c>
      <c r="O497">
        <v>232.73382981877978</v>
      </c>
      <c r="P497" s="1">
        <f t="shared" si="35"/>
        <v>8.7070930870083281</v>
      </c>
      <c r="Q497" s="1">
        <f t="shared" si="36"/>
        <v>1.3060639630512492</v>
      </c>
      <c r="R497" s="1">
        <f t="shared" si="37"/>
        <v>1.1428315549770443</v>
      </c>
      <c r="S497" s="1">
        <f t="shared" si="38"/>
        <v>1.7495335301574766E-2</v>
      </c>
      <c r="T497" s="56">
        <f t="shared" si="39"/>
        <v>0.5069172358531232</v>
      </c>
    </row>
    <row r="498" spans="1:20" x14ac:dyDescent="0.25">
      <c r="A498">
        <v>0.50795861372719209</v>
      </c>
      <c r="B498">
        <v>0.54959400586085394</v>
      </c>
      <c r="D498">
        <v>0.51314915737738098</v>
      </c>
      <c r="E498">
        <v>0.33395803825442272</v>
      </c>
      <c r="J498">
        <v>10</v>
      </c>
      <c r="K498">
        <v>0.47446349071833538</v>
      </c>
      <c r="L498">
        <v>7.3408718411133478</v>
      </c>
      <c r="M498">
        <v>20</v>
      </c>
      <c r="N498">
        <v>0.99330986472523364</v>
      </c>
      <c r="O498">
        <v>169.68021513665622</v>
      </c>
      <c r="P498" s="1">
        <f t="shared" si="35"/>
        <v>6.3221816777774844</v>
      </c>
      <c r="Q498" s="1">
        <f t="shared" si="36"/>
        <v>0.94832725166662257</v>
      </c>
      <c r="R498" s="1">
        <f t="shared" si="37"/>
        <v>0.97382095462493645</v>
      </c>
      <c r="S498" s="1">
        <f t="shared" si="38"/>
        <v>-0.53279442339247052</v>
      </c>
      <c r="T498" s="56">
        <f t="shared" si="39"/>
        <v>0.29918970496851133</v>
      </c>
    </row>
    <row r="499" spans="1:20" x14ac:dyDescent="0.25">
      <c r="A499">
        <v>0.50817770569113985</v>
      </c>
      <c r="B499">
        <v>0.10834241948032286</v>
      </c>
      <c r="D499">
        <v>0.51545088111305348</v>
      </c>
      <c r="E499">
        <v>5.9436872527385276</v>
      </c>
      <c r="J499">
        <v>10</v>
      </c>
      <c r="K499">
        <v>0.51621384500322165</v>
      </c>
      <c r="L499">
        <v>6.3307587620997259</v>
      </c>
      <c r="M499">
        <v>20</v>
      </c>
      <c r="N499">
        <v>-9.7963212510876474E-2</v>
      </c>
      <c r="O499">
        <v>122.54593389876757</v>
      </c>
      <c r="P499" s="1">
        <f t="shared" si="35"/>
        <v>4.6027390236024033</v>
      </c>
      <c r="Q499" s="1">
        <f t="shared" si="36"/>
        <v>0.69041085354036047</v>
      </c>
      <c r="R499" s="1">
        <f t="shared" si="37"/>
        <v>0.83090965425872898</v>
      </c>
      <c r="S499" s="1">
        <f t="shared" si="38"/>
        <v>0.73916225953833414</v>
      </c>
      <c r="T499" s="56">
        <f t="shared" si="39"/>
        <v>0.76701983028762788</v>
      </c>
    </row>
    <row r="500" spans="1:20" x14ac:dyDescent="0.25">
      <c r="A500">
        <v>0.50938795907231771</v>
      </c>
      <c r="B500">
        <v>0.69886937126284465</v>
      </c>
      <c r="D500">
        <v>0.5158271035775398</v>
      </c>
      <c r="E500">
        <v>-2.5879005568185676</v>
      </c>
      <c r="J500">
        <v>10</v>
      </c>
      <c r="K500">
        <v>-0.30784769933234202</v>
      </c>
      <c r="L500">
        <v>5.1802270581851868</v>
      </c>
      <c r="M500">
        <v>20</v>
      </c>
      <c r="N500">
        <v>1.284486867234591</v>
      </c>
      <c r="O500">
        <v>176.8454495317751</v>
      </c>
      <c r="P500" s="1">
        <f t="shared" si="35"/>
        <v>6.50091702107001</v>
      </c>
      <c r="Q500" s="1">
        <f t="shared" si="36"/>
        <v>0.97513755316050144</v>
      </c>
      <c r="R500" s="1">
        <f t="shared" si="37"/>
        <v>0.98749053320044611</v>
      </c>
      <c r="S500" s="1">
        <f t="shared" si="38"/>
        <v>-1.6125061588248284</v>
      </c>
      <c r="T500" s="56">
        <f t="shared" si="39"/>
        <v>5.9033930391246096E-2</v>
      </c>
    </row>
    <row r="501" spans="1:20" x14ac:dyDescent="0.25">
      <c r="A501">
        <v>0.51374992655661256</v>
      </c>
      <c r="B501">
        <v>1.898124537547119</v>
      </c>
      <c r="D501">
        <v>0.51617661290843142</v>
      </c>
      <c r="E501">
        <v>0.17906881680573861</v>
      </c>
      <c r="J501">
        <v>10</v>
      </c>
      <c r="K501">
        <v>0.50050743993779179</v>
      </c>
      <c r="L501">
        <v>8.3336052093225454</v>
      </c>
      <c r="M501">
        <v>20</v>
      </c>
      <c r="N501">
        <v>9.3181764668770484E-2</v>
      </c>
      <c r="O501">
        <v>154.01957045739158</v>
      </c>
      <c r="P501" s="1">
        <f t="shared" si="35"/>
        <v>5.7983277023826476</v>
      </c>
      <c r="Q501" s="1">
        <f t="shared" si="36"/>
        <v>0.86974915535739716</v>
      </c>
      <c r="R501" s="1">
        <f t="shared" si="37"/>
        <v>0.93260342877205693</v>
      </c>
      <c r="S501" s="1">
        <f t="shared" si="38"/>
        <v>0.43676193192356166</v>
      </c>
      <c r="T501" s="56">
        <f t="shared" si="39"/>
        <v>0.66718310666415914</v>
      </c>
    </row>
    <row r="502" spans="1:20" x14ac:dyDescent="0.25">
      <c r="A502">
        <v>0.51649666018736851</v>
      </c>
      <c r="B502">
        <v>0.26947986953018699</v>
      </c>
      <c r="D502">
        <v>0.51639649468866045</v>
      </c>
      <c r="E502">
        <v>5.2286743505192135</v>
      </c>
      <c r="J502">
        <v>10</v>
      </c>
      <c r="K502">
        <v>0.52882421641697874</v>
      </c>
      <c r="L502">
        <v>6.2558482074594766</v>
      </c>
      <c r="M502">
        <v>20</v>
      </c>
      <c r="N502">
        <v>-0.24035478304540447</v>
      </c>
      <c r="O502">
        <v>144.36777319194599</v>
      </c>
      <c r="P502" s="1">
        <f t="shared" si="35"/>
        <v>5.3794150499787667</v>
      </c>
      <c r="Q502" s="1">
        <f t="shared" si="36"/>
        <v>0.80691225749681494</v>
      </c>
      <c r="R502" s="1">
        <f t="shared" si="37"/>
        <v>0.89828294957480681</v>
      </c>
      <c r="S502" s="1">
        <f t="shared" si="38"/>
        <v>0.85627696688049837</v>
      </c>
      <c r="T502" s="56">
        <f t="shared" si="39"/>
        <v>0.80044321000724761</v>
      </c>
    </row>
    <row r="503" spans="1:20" x14ac:dyDescent="0.25">
      <c r="A503">
        <v>0.51714500303710353</v>
      </c>
      <c r="B503">
        <v>-0.47843059292063117</v>
      </c>
      <c r="D503">
        <v>0.51641020669357751</v>
      </c>
      <c r="E503">
        <v>0.19864569026140089</v>
      </c>
      <c r="J503">
        <v>10</v>
      </c>
      <c r="K503">
        <v>-0.17435354493500199</v>
      </c>
      <c r="L503">
        <v>5.3573689878482957</v>
      </c>
      <c r="M503">
        <v>20</v>
      </c>
      <c r="N503">
        <v>-0.57544554351807164</v>
      </c>
      <c r="O503">
        <v>180.4274519363974</v>
      </c>
      <c r="P503" s="1">
        <f t="shared" si="35"/>
        <v>6.6351721758659181</v>
      </c>
      <c r="Q503" s="1">
        <f t="shared" si="36"/>
        <v>0.99527582637988765</v>
      </c>
      <c r="R503" s="1">
        <f t="shared" si="37"/>
        <v>0.99763511685379624</v>
      </c>
      <c r="S503" s="1">
        <f t="shared" si="38"/>
        <v>0.40204278278412869</v>
      </c>
      <c r="T503" s="56">
        <f t="shared" si="39"/>
        <v>0.65464742389611208</v>
      </c>
    </row>
    <row r="504" spans="1:20" x14ac:dyDescent="0.25">
      <c r="A504">
        <v>0.51773324419547417</v>
      </c>
      <c r="B504">
        <v>-1.1515180631249677</v>
      </c>
      <c r="D504">
        <v>0.51729415718491811</v>
      </c>
      <c r="E504">
        <v>-2.8443780627185333</v>
      </c>
      <c r="J504">
        <v>10</v>
      </c>
      <c r="K504">
        <v>-0.30392902772291563</v>
      </c>
      <c r="L504">
        <v>16.738820421806903</v>
      </c>
      <c r="M504">
        <v>20</v>
      </c>
      <c r="N504">
        <v>0.76512878536050266</v>
      </c>
      <c r="O504">
        <v>212.70952504870615</v>
      </c>
      <c r="P504" s="1">
        <f t="shared" si="35"/>
        <v>8.1945837668040387</v>
      </c>
      <c r="Q504" s="1">
        <f t="shared" si="36"/>
        <v>1.2291875650206057</v>
      </c>
      <c r="R504" s="1">
        <f t="shared" si="37"/>
        <v>1.1086873161629502</v>
      </c>
      <c r="S504" s="1">
        <f t="shared" si="38"/>
        <v>-0.96425547356608576</v>
      </c>
      <c r="T504" s="56">
        <f t="shared" si="39"/>
        <v>0.17158626003449878</v>
      </c>
    </row>
    <row r="505" spans="1:20" x14ac:dyDescent="0.25">
      <c r="A505">
        <v>0.51778534550236099</v>
      </c>
      <c r="B505">
        <v>-0.37819972931174561</v>
      </c>
      <c r="D505">
        <v>0.5212013459207131</v>
      </c>
      <c r="E505">
        <v>-0.51319534918548015</v>
      </c>
      <c r="J505">
        <v>10</v>
      </c>
      <c r="K505">
        <v>-0.3469426701485645</v>
      </c>
      <c r="L505">
        <v>11.801850697483728</v>
      </c>
      <c r="M505">
        <v>20</v>
      </c>
      <c r="N505">
        <v>0.34897493264907098</v>
      </c>
      <c r="O505">
        <v>172.08941925333514</v>
      </c>
      <c r="P505" s="1">
        <f t="shared" si="35"/>
        <v>6.5675453553863878</v>
      </c>
      <c r="Q505" s="1">
        <f t="shared" si="36"/>
        <v>0.98513180330795813</v>
      </c>
      <c r="R505" s="1">
        <f t="shared" si="37"/>
        <v>0.99253806139006984</v>
      </c>
      <c r="S505" s="1">
        <f t="shared" si="38"/>
        <v>-0.70114953760361454</v>
      </c>
      <c r="T505" s="56">
        <f t="shared" si="39"/>
        <v>0.24449818743155161</v>
      </c>
    </row>
    <row r="506" spans="1:20" x14ac:dyDescent="0.25">
      <c r="A506">
        <v>0.51781827465227237</v>
      </c>
      <c r="B506">
        <v>-0.23953134586918168</v>
      </c>
      <c r="D506">
        <v>0.52148813837467023</v>
      </c>
      <c r="E506">
        <v>5.2156731237573695</v>
      </c>
      <c r="J506">
        <v>10</v>
      </c>
      <c r="K506">
        <v>1.7986053535423707E-2</v>
      </c>
      <c r="L506">
        <v>4.9215353771198691</v>
      </c>
      <c r="M506">
        <v>20</v>
      </c>
      <c r="N506">
        <v>1.339684953336473</v>
      </c>
      <c r="O506">
        <v>317.14473777522784</v>
      </c>
      <c r="P506" s="1">
        <f t="shared" si="35"/>
        <v>11.502366898298133</v>
      </c>
      <c r="Q506" s="1">
        <f t="shared" si="36"/>
        <v>1.72535503474472</v>
      </c>
      <c r="R506" s="1">
        <f t="shared" si="37"/>
        <v>1.3135277061199433</v>
      </c>
      <c r="S506" s="1">
        <f t="shared" si="38"/>
        <v>-1.0062208004011146</v>
      </c>
      <c r="T506" s="56">
        <f t="shared" si="39"/>
        <v>0.16146318441952884</v>
      </c>
    </row>
    <row r="507" spans="1:20" x14ac:dyDescent="0.25">
      <c r="A507">
        <v>0.51800607408692634</v>
      </c>
      <c r="B507">
        <v>-0.8701317710801959</v>
      </c>
      <c r="D507">
        <v>0.52315937116934108</v>
      </c>
      <c r="E507">
        <v>-0.50785775215445028</v>
      </c>
      <c r="J507">
        <v>10</v>
      </c>
      <c r="K507">
        <v>0.63205561673385091</v>
      </c>
      <c r="L507">
        <v>10.938953003059817</v>
      </c>
      <c r="M507">
        <v>20</v>
      </c>
      <c r="N507">
        <v>0.61275829580154095</v>
      </c>
      <c r="O507">
        <v>216.51690825830269</v>
      </c>
      <c r="P507" s="1">
        <f t="shared" si="35"/>
        <v>8.1234236164772327</v>
      </c>
      <c r="Q507" s="1">
        <f t="shared" si="36"/>
        <v>1.2185135424715849</v>
      </c>
      <c r="R507" s="1">
        <f t="shared" si="37"/>
        <v>1.1038630089243795</v>
      </c>
      <c r="S507" s="1">
        <f t="shared" si="38"/>
        <v>1.7481626593424445E-2</v>
      </c>
      <c r="T507" s="56">
        <f t="shared" si="39"/>
        <v>0.50691181633085758</v>
      </c>
    </row>
    <row r="508" spans="1:20" x14ac:dyDescent="0.25">
      <c r="A508">
        <v>0.52070913609048453</v>
      </c>
      <c r="B508">
        <v>-0.79514848039252684</v>
      </c>
      <c r="D508">
        <v>0.52385718283640548</v>
      </c>
      <c r="E508">
        <v>-5.9917936175679642</v>
      </c>
      <c r="J508">
        <v>10</v>
      </c>
      <c r="K508">
        <v>-3.8207190300454386E-2</v>
      </c>
      <c r="L508">
        <v>10.807856572363995</v>
      </c>
      <c r="M508">
        <v>20</v>
      </c>
      <c r="N508">
        <v>0.55840160598563671</v>
      </c>
      <c r="O508">
        <v>156.08477921593402</v>
      </c>
      <c r="P508" s="1">
        <f t="shared" si="35"/>
        <v>5.9604512781535002</v>
      </c>
      <c r="Q508" s="1">
        <f t="shared" si="36"/>
        <v>0.89406769172302503</v>
      </c>
      <c r="R508" s="1">
        <f t="shared" si="37"/>
        <v>0.94555152779900098</v>
      </c>
      <c r="S508" s="1">
        <f t="shared" si="38"/>
        <v>-0.63096381185575556</v>
      </c>
      <c r="T508" s="56">
        <f t="shared" si="39"/>
        <v>0.26659061485977953</v>
      </c>
    </row>
    <row r="509" spans="1:20" x14ac:dyDescent="0.25">
      <c r="A509">
        <v>0.52103936770168857</v>
      </c>
      <c r="B509">
        <v>-1.5740215530968271</v>
      </c>
      <c r="D509">
        <v>0.52553689177818874</v>
      </c>
      <c r="E509">
        <v>-3.0846415518226422</v>
      </c>
      <c r="J509">
        <v>10</v>
      </c>
      <c r="K509">
        <v>5.1416691349004395E-2</v>
      </c>
      <c r="L509">
        <v>15.003336181478321</v>
      </c>
      <c r="M509">
        <v>20</v>
      </c>
      <c r="N509">
        <v>-0.25538958311699389</v>
      </c>
      <c r="O509">
        <v>261.25680059371098</v>
      </c>
      <c r="P509" s="1">
        <f t="shared" si="35"/>
        <v>9.866433456256761</v>
      </c>
      <c r="Q509" s="1">
        <f t="shared" si="36"/>
        <v>1.479965018438514</v>
      </c>
      <c r="R509" s="1">
        <f t="shared" si="37"/>
        <v>1.21653812864148</v>
      </c>
      <c r="S509" s="1">
        <f t="shared" si="38"/>
        <v>0.25219618460180271</v>
      </c>
      <c r="T509" s="56">
        <f t="shared" si="39"/>
        <v>0.59863424425130884</v>
      </c>
    </row>
    <row r="510" spans="1:20" x14ac:dyDescent="0.25">
      <c r="A510">
        <v>0.52116098270827838</v>
      </c>
      <c r="B510">
        <v>9.1428091764100827E-2</v>
      </c>
      <c r="D510">
        <v>0.52615420224755016</v>
      </c>
      <c r="E510">
        <v>0.49575032448956335</v>
      </c>
      <c r="J510">
        <v>10</v>
      </c>
      <c r="K510">
        <v>7.0311557465174701E-2</v>
      </c>
      <c r="L510">
        <v>10.693165223401376</v>
      </c>
      <c r="M510">
        <v>20</v>
      </c>
      <c r="N510">
        <v>1.6703045810118056</v>
      </c>
      <c r="O510">
        <v>397.14731687473375</v>
      </c>
      <c r="P510" s="1">
        <f t="shared" si="35"/>
        <v>14.565731503504825</v>
      </c>
      <c r="Q510" s="1">
        <f t="shared" si="36"/>
        <v>2.1848597255257238</v>
      </c>
      <c r="R510" s="1">
        <f t="shared" si="37"/>
        <v>1.4781271005991752</v>
      </c>
      <c r="S510" s="1">
        <f t="shared" si="38"/>
        <v>-1.0824461731998933</v>
      </c>
      <c r="T510" s="56">
        <f t="shared" si="39"/>
        <v>0.14414428109262953</v>
      </c>
    </row>
    <row r="511" spans="1:20" x14ac:dyDescent="0.25">
      <c r="A511">
        <v>0.52162949586932372</v>
      </c>
      <c r="B511">
        <v>-0.2383512764936313</v>
      </c>
      <c r="D511">
        <v>0.52690380762737199</v>
      </c>
      <c r="E511">
        <v>1.5864925410369324</v>
      </c>
      <c r="J511">
        <v>10</v>
      </c>
      <c r="K511">
        <v>8.8701995082374196E-2</v>
      </c>
      <c r="L511">
        <v>3.8822014319631655</v>
      </c>
      <c r="M511">
        <v>20</v>
      </c>
      <c r="N511">
        <v>0.64069439190461708</v>
      </c>
      <c r="O511">
        <v>140.86468556422037</v>
      </c>
      <c r="P511" s="1">
        <f t="shared" si="35"/>
        <v>5.169531678435126</v>
      </c>
      <c r="Q511" s="1">
        <f t="shared" si="36"/>
        <v>0.77542975176526885</v>
      </c>
      <c r="R511" s="1">
        <f t="shared" si="37"/>
        <v>0.88058489185612809</v>
      </c>
      <c r="S511" s="1">
        <f t="shared" si="38"/>
        <v>-0.62684745324069069</v>
      </c>
      <c r="T511" s="56">
        <f t="shared" si="39"/>
        <v>0.26791866585103996</v>
      </c>
    </row>
    <row r="512" spans="1:20" x14ac:dyDescent="0.25">
      <c r="A512">
        <v>0.524485795516477</v>
      </c>
      <c r="B512">
        <v>-1.1194515536772087</v>
      </c>
      <c r="D512">
        <v>0.52699221879198643</v>
      </c>
      <c r="E512">
        <v>-1.956372447011745</v>
      </c>
      <c r="J512">
        <v>10</v>
      </c>
      <c r="K512">
        <v>0.29463819828379201</v>
      </c>
      <c r="L512">
        <v>6.9578190240026432</v>
      </c>
      <c r="M512">
        <v>20</v>
      </c>
      <c r="N512">
        <v>-0.33328592849102279</v>
      </c>
      <c r="O512">
        <v>381.09520028646733</v>
      </c>
      <c r="P512" s="1">
        <f t="shared" si="35"/>
        <v>13.859036403945355</v>
      </c>
      <c r="Q512" s="1">
        <f t="shared" si="36"/>
        <v>2.0788554605918033</v>
      </c>
      <c r="R512" s="1">
        <f t="shared" si="37"/>
        <v>1.4418236579387242</v>
      </c>
      <c r="S512" s="1">
        <f t="shared" si="38"/>
        <v>0.43550688277130545</v>
      </c>
      <c r="T512" s="56">
        <f t="shared" si="39"/>
        <v>0.66673326549961021</v>
      </c>
    </row>
    <row r="513" spans="1:20" x14ac:dyDescent="0.25">
      <c r="A513">
        <v>0.52603117902616792</v>
      </c>
      <c r="B513">
        <v>0.50319613364990801</v>
      </c>
      <c r="D513">
        <v>0.53032102301166995</v>
      </c>
      <c r="E513">
        <v>-0.42356464632575808</v>
      </c>
      <c r="J513">
        <v>10</v>
      </c>
      <c r="K513">
        <v>0.29762259146082215</v>
      </c>
      <c r="L513">
        <v>6.6613727203002409</v>
      </c>
      <c r="M513">
        <v>20</v>
      </c>
      <c r="N513">
        <v>-0.94918255285847408</v>
      </c>
      <c r="O513">
        <v>145.4154879731704</v>
      </c>
      <c r="P513" s="1">
        <f t="shared" si="35"/>
        <v>5.4313164533382379</v>
      </c>
      <c r="Q513" s="1">
        <f t="shared" si="36"/>
        <v>0.81469746800073561</v>
      </c>
      <c r="R513" s="1">
        <f t="shared" si="37"/>
        <v>0.90260593173363068</v>
      </c>
      <c r="S513" s="1">
        <f t="shared" si="38"/>
        <v>1.3813394090204614</v>
      </c>
      <c r="T513" s="56">
        <f t="shared" si="39"/>
        <v>0.91095026925255218</v>
      </c>
    </row>
    <row r="514" spans="1:20" x14ac:dyDescent="0.25">
      <c r="A514">
        <v>0.52628482122338915</v>
      </c>
      <c r="B514">
        <v>-0.76456217357190326</v>
      </c>
      <c r="D514">
        <v>0.53094216185880994</v>
      </c>
      <c r="E514">
        <v>-1.9189922147688776</v>
      </c>
      <c r="J514">
        <v>10</v>
      </c>
      <c r="K514">
        <v>-1.2477926247811411E-2</v>
      </c>
      <c r="L514">
        <v>6.2707631279367702</v>
      </c>
      <c r="M514">
        <v>20</v>
      </c>
      <c r="N514">
        <v>-5.492239893101214E-2</v>
      </c>
      <c r="O514">
        <v>204.30484382134398</v>
      </c>
      <c r="P514" s="1">
        <f t="shared" ref="P514:P577" si="40">(L514+O514)/(J514+M514-2)</f>
        <v>7.5205573910457408</v>
      </c>
      <c r="Q514" s="1">
        <f t="shared" ref="Q514:Q577" si="41">P514*0.15</f>
        <v>1.1280836086568611</v>
      </c>
      <c r="R514" s="1">
        <f t="shared" ref="R514:R577" si="42">SQRT(Q514)</f>
        <v>1.0621128041111552</v>
      </c>
      <c r="S514" s="1">
        <f t="shared" ref="S514:S577" si="43">(K514-N514)/R514</f>
        <v>3.9962302044481063E-2</v>
      </c>
      <c r="T514" s="56">
        <f t="shared" ref="T514:T577" si="44">_xlfn.T.DIST(S514,28,TRUE)</f>
        <v>0.51579661562873536</v>
      </c>
    </row>
    <row r="515" spans="1:20" x14ac:dyDescent="0.25">
      <c r="A515">
        <v>0.52718790762423984</v>
      </c>
      <c r="B515">
        <v>-0.67754172050626948</v>
      </c>
      <c r="D515">
        <v>0.53096098483003629</v>
      </c>
      <c r="E515">
        <v>5.5307857530806359</v>
      </c>
      <c r="J515">
        <v>10</v>
      </c>
      <c r="K515">
        <v>0.62836431879986776</v>
      </c>
      <c r="L515">
        <v>6.5233479776877985</v>
      </c>
      <c r="M515">
        <v>20</v>
      </c>
      <c r="N515">
        <v>0.36970459063923045</v>
      </c>
      <c r="O515">
        <v>105.1054584641292</v>
      </c>
      <c r="P515" s="1">
        <f t="shared" si="40"/>
        <v>3.9867430872077501</v>
      </c>
      <c r="Q515" s="1">
        <f t="shared" si="41"/>
        <v>0.59801146308116249</v>
      </c>
      <c r="R515" s="1">
        <f t="shared" si="42"/>
        <v>0.77331200888203111</v>
      </c>
      <c r="S515" s="1">
        <f t="shared" si="43"/>
        <v>0.33448300969045974</v>
      </c>
      <c r="T515" s="56">
        <f t="shared" si="44"/>
        <v>0.62974612880627323</v>
      </c>
    </row>
    <row r="516" spans="1:20" x14ac:dyDescent="0.25">
      <c r="A516">
        <v>0.52752513272337931</v>
      </c>
      <c r="B516">
        <v>1.6234389477176592</v>
      </c>
      <c r="D516">
        <v>0.5323437963072557</v>
      </c>
      <c r="E516">
        <v>1.9471333382625744</v>
      </c>
      <c r="J516">
        <v>10</v>
      </c>
      <c r="K516">
        <v>-0.25989277219196083</v>
      </c>
      <c r="L516">
        <v>6.7196406439176393</v>
      </c>
      <c r="M516">
        <v>20</v>
      </c>
      <c r="N516">
        <v>-0.16909769215089909</v>
      </c>
      <c r="O516">
        <v>168.46022048058433</v>
      </c>
      <c r="P516" s="1">
        <f t="shared" si="40"/>
        <v>6.2564236115893559</v>
      </c>
      <c r="Q516" s="1">
        <f t="shared" si="41"/>
        <v>0.9384635417384033</v>
      </c>
      <c r="R516" s="1">
        <f t="shared" si="42"/>
        <v>0.9687432795836074</v>
      </c>
      <c r="S516" s="1">
        <f t="shared" si="43"/>
        <v>-9.3724603777471327E-2</v>
      </c>
      <c r="T516" s="56">
        <f t="shared" si="44"/>
        <v>0.4629976934524706</v>
      </c>
    </row>
    <row r="517" spans="1:20" x14ac:dyDescent="0.25">
      <c r="A517">
        <v>0.5304053799044004</v>
      </c>
      <c r="B517">
        <v>0.23158690964919515</v>
      </c>
      <c r="D517">
        <v>0.53388694587163721</v>
      </c>
      <c r="E517">
        <v>-4.4828873376445699</v>
      </c>
      <c r="J517">
        <v>10</v>
      </c>
      <c r="K517">
        <v>0.631006855655869</v>
      </c>
      <c r="L517">
        <v>9.9039509808297019</v>
      </c>
      <c r="M517">
        <v>20</v>
      </c>
      <c r="N517">
        <v>-0.10443227779433073</v>
      </c>
      <c r="O517">
        <v>240.97670322111998</v>
      </c>
      <c r="P517" s="1">
        <f t="shared" si="40"/>
        <v>8.9600233643553455</v>
      </c>
      <c r="Q517" s="1">
        <f t="shared" si="41"/>
        <v>1.3440035046533019</v>
      </c>
      <c r="R517" s="1">
        <f t="shared" si="42"/>
        <v>1.1593116512195079</v>
      </c>
      <c r="S517" s="1">
        <f t="shared" si="43"/>
        <v>0.63437569412553874</v>
      </c>
      <c r="T517" s="56">
        <f t="shared" si="44"/>
        <v>0.73450748694613421</v>
      </c>
    </row>
    <row r="518" spans="1:20" x14ac:dyDescent="0.25">
      <c r="A518">
        <v>0.53178521102648513</v>
      </c>
      <c r="B518">
        <v>-0.36418441595742479</v>
      </c>
      <c r="D518">
        <v>0.53438113102567575</v>
      </c>
      <c r="E518">
        <v>-3.9971762396362465</v>
      </c>
      <c r="J518">
        <v>10</v>
      </c>
      <c r="K518">
        <v>3.8542907532246318E-2</v>
      </c>
      <c r="L518">
        <v>6.813488023132698</v>
      </c>
      <c r="M518">
        <v>20</v>
      </c>
      <c r="N518">
        <v>-1.5153157198710687</v>
      </c>
      <c r="O518">
        <v>117.49435110249011</v>
      </c>
      <c r="P518" s="1">
        <f t="shared" si="40"/>
        <v>4.4395656830579577</v>
      </c>
      <c r="Q518" s="1">
        <f t="shared" si="41"/>
        <v>0.66593485245869366</v>
      </c>
      <c r="R518" s="1">
        <f t="shared" si="42"/>
        <v>0.81604831502717634</v>
      </c>
      <c r="S518" s="1">
        <f t="shared" si="43"/>
        <v>1.9041257714643622</v>
      </c>
      <c r="T518" s="56">
        <f t="shared" si="44"/>
        <v>0.96639175817045753</v>
      </c>
    </row>
    <row r="519" spans="1:20" x14ac:dyDescent="0.25">
      <c r="A519">
        <v>0.53229945206629536</v>
      </c>
      <c r="B519">
        <v>-0.56415387916786131</v>
      </c>
      <c r="D519">
        <v>0.5346022807302111</v>
      </c>
      <c r="E519">
        <v>-1.2949810786722082</v>
      </c>
      <c r="J519">
        <v>10</v>
      </c>
      <c r="K519">
        <v>0.54100507895782357</v>
      </c>
      <c r="L519">
        <v>12.854483808231221</v>
      </c>
      <c r="M519">
        <v>20</v>
      </c>
      <c r="N519">
        <v>-0.63146183379103604</v>
      </c>
      <c r="O519">
        <v>206.47664673898922</v>
      </c>
      <c r="P519" s="1">
        <f t="shared" si="40"/>
        <v>7.8332546624007291</v>
      </c>
      <c r="Q519" s="1">
        <f t="shared" si="41"/>
        <v>1.1749881993601092</v>
      </c>
      <c r="R519" s="1">
        <f t="shared" si="42"/>
        <v>1.0839687261909863</v>
      </c>
      <c r="S519" s="1">
        <f t="shared" si="43"/>
        <v>1.0816427489276852</v>
      </c>
      <c r="T519" s="56">
        <f t="shared" si="44"/>
        <v>0.85568032505157676</v>
      </c>
    </row>
    <row r="520" spans="1:20" x14ac:dyDescent="0.25">
      <c r="A520">
        <v>0.53237827081363609</v>
      </c>
      <c r="B520">
        <v>0.93532662504003383</v>
      </c>
      <c r="D520">
        <v>0.53476880245243807</v>
      </c>
      <c r="E520">
        <v>3.3548333215094317</v>
      </c>
      <c r="J520">
        <v>10</v>
      </c>
      <c r="K520">
        <v>-5.8912632994179148E-2</v>
      </c>
      <c r="L520">
        <v>4.3289050613008371</v>
      </c>
      <c r="M520">
        <v>20</v>
      </c>
      <c r="N520">
        <v>0.51030695772169565</v>
      </c>
      <c r="O520">
        <v>157.83158040318915</v>
      </c>
      <c r="P520" s="1">
        <f t="shared" si="40"/>
        <v>5.7914459094460708</v>
      </c>
      <c r="Q520" s="1">
        <f t="shared" si="41"/>
        <v>0.86871688641691058</v>
      </c>
      <c r="R520" s="1">
        <f t="shared" si="42"/>
        <v>0.9320498304366085</v>
      </c>
      <c r="S520" s="1">
        <f t="shared" si="43"/>
        <v>-0.61071798108608655</v>
      </c>
      <c r="T520" s="56">
        <f t="shared" si="44"/>
        <v>0.27315612576005865</v>
      </c>
    </row>
    <row r="521" spans="1:20" x14ac:dyDescent="0.25">
      <c r="A521">
        <v>0.5337240699553828</v>
      </c>
      <c r="B521">
        <v>-0.86311729319277219</v>
      </c>
      <c r="D521">
        <v>0.53515100425215856</v>
      </c>
      <c r="E521">
        <v>2.9416589734410081</v>
      </c>
      <c r="J521">
        <v>10</v>
      </c>
      <c r="K521">
        <v>0.41064538436330622</v>
      </c>
      <c r="L521">
        <v>2.1934169726490622</v>
      </c>
      <c r="M521">
        <v>20</v>
      </c>
      <c r="N521">
        <v>0.24148306124516239</v>
      </c>
      <c r="O521">
        <v>176.91580519007076</v>
      </c>
      <c r="P521" s="1">
        <f t="shared" si="40"/>
        <v>6.3967579343828502</v>
      </c>
      <c r="Q521" s="1">
        <f t="shared" si="41"/>
        <v>0.95951369015742749</v>
      </c>
      <c r="R521" s="1">
        <f t="shared" si="42"/>
        <v>0.97954769672406838</v>
      </c>
      <c r="S521" s="1">
        <f t="shared" si="43"/>
        <v>0.17269431971906893</v>
      </c>
      <c r="T521" s="56">
        <f t="shared" si="44"/>
        <v>0.56793300743709574</v>
      </c>
    </row>
    <row r="522" spans="1:20" x14ac:dyDescent="0.25">
      <c r="A522">
        <v>0.53492193526200338</v>
      </c>
      <c r="B522">
        <v>-1.3121825759299099</v>
      </c>
      <c r="D522">
        <v>0.53680664188621852</v>
      </c>
      <c r="E522">
        <v>-3.0250378165419534</v>
      </c>
      <c r="J522">
        <v>10</v>
      </c>
      <c r="K522">
        <v>-0.36393930713529699</v>
      </c>
      <c r="L522">
        <v>10.676303516478342</v>
      </c>
      <c r="M522">
        <v>20</v>
      </c>
      <c r="N522">
        <v>0.67824771235791559</v>
      </c>
      <c r="O522">
        <v>140.92593042082601</v>
      </c>
      <c r="P522" s="1">
        <f t="shared" si="40"/>
        <v>5.4143654977608691</v>
      </c>
      <c r="Q522" s="1">
        <f t="shared" si="41"/>
        <v>0.81215482466413036</v>
      </c>
      <c r="R522" s="1">
        <f t="shared" si="42"/>
        <v>0.90119632969965557</v>
      </c>
      <c r="S522" s="1">
        <f t="shared" si="43"/>
        <v>-1.1564483621904511</v>
      </c>
      <c r="T522" s="56">
        <f t="shared" si="44"/>
        <v>0.12863485947747816</v>
      </c>
    </row>
    <row r="523" spans="1:20" x14ac:dyDescent="0.25">
      <c r="A523">
        <v>0.53876865888214387</v>
      </c>
      <c r="B523">
        <v>0.37196173252596054</v>
      </c>
      <c r="D523">
        <v>0.53752610932194289</v>
      </c>
      <c r="E523">
        <v>2.2992714968950168</v>
      </c>
      <c r="J523">
        <v>10</v>
      </c>
      <c r="K523">
        <v>4.1247176341130398E-2</v>
      </c>
      <c r="L523">
        <v>7.395309045810551</v>
      </c>
      <c r="M523">
        <v>20</v>
      </c>
      <c r="N523">
        <v>-0.44742421664523135</v>
      </c>
      <c r="O523">
        <v>152.64482151554245</v>
      </c>
      <c r="P523" s="1">
        <f t="shared" si="40"/>
        <v>5.7157189486197506</v>
      </c>
      <c r="Q523" s="1">
        <f t="shared" si="41"/>
        <v>0.85735784229296252</v>
      </c>
      <c r="R523" s="1">
        <f t="shared" si="42"/>
        <v>0.92593619774418723</v>
      </c>
      <c r="S523" s="1">
        <f t="shared" si="43"/>
        <v>0.52775924969440424</v>
      </c>
      <c r="T523" s="56">
        <f t="shared" si="44"/>
        <v>0.69908794384648976</v>
      </c>
    </row>
    <row r="524" spans="1:20" x14ac:dyDescent="0.25">
      <c r="A524">
        <v>0.53880130424872252</v>
      </c>
      <c r="B524">
        <v>-0.6403774932550732</v>
      </c>
      <c r="D524">
        <v>0.53769132899808469</v>
      </c>
      <c r="E524">
        <v>-3.6575277169959008</v>
      </c>
      <c r="J524">
        <v>10</v>
      </c>
      <c r="K524">
        <v>0.41178486753778998</v>
      </c>
      <c r="L524">
        <v>6.2389846124413761</v>
      </c>
      <c r="M524">
        <v>20</v>
      </c>
      <c r="N524">
        <v>-0.56339127127102984</v>
      </c>
      <c r="O524">
        <v>106.89737535959308</v>
      </c>
      <c r="P524" s="1">
        <f t="shared" si="40"/>
        <v>4.040584284715516</v>
      </c>
      <c r="Q524" s="1">
        <f t="shared" si="41"/>
        <v>0.6060876427073274</v>
      </c>
      <c r="R524" s="1">
        <f t="shared" si="42"/>
        <v>0.77851630856863074</v>
      </c>
      <c r="S524" s="1">
        <f t="shared" si="43"/>
        <v>1.2526084914030446</v>
      </c>
      <c r="T524" s="56">
        <f t="shared" si="44"/>
        <v>0.8896452864326394</v>
      </c>
    </row>
    <row r="525" spans="1:20" x14ac:dyDescent="0.25">
      <c r="A525">
        <v>0.54028771479921578</v>
      </c>
      <c r="B525">
        <v>-1.4428860595216975</v>
      </c>
      <c r="D525">
        <v>0.53806853210429717</v>
      </c>
      <c r="E525">
        <v>5.1314038921645988</v>
      </c>
      <c r="J525">
        <v>10</v>
      </c>
      <c r="K525">
        <v>4.8865558710531332E-2</v>
      </c>
      <c r="L525">
        <v>5.2033825054782792</v>
      </c>
      <c r="M525">
        <v>20</v>
      </c>
      <c r="N525">
        <v>8.6947519548630225E-2</v>
      </c>
      <c r="O525">
        <v>144.1184600722089</v>
      </c>
      <c r="P525" s="1">
        <f t="shared" si="40"/>
        <v>5.3329229492031143</v>
      </c>
      <c r="Q525" s="1">
        <f t="shared" si="41"/>
        <v>0.79993844238046707</v>
      </c>
      <c r="R525" s="1">
        <f t="shared" si="42"/>
        <v>0.89439277858246768</v>
      </c>
      <c r="S525" s="1">
        <f t="shared" si="43"/>
        <v>-4.2578564753681693E-2</v>
      </c>
      <c r="T525" s="56">
        <f t="shared" si="44"/>
        <v>0.48316983451867757</v>
      </c>
    </row>
    <row r="526" spans="1:20" x14ac:dyDescent="0.25">
      <c r="A526">
        <v>0.54226866627275838</v>
      </c>
      <c r="B526">
        <v>-0.47012690629344434</v>
      </c>
      <c r="D526">
        <v>0.53892232700596998</v>
      </c>
      <c r="E526">
        <v>-5.7334334576353285</v>
      </c>
      <c r="J526">
        <v>10</v>
      </c>
      <c r="K526">
        <v>3.5276116250315681E-2</v>
      </c>
      <c r="L526">
        <v>4.8732122351026419</v>
      </c>
      <c r="M526">
        <v>20</v>
      </c>
      <c r="N526">
        <v>-0.1085444444015593</v>
      </c>
      <c r="O526">
        <v>225.22001728631946</v>
      </c>
      <c r="P526" s="1">
        <f t="shared" si="40"/>
        <v>8.2176153400507896</v>
      </c>
      <c r="Q526" s="1">
        <f t="shared" si="41"/>
        <v>1.2326423010076184</v>
      </c>
      <c r="R526" s="1">
        <f t="shared" si="42"/>
        <v>1.1102442528595311</v>
      </c>
      <c r="S526" s="1">
        <f t="shared" si="43"/>
        <v>0.12953956778560444</v>
      </c>
      <c r="T526" s="56">
        <f t="shared" si="44"/>
        <v>0.55107159169837772</v>
      </c>
    </row>
    <row r="527" spans="1:20" x14ac:dyDescent="0.25">
      <c r="A527">
        <v>0.54332727460631225</v>
      </c>
      <c r="B527">
        <v>-0.63176116782415193</v>
      </c>
      <c r="D527">
        <v>0.53988634569531491</v>
      </c>
      <c r="E527">
        <v>1.8341945599331666</v>
      </c>
      <c r="J527">
        <v>10</v>
      </c>
      <c r="K527">
        <v>-0.11133533917018212</v>
      </c>
      <c r="L527">
        <v>13.92646197791677</v>
      </c>
      <c r="M527">
        <v>20</v>
      </c>
      <c r="N527">
        <v>-1.1434178793479077</v>
      </c>
      <c r="O527">
        <v>186.39480806645292</v>
      </c>
      <c r="P527" s="1">
        <f t="shared" si="40"/>
        <v>7.1543310730132035</v>
      </c>
      <c r="Q527" s="1">
        <f t="shared" si="41"/>
        <v>1.0731496609519804</v>
      </c>
      <c r="R527" s="1">
        <f t="shared" si="42"/>
        <v>1.0359293706387422</v>
      </c>
      <c r="S527" s="1">
        <f t="shared" si="43"/>
        <v>0.99628659002240205</v>
      </c>
      <c r="T527" s="56">
        <f t="shared" si="44"/>
        <v>0.8361782799880223</v>
      </c>
    </row>
    <row r="528" spans="1:20" x14ac:dyDescent="0.25">
      <c r="A528">
        <v>0.54556298841609718</v>
      </c>
      <c r="B528">
        <v>0.71359409048454836</v>
      </c>
      <c r="D528">
        <v>0.54037570818721103</v>
      </c>
      <c r="E528">
        <v>6.1344082917003107</v>
      </c>
      <c r="J528">
        <v>10</v>
      </c>
      <c r="K528">
        <v>0.40410441215499304</v>
      </c>
      <c r="L528">
        <v>13.591061924378534</v>
      </c>
      <c r="M528">
        <v>20</v>
      </c>
      <c r="N528">
        <v>-0.41861875729409803</v>
      </c>
      <c r="O528">
        <v>197.98946184706836</v>
      </c>
      <c r="P528" s="1">
        <f t="shared" si="40"/>
        <v>7.5564472775516744</v>
      </c>
      <c r="Q528" s="1">
        <f t="shared" si="41"/>
        <v>1.1334670916327512</v>
      </c>
      <c r="R528" s="1">
        <f t="shared" si="42"/>
        <v>1.0646441150134403</v>
      </c>
      <c r="S528" s="1">
        <f t="shared" si="43"/>
        <v>0.77276824982844605</v>
      </c>
      <c r="T528" s="56">
        <f t="shared" si="44"/>
        <v>0.77693289803629695</v>
      </c>
    </row>
    <row r="529" spans="1:20" x14ac:dyDescent="0.25">
      <c r="A529">
        <v>0.54588240216358908</v>
      </c>
      <c r="B529">
        <v>0.57341594583704136</v>
      </c>
      <c r="D529">
        <v>0.54085610848618682</v>
      </c>
      <c r="E529">
        <v>0.1335031322469149</v>
      </c>
      <c r="J529">
        <v>10</v>
      </c>
      <c r="K529">
        <v>2.7382725420466159E-2</v>
      </c>
      <c r="L529">
        <v>5.7238488049775134</v>
      </c>
      <c r="M529">
        <v>20</v>
      </c>
      <c r="N529">
        <v>-0.88442931541976577</v>
      </c>
      <c r="O529">
        <v>130.36863699464351</v>
      </c>
      <c r="P529" s="1">
        <f t="shared" si="40"/>
        <v>4.8604459214150362</v>
      </c>
      <c r="Q529" s="1">
        <f t="shared" si="41"/>
        <v>0.7290668882122554</v>
      </c>
      <c r="R529" s="1">
        <f t="shared" si="42"/>
        <v>0.85385413755058626</v>
      </c>
      <c r="S529" s="1">
        <f t="shared" si="43"/>
        <v>1.0678779907958367</v>
      </c>
      <c r="T529" s="56">
        <f t="shared" si="44"/>
        <v>0.85265179989132966</v>
      </c>
    </row>
    <row r="530" spans="1:20" x14ac:dyDescent="0.25">
      <c r="A530">
        <v>0.54596022605457861</v>
      </c>
      <c r="B530">
        <v>1.0736766853369772</v>
      </c>
      <c r="D530">
        <v>0.54161938551350219</v>
      </c>
      <c r="E530">
        <v>-1.0543083169523015</v>
      </c>
      <c r="J530">
        <v>10</v>
      </c>
      <c r="K530">
        <v>-0.14539079984388081</v>
      </c>
      <c r="L530">
        <v>7.2407389677488858</v>
      </c>
      <c r="M530">
        <v>20</v>
      </c>
      <c r="N530">
        <v>1.1761351822769939</v>
      </c>
      <c r="O530">
        <v>207.13462984334731</v>
      </c>
      <c r="P530" s="1">
        <f t="shared" si="40"/>
        <v>7.6562631718248637</v>
      </c>
      <c r="Q530" s="1">
        <f t="shared" si="41"/>
        <v>1.1484394757737295</v>
      </c>
      <c r="R530" s="1">
        <f t="shared" si="42"/>
        <v>1.0716526843029552</v>
      </c>
      <c r="S530" s="1">
        <f t="shared" si="43"/>
        <v>-1.2331663060970606</v>
      </c>
      <c r="T530" s="56">
        <f t="shared" si="44"/>
        <v>0.11388333656637326</v>
      </c>
    </row>
    <row r="531" spans="1:20" x14ac:dyDescent="0.25">
      <c r="A531">
        <v>0.5468221857494916</v>
      </c>
      <c r="B531">
        <v>1.3714588931179605</v>
      </c>
      <c r="D531">
        <v>0.54213759209817447</v>
      </c>
      <c r="E531">
        <v>2.7180119525382906</v>
      </c>
      <c r="J531">
        <v>10</v>
      </c>
      <c r="K531">
        <v>0.36377116430230672</v>
      </c>
      <c r="L531">
        <v>10.881329247307335</v>
      </c>
      <c r="M531">
        <v>20</v>
      </c>
      <c r="N531">
        <v>0.51654529556799389</v>
      </c>
      <c r="O531">
        <v>250.60975136552253</v>
      </c>
      <c r="P531" s="1">
        <f t="shared" si="40"/>
        <v>9.3389671647439236</v>
      </c>
      <c r="Q531" s="1">
        <f t="shared" si="41"/>
        <v>1.4008450747115886</v>
      </c>
      <c r="R531" s="1">
        <f t="shared" si="42"/>
        <v>1.1835730119902146</v>
      </c>
      <c r="S531" s="1">
        <f t="shared" si="43"/>
        <v>-0.12907875536025679</v>
      </c>
      <c r="T531" s="56">
        <f t="shared" si="44"/>
        <v>0.44910904167640053</v>
      </c>
    </row>
    <row r="532" spans="1:20" x14ac:dyDescent="0.25">
      <c r="A532">
        <v>0.54742785495151536</v>
      </c>
      <c r="B532">
        <v>0.37278141462593339</v>
      </c>
      <c r="D532">
        <v>0.54230280589440127</v>
      </c>
      <c r="E532">
        <v>2.7144853868321661</v>
      </c>
      <c r="J532">
        <v>10</v>
      </c>
      <c r="K532">
        <v>-9.9074782156094443E-2</v>
      </c>
      <c r="L532">
        <v>0.97805402890141335</v>
      </c>
      <c r="M532">
        <v>20</v>
      </c>
      <c r="N532">
        <v>0.7394285114514787</v>
      </c>
      <c r="O532">
        <v>105.71703722732157</v>
      </c>
      <c r="P532" s="1">
        <f t="shared" si="40"/>
        <v>3.8105389734365351</v>
      </c>
      <c r="Q532" s="1">
        <f t="shared" si="41"/>
        <v>0.5715808460154802</v>
      </c>
      <c r="R532" s="1">
        <f t="shared" si="42"/>
        <v>0.75602965948134615</v>
      </c>
      <c r="S532" s="1">
        <f t="shared" si="43"/>
        <v>-1.1090878288859802</v>
      </c>
      <c r="T532" s="56">
        <f t="shared" si="44"/>
        <v>0.13841386740949296</v>
      </c>
    </row>
    <row r="533" spans="1:20" x14ac:dyDescent="0.25">
      <c r="A533">
        <v>0.54826592869162782</v>
      </c>
      <c r="B533">
        <v>-0.78002358350204304</v>
      </c>
      <c r="D533">
        <v>0.54371123751266948</v>
      </c>
      <c r="E533">
        <v>2.6839741133244388</v>
      </c>
      <c r="J533">
        <v>10</v>
      </c>
      <c r="K533">
        <v>0.13362296158447862</v>
      </c>
      <c r="L533">
        <v>5.2684857745828815</v>
      </c>
      <c r="M533">
        <v>20</v>
      </c>
      <c r="N533">
        <v>0.16671509342813806</v>
      </c>
      <c r="O533">
        <v>267.45794775714097</v>
      </c>
      <c r="P533" s="1">
        <f t="shared" si="40"/>
        <v>9.7402297689901367</v>
      </c>
      <c r="Q533" s="1">
        <f t="shared" si="41"/>
        <v>1.4610344653485206</v>
      </c>
      <c r="R533" s="1">
        <f t="shared" si="42"/>
        <v>1.2087325863682672</v>
      </c>
      <c r="S533" s="1">
        <f t="shared" si="43"/>
        <v>-2.737754588307028E-2</v>
      </c>
      <c r="T533" s="56">
        <f t="shared" si="44"/>
        <v>0.4891764036370897</v>
      </c>
    </row>
    <row r="534" spans="1:20" x14ac:dyDescent="0.25">
      <c r="A534">
        <v>0.54943647211738711</v>
      </c>
      <c r="B534">
        <v>-1.8551418179413304E-2</v>
      </c>
      <c r="D534">
        <v>0.54419256585406062</v>
      </c>
      <c r="E534">
        <v>-1.0322826290121156</v>
      </c>
      <c r="J534">
        <v>10</v>
      </c>
      <c r="K534">
        <v>0.10186818144575227</v>
      </c>
      <c r="L534">
        <v>7.4630822587018244</v>
      </c>
      <c r="M534">
        <v>20</v>
      </c>
      <c r="N534">
        <v>0.51961228223262879</v>
      </c>
      <c r="O534">
        <v>107.98352752934258</v>
      </c>
      <c r="P534" s="1">
        <f t="shared" si="40"/>
        <v>4.1230932067158719</v>
      </c>
      <c r="Q534" s="1">
        <f t="shared" si="41"/>
        <v>0.61846398100738076</v>
      </c>
      <c r="R534" s="1">
        <f t="shared" si="42"/>
        <v>0.78642480950652927</v>
      </c>
      <c r="S534" s="1">
        <f t="shared" si="43"/>
        <v>-0.5311939498055831</v>
      </c>
      <c r="T534" s="56">
        <f t="shared" si="44"/>
        <v>0.29973665778111025</v>
      </c>
    </row>
    <row r="535" spans="1:20" x14ac:dyDescent="0.25">
      <c r="A535">
        <v>0.55119953143858214</v>
      </c>
      <c r="B535">
        <v>-0.75679736255551688</v>
      </c>
      <c r="D535">
        <v>0.54578927934406274</v>
      </c>
      <c r="E535">
        <v>3.7722777472026792</v>
      </c>
      <c r="J535">
        <v>10</v>
      </c>
      <c r="K535">
        <v>-0.28264491902518785</v>
      </c>
      <c r="L535">
        <v>13.267915850434044</v>
      </c>
      <c r="M535">
        <v>20</v>
      </c>
      <c r="N535">
        <v>-0.95940447749853774</v>
      </c>
      <c r="O535">
        <v>205.14239639726969</v>
      </c>
      <c r="P535" s="1">
        <f t="shared" si="40"/>
        <v>7.8003682945608475</v>
      </c>
      <c r="Q535" s="1">
        <f t="shared" si="41"/>
        <v>1.170055244184127</v>
      </c>
      <c r="R535" s="1">
        <f t="shared" si="42"/>
        <v>1.0816909189709079</v>
      </c>
      <c r="S535" s="1">
        <f t="shared" si="43"/>
        <v>0.62564966258309818</v>
      </c>
      <c r="T535" s="56">
        <f t="shared" si="44"/>
        <v>0.73169423493847252</v>
      </c>
    </row>
    <row r="536" spans="1:20" x14ac:dyDescent="0.25">
      <c r="A536">
        <v>0.55152420094014276</v>
      </c>
      <c r="B536">
        <v>0.67889004640164785</v>
      </c>
      <c r="D536">
        <v>0.54862880700555827</v>
      </c>
      <c r="E536">
        <v>3.5297496162911557</v>
      </c>
      <c r="J536">
        <v>10</v>
      </c>
      <c r="K536">
        <v>-0.28891213332826737</v>
      </c>
      <c r="L536">
        <v>8.0069339459378597</v>
      </c>
      <c r="M536">
        <v>20</v>
      </c>
      <c r="N536">
        <v>0.48647381959199265</v>
      </c>
      <c r="O536">
        <v>212.81985029790164</v>
      </c>
      <c r="P536" s="1">
        <f t="shared" si="40"/>
        <v>7.8866708658514098</v>
      </c>
      <c r="Q536" s="1">
        <f t="shared" si="41"/>
        <v>1.1830006298777114</v>
      </c>
      <c r="R536" s="1">
        <f t="shared" si="42"/>
        <v>1.0876583240511293</v>
      </c>
      <c r="S536" s="1">
        <f t="shared" si="43"/>
        <v>-0.71289479037151215</v>
      </c>
      <c r="T536" s="56">
        <f t="shared" si="44"/>
        <v>0.2409051487540223</v>
      </c>
    </row>
    <row r="537" spans="1:20" x14ac:dyDescent="0.25">
      <c r="A537">
        <v>0.55163711842695784</v>
      </c>
      <c r="B537">
        <v>-1.0682470019673929</v>
      </c>
      <c r="D537">
        <v>0.54941703427600996</v>
      </c>
      <c r="E537">
        <v>-5.3706542109921429</v>
      </c>
      <c r="J537">
        <v>10</v>
      </c>
      <c r="K537">
        <v>0.11006579825334484</v>
      </c>
      <c r="L537">
        <v>6.8160885674084435</v>
      </c>
      <c r="M537">
        <v>20</v>
      </c>
      <c r="N537">
        <v>-0.17638837221056747</v>
      </c>
      <c r="O537">
        <v>220.16197296224914</v>
      </c>
      <c r="P537" s="1">
        <f t="shared" si="40"/>
        <v>8.1063593403449143</v>
      </c>
      <c r="Q537" s="1">
        <f t="shared" si="41"/>
        <v>1.2159539010517371</v>
      </c>
      <c r="R537" s="1">
        <f t="shared" si="42"/>
        <v>1.1027029976615359</v>
      </c>
      <c r="S537" s="1">
        <f t="shared" si="43"/>
        <v>0.25977454588532523</v>
      </c>
      <c r="T537" s="56">
        <f t="shared" si="44"/>
        <v>0.60153083582018063</v>
      </c>
    </row>
    <row r="538" spans="1:20" x14ac:dyDescent="0.25">
      <c r="A538">
        <v>0.5525968053680026</v>
      </c>
      <c r="B538">
        <v>3.5388438845984638E-2</v>
      </c>
      <c r="D538">
        <v>0.5501839287692829</v>
      </c>
      <c r="E538">
        <v>-5.6875403549838666</v>
      </c>
      <c r="J538">
        <v>10</v>
      </c>
      <c r="K538">
        <v>2.0567313185892999E-2</v>
      </c>
      <c r="L538">
        <v>5.8017820130763589</v>
      </c>
      <c r="M538">
        <v>20</v>
      </c>
      <c r="N538">
        <v>0.27103441993858723</v>
      </c>
      <c r="O538">
        <v>130.33258320515438</v>
      </c>
      <c r="P538" s="1">
        <f t="shared" si="40"/>
        <v>4.8619416149368115</v>
      </c>
      <c r="Q538" s="1">
        <f t="shared" si="41"/>
        <v>0.72929124224052166</v>
      </c>
      <c r="R538" s="1">
        <f t="shared" si="42"/>
        <v>0.85398550470164403</v>
      </c>
      <c r="S538" s="1">
        <f t="shared" si="43"/>
        <v>-0.29329198841636034</v>
      </c>
      <c r="T538" s="56">
        <f t="shared" si="44"/>
        <v>0.38573090997529275</v>
      </c>
    </row>
    <row r="539" spans="1:20" x14ac:dyDescent="0.25">
      <c r="A539">
        <v>0.55420965182571902</v>
      </c>
      <c r="B539">
        <v>-0.74019453677465208</v>
      </c>
      <c r="D539">
        <v>0.55089183252771268</v>
      </c>
      <c r="E539">
        <v>-0.43419891312623804</v>
      </c>
      <c r="J539">
        <v>10</v>
      </c>
      <c r="K539">
        <v>0.17900174498208798</v>
      </c>
      <c r="L539">
        <v>6.5268732700346881</v>
      </c>
      <c r="M539">
        <v>20</v>
      </c>
      <c r="N539">
        <v>0.55899181120366848</v>
      </c>
      <c r="O539">
        <v>269.45744987213561</v>
      </c>
      <c r="P539" s="1">
        <f t="shared" si="40"/>
        <v>9.8565829693632256</v>
      </c>
      <c r="Q539" s="1">
        <f t="shared" si="41"/>
        <v>1.4784874454044838</v>
      </c>
      <c r="R539" s="1">
        <f t="shared" si="42"/>
        <v>1.2159306910364931</v>
      </c>
      <c r="S539" s="1">
        <f t="shared" si="43"/>
        <v>-0.31250964304360673</v>
      </c>
      <c r="T539" s="56">
        <f t="shared" si="44"/>
        <v>0.37848443797075459</v>
      </c>
    </row>
    <row r="540" spans="1:20" x14ac:dyDescent="0.25">
      <c r="A540">
        <v>0.55428560065631294</v>
      </c>
      <c r="B540">
        <v>-0.94067218014970422</v>
      </c>
      <c r="D540">
        <v>0.55108568670145075</v>
      </c>
      <c r="E540">
        <v>-4.2701065046912845</v>
      </c>
      <c r="J540">
        <v>10</v>
      </c>
      <c r="K540">
        <v>-2.1642904357577208E-2</v>
      </c>
      <c r="L540">
        <v>5.6506452366244027</v>
      </c>
      <c r="M540">
        <v>20</v>
      </c>
      <c r="N540">
        <v>0.28864013415841328</v>
      </c>
      <c r="O540">
        <v>182.19269998763048</v>
      </c>
      <c r="P540" s="1">
        <f t="shared" si="40"/>
        <v>6.7086909008662454</v>
      </c>
      <c r="Q540" s="1">
        <f t="shared" si="41"/>
        <v>1.0063036351299368</v>
      </c>
      <c r="R540" s="1">
        <f t="shared" si="42"/>
        <v>1.0031468661815861</v>
      </c>
      <c r="S540" s="1">
        <f t="shared" si="43"/>
        <v>-0.30930968233700701</v>
      </c>
      <c r="T540" s="56">
        <f t="shared" si="44"/>
        <v>0.37968801811859165</v>
      </c>
    </row>
    <row r="541" spans="1:20" x14ac:dyDescent="0.25">
      <c r="A541">
        <v>0.55502561231014313</v>
      </c>
      <c r="B541">
        <v>0.46790773922111839</v>
      </c>
      <c r="D541">
        <v>0.55116514606550659</v>
      </c>
      <c r="E541">
        <v>-5.5671596362572018</v>
      </c>
      <c r="J541">
        <v>10</v>
      </c>
      <c r="K541">
        <v>-7.9368078331754077E-2</v>
      </c>
      <c r="L541">
        <v>10.862881890147337</v>
      </c>
      <c r="M541">
        <v>20</v>
      </c>
      <c r="N541">
        <v>-0.81637358903208224</v>
      </c>
      <c r="O541">
        <v>232.89016690002049</v>
      </c>
      <c r="P541" s="1">
        <f t="shared" si="40"/>
        <v>8.7054660282202807</v>
      </c>
      <c r="Q541" s="1">
        <f t="shared" si="41"/>
        <v>1.3058199042330421</v>
      </c>
      <c r="R541" s="1">
        <f t="shared" si="42"/>
        <v>1.1427247718646174</v>
      </c>
      <c r="S541" s="1">
        <f t="shared" si="43"/>
        <v>0.64495452347439242</v>
      </c>
      <c r="T541" s="56">
        <f t="shared" si="44"/>
        <v>0.7378968020608232</v>
      </c>
    </row>
    <row r="542" spans="1:20" x14ac:dyDescent="0.25">
      <c r="A542">
        <v>0.55559674885134436</v>
      </c>
      <c r="B542">
        <v>0.78012703852436971</v>
      </c>
      <c r="D542">
        <v>0.55285858785141706</v>
      </c>
      <c r="E542">
        <v>10.397773845625125</v>
      </c>
      <c r="J542">
        <v>10</v>
      </c>
      <c r="K542">
        <v>-0.22807989807915874</v>
      </c>
      <c r="L542">
        <v>5.4104455205944966</v>
      </c>
      <c r="M542">
        <v>20</v>
      </c>
      <c r="N542">
        <v>0.19545217014638183</v>
      </c>
      <c r="O542">
        <v>96.514060722958774</v>
      </c>
      <c r="P542" s="1">
        <f t="shared" si="40"/>
        <v>3.6401609372697594</v>
      </c>
      <c r="Q542" s="1">
        <f t="shared" si="41"/>
        <v>0.54602414059046389</v>
      </c>
      <c r="R542" s="1">
        <f t="shared" si="42"/>
        <v>0.73893446298739096</v>
      </c>
      <c r="S542" s="1">
        <f t="shared" si="43"/>
        <v>-0.5731659429082111</v>
      </c>
      <c r="T542" s="56">
        <f t="shared" si="44"/>
        <v>0.28555364831130658</v>
      </c>
    </row>
    <row r="543" spans="1:20" x14ac:dyDescent="0.25">
      <c r="A543">
        <v>0.55844219231381298</v>
      </c>
      <c r="B543">
        <v>1.059759142663097</v>
      </c>
      <c r="D543">
        <v>0.55415594798144496</v>
      </c>
      <c r="E543">
        <v>-1.3491073821114696</v>
      </c>
      <c r="J543">
        <v>10</v>
      </c>
      <c r="K543">
        <v>-8.0619884101906791E-2</v>
      </c>
      <c r="L543">
        <v>13.403301988953089</v>
      </c>
      <c r="M543">
        <v>20</v>
      </c>
      <c r="N543">
        <v>-0.6057827056338283</v>
      </c>
      <c r="O543">
        <v>273.68912503865437</v>
      </c>
      <c r="P543" s="1">
        <f t="shared" si="40"/>
        <v>10.253300965271695</v>
      </c>
      <c r="Q543" s="1">
        <f t="shared" si="41"/>
        <v>1.5379951447907543</v>
      </c>
      <c r="R543" s="1">
        <f t="shared" si="42"/>
        <v>1.240159322341591</v>
      </c>
      <c r="S543" s="1">
        <f t="shared" si="43"/>
        <v>0.42346399536822577</v>
      </c>
      <c r="T543" s="56">
        <f t="shared" si="44"/>
        <v>0.66240401440501495</v>
      </c>
    </row>
    <row r="544" spans="1:20" x14ac:dyDescent="0.25">
      <c r="A544">
        <v>0.55864965274801248</v>
      </c>
      <c r="B544">
        <v>0.69896714194328524</v>
      </c>
      <c r="D544">
        <v>0.55432533553084162</v>
      </c>
      <c r="E544">
        <v>-4.3622201280868467</v>
      </c>
      <c r="J544">
        <v>10</v>
      </c>
      <c r="K544">
        <v>0.27695568860508502</v>
      </c>
      <c r="L544">
        <v>16.243270011686125</v>
      </c>
      <c r="M544">
        <v>20</v>
      </c>
      <c r="N544">
        <v>-0.43513546529538871</v>
      </c>
      <c r="O544">
        <v>108.39918645898921</v>
      </c>
      <c r="P544" s="1">
        <f t="shared" si="40"/>
        <v>4.4515163025241185</v>
      </c>
      <c r="Q544" s="1">
        <f t="shared" si="41"/>
        <v>0.66772744537861772</v>
      </c>
      <c r="R544" s="1">
        <f t="shared" si="42"/>
        <v>0.81714591437430417</v>
      </c>
      <c r="S544" s="1">
        <f t="shared" si="43"/>
        <v>0.8714369629391443</v>
      </c>
      <c r="T544" s="56">
        <f t="shared" si="44"/>
        <v>0.80453672004488319</v>
      </c>
    </row>
    <row r="545" spans="1:20" x14ac:dyDescent="0.25">
      <c r="A545">
        <v>0.55962293229030979</v>
      </c>
      <c r="B545">
        <v>0.5142544523550896</v>
      </c>
      <c r="D545">
        <v>0.55635785210295252</v>
      </c>
      <c r="E545">
        <v>-2.5427441448755417</v>
      </c>
      <c r="J545">
        <v>10</v>
      </c>
      <c r="K545">
        <v>1.382716163789155E-2</v>
      </c>
      <c r="L545">
        <v>15.816092010523619</v>
      </c>
      <c r="M545">
        <v>20</v>
      </c>
      <c r="N545">
        <v>0.11492880616970069</v>
      </c>
      <c r="O545">
        <v>345.137541503997</v>
      </c>
      <c r="P545" s="1">
        <f t="shared" si="40"/>
        <v>12.891201196947165</v>
      </c>
      <c r="Q545" s="1">
        <f t="shared" si="41"/>
        <v>1.9336801795420746</v>
      </c>
      <c r="R545" s="1">
        <f t="shared" si="42"/>
        <v>1.3905682937353614</v>
      </c>
      <c r="S545" s="1">
        <f t="shared" si="43"/>
        <v>-7.2705270922170009E-2</v>
      </c>
      <c r="T545" s="56">
        <f t="shared" si="44"/>
        <v>0.47127876957339443</v>
      </c>
    </row>
    <row r="546" spans="1:20" x14ac:dyDescent="0.25">
      <c r="A546">
        <v>0.5611460731929615</v>
      </c>
      <c r="B546">
        <v>-0.47826006266404875</v>
      </c>
      <c r="D546">
        <v>0.55732802936164194</v>
      </c>
      <c r="E546">
        <v>-2.1345015318274818</v>
      </c>
      <c r="J546">
        <v>10</v>
      </c>
      <c r="K546">
        <v>-8.1678876995283645E-2</v>
      </c>
      <c r="L546">
        <v>5.6343705524568328</v>
      </c>
      <c r="M546">
        <v>20</v>
      </c>
      <c r="N546">
        <v>0.77735290574310056</v>
      </c>
      <c r="O546">
        <v>193.36111717800878</v>
      </c>
      <c r="P546" s="1">
        <f t="shared" si="40"/>
        <v>7.1069817046594865</v>
      </c>
      <c r="Q546" s="1">
        <f t="shared" si="41"/>
        <v>1.0660472556989229</v>
      </c>
      <c r="R546" s="1">
        <f t="shared" si="42"/>
        <v>1.032495644397071</v>
      </c>
      <c r="S546" s="1">
        <f t="shared" si="43"/>
        <v>-0.83199555116769375</v>
      </c>
      <c r="T546" s="56">
        <f t="shared" si="44"/>
        <v>0.20622565817808236</v>
      </c>
    </row>
    <row r="547" spans="1:20" x14ac:dyDescent="0.25">
      <c r="A547">
        <v>0.56196527018200404</v>
      </c>
      <c r="B547">
        <v>-0.56666749514988624</v>
      </c>
      <c r="D547">
        <v>0.55766877476908661</v>
      </c>
      <c r="E547">
        <v>1.9977023805495264</v>
      </c>
      <c r="J547">
        <v>10</v>
      </c>
      <c r="K547">
        <v>0.14794852631894173</v>
      </c>
      <c r="L547">
        <v>10.791853184277901</v>
      </c>
      <c r="M547">
        <v>20</v>
      </c>
      <c r="N547">
        <v>-0.61394223735078413</v>
      </c>
      <c r="O547">
        <v>198.85650008010217</v>
      </c>
      <c r="P547" s="1">
        <f t="shared" si="40"/>
        <v>7.4874411880135741</v>
      </c>
      <c r="Q547" s="1">
        <f t="shared" si="41"/>
        <v>1.123116178202036</v>
      </c>
      <c r="R547" s="1">
        <f t="shared" si="42"/>
        <v>1.05977175759785</v>
      </c>
      <c r="S547" s="1">
        <f t="shared" si="43"/>
        <v>0.7189196713419489</v>
      </c>
      <c r="T547" s="56">
        <f t="shared" si="44"/>
        <v>0.76092613628997396</v>
      </c>
    </row>
    <row r="548" spans="1:20" x14ac:dyDescent="0.25">
      <c r="A548">
        <v>0.56200393919411906</v>
      </c>
      <c r="B548">
        <v>1.4123679648037069</v>
      </c>
      <c r="D548">
        <v>0.55810317984835278</v>
      </c>
      <c r="E548">
        <v>-4.8726649345098849</v>
      </c>
      <c r="J548">
        <v>10</v>
      </c>
      <c r="K548">
        <v>-3.6306801121099852E-2</v>
      </c>
      <c r="L548">
        <v>11.058854306486634</v>
      </c>
      <c r="M548">
        <v>20</v>
      </c>
      <c r="N548">
        <v>0.37455225424309901</v>
      </c>
      <c r="O548">
        <v>230.60213348884906</v>
      </c>
      <c r="P548" s="1">
        <f t="shared" si="40"/>
        <v>8.6307495641191316</v>
      </c>
      <c r="Q548" s="1">
        <f t="shared" si="41"/>
        <v>1.2946124346178698</v>
      </c>
      <c r="R548" s="1">
        <f t="shared" si="42"/>
        <v>1.1378103684788032</v>
      </c>
      <c r="S548" s="1">
        <f t="shared" si="43"/>
        <v>-0.36109624832606974</v>
      </c>
      <c r="T548" s="56">
        <f t="shared" si="44"/>
        <v>0.36036892178626379</v>
      </c>
    </row>
    <row r="549" spans="1:20" x14ac:dyDescent="0.25">
      <c r="A549">
        <v>0.56404601854494252</v>
      </c>
      <c r="B549">
        <v>1.7792535800253972</v>
      </c>
      <c r="D549">
        <v>0.55988173151825071</v>
      </c>
      <c r="E549">
        <v>4.9620195989064086</v>
      </c>
      <c r="J549">
        <v>10</v>
      </c>
      <c r="K549">
        <v>-0.25321719476778526</v>
      </c>
      <c r="L549">
        <v>7.9160611816064481</v>
      </c>
      <c r="M549">
        <v>20</v>
      </c>
      <c r="N549">
        <v>-0.23328766815211566</v>
      </c>
      <c r="O549">
        <v>141.68545830829456</v>
      </c>
      <c r="P549" s="1">
        <f t="shared" si="40"/>
        <v>5.3429114103536071</v>
      </c>
      <c r="Q549" s="1">
        <f t="shared" si="41"/>
        <v>0.80143671155304108</v>
      </c>
      <c r="R549" s="1">
        <f t="shared" si="42"/>
        <v>0.89522997690707451</v>
      </c>
      <c r="S549" s="1">
        <f t="shared" si="43"/>
        <v>-2.2261907140915926E-2</v>
      </c>
      <c r="T549" s="56">
        <f t="shared" si="44"/>
        <v>0.49119846389974597</v>
      </c>
    </row>
    <row r="550" spans="1:20" x14ac:dyDescent="0.25">
      <c r="A550">
        <v>0.56442715754238548</v>
      </c>
      <c r="B550">
        <v>0.98356849775882438</v>
      </c>
      <c r="D550">
        <v>0.56049002733716791</v>
      </c>
      <c r="E550">
        <v>-4.7560904511101398</v>
      </c>
      <c r="J550">
        <v>10</v>
      </c>
      <c r="K550">
        <v>-0.13820863387081772</v>
      </c>
      <c r="L550">
        <v>6.8792999871379266</v>
      </c>
      <c r="M550">
        <v>20</v>
      </c>
      <c r="N550">
        <v>1.2450943779640511</v>
      </c>
      <c r="O550">
        <v>317.73631093316078</v>
      </c>
      <c r="P550" s="1">
        <f t="shared" si="40"/>
        <v>11.593414675724954</v>
      </c>
      <c r="Q550" s="1">
        <f t="shared" si="41"/>
        <v>1.739012201358743</v>
      </c>
      <c r="R550" s="1">
        <f t="shared" si="42"/>
        <v>1.3187161185633332</v>
      </c>
      <c r="S550" s="1">
        <f t="shared" si="43"/>
        <v>-1.0489771015629197</v>
      </c>
      <c r="T550" s="56">
        <f t="shared" si="44"/>
        <v>0.15157951330879696</v>
      </c>
    </row>
    <row r="551" spans="1:20" x14ac:dyDescent="0.25">
      <c r="A551">
        <v>0.56491400248194623</v>
      </c>
      <c r="B551">
        <v>-0.96878693511825986</v>
      </c>
      <c r="D551">
        <v>0.56134292083489845</v>
      </c>
      <c r="E551">
        <v>-4.779637268939041</v>
      </c>
      <c r="J551">
        <v>10</v>
      </c>
      <c r="K551">
        <v>0.21230664515314857</v>
      </c>
      <c r="L551">
        <v>14.095498048214324</v>
      </c>
      <c r="M551">
        <v>20</v>
      </c>
      <c r="N551">
        <v>0.43913410877394199</v>
      </c>
      <c r="O551">
        <v>176.25544229074075</v>
      </c>
      <c r="P551" s="1">
        <f t="shared" si="40"/>
        <v>6.798247869248395</v>
      </c>
      <c r="Q551" s="1">
        <f t="shared" si="41"/>
        <v>1.0197371803872592</v>
      </c>
      <c r="R551" s="1">
        <f t="shared" si="42"/>
        <v>1.0098203703566586</v>
      </c>
      <c r="S551" s="1">
        <f t="shared" si="43"/>
        <v>-0.22462159635448847</v>
      </c>
      <c r="T551" s="56">
        <f t="shared" si="44"/>
        <v>0.4119524101659307</v>
      </c>
    </row>
    <row r="552" spans="1:20" x14ac:dyDescent="0.25">
      <c r="A552">
        <v>0.56525979019827399</v>
      </c>
      <c r="B552">
        <v>0.67312157625565305</v>
      </c>
      <c r="D552">
        <v>0.56501688511930459</v>
      </c>
      <c r="E552">
        <v>-3.8593468650560681</v>
      </c>
      <c r="J552">
        <v>10</v>
      </c>
      <c r="K552">
        <v>0.19842957499349723</v>
      </c>
      <c r="L552">
        <v>5.5371715683956486</v>
      </c>
      <c r="M552">
        <v>20</v>
      </c>
      <c r="N552">
        <v>-0.3946821072986495</v>
      </c>
      <c r="O552">
        <v>214.41728362933677</v>
      </c>
      <c r="P552" s="1">
        <f t="shared" si="40"/>
        <v>7.855516257061872</v>
      </c>
      <c r="Q552" s="1">
        <f t="shared" si="41"/>
        <v>1.1783274385592808</v>
      </c>
      <c r="R552" s="1">
        <f t="shared" si="42"/>
        <v>1.0855079173176403</v>
      </c>
      <c r="S552" s="1">
        <f t="shared" si="43"/>
        <v>0.54639093168271291</v>
      </c>
      <c r="T552" s="56">
        <f t="shared" si="44"/>
        <v>0.70543744705235534</v>
      </c>
    </row>
    <row r="553" spans="1:20" x14ac:dyDescent="0.25">
      <c r="A553">
        <v>0.56528656625093388</v>
      </c>
      <c r="B553">
        <v>-0.20737275008286815</v>
      </c>
      <c r="D553">
        <v>0.56708794492682058</v>
      </c>
      <c r="E553">
        <v>2.6655227395622205</v>
      </c>
      <c r="J553">
        <v>10</v>
      </c>
      <c r="K553">
        <v>0.66357665673422161</v>
      </c>
      <c r="L553">
        <v>9.5741791647896424</v>
      </c>
      <c r="M553">
        <v>20</v>
      </c>
      <c r="N553">
        <v>-0.25248289489354647</v>
      </c>
      <c r="O553">
        <v>234.16162394012576</v>
      </c>
      <c r="P553" s="1">
        <f t="shared" si="40"/>
        <v>8.7048501108898364</v>
      </c>
      <c r="Q553" s="1">
        <f t="shared" si="41"/>
        <v>1.3057275166334754</v>
      </c>
      <c r="R553" s="1">
        <f t="shared" si="42"/>
        <v>1.1426843468926471</v>
      </c>
      <c r="S553" s="1">
        <f t="shared" si="43"/>
        <v>0.80167331784919427</v>
      </c>
      <c r="T553" s="56">
        <f t="shared" si="44"/>
        <v>0.78525334031011829</v>
      </c>
    </row>
    <row r="554" spans="1:20" x14ac:dyDescent="0.25">
      <c r="A554">
        <v>0.5656881903742742</v>
      </c>
      <c r="B554">
        <v>0.84603243521996774</v>
      </c>
      <c r="D554">
        <v>0.56740722811085931</v>
      </c>
      <c r="E554">
        <v>0.34159779374931531</v>
      </c>
      <c r="J554">
        <v>10</v>
      </c>
      <c r="K554">
        <v>-0.47103230826905929</v>
      </c>
      <c r="L554">
        <v>6.0707329968657504</v>
      </c>
      <c r="M554">
        <v>20</v>
      </c>
      <c r="N554">
        <v>-0.38213022776290018</v>
      </c>
      <c r="O554">
        <v>274.83447931332523</v>
      </c>
      <c r="P554" s="1">
        <f t="shared" si="40"/>
        <v>10.032329011078248</v>
      </c>
      <c r="Q554" s="1">
        <f t="shared" si="41"/>
        <v>1.5048493516617372</v>
      </c>
      <c r="R554" s="1">
        <f t="shared" si="42"/>
        <v>1.2267230134230536</v>
      </c>
      <c r="S554" s="1">
        <f t="shared" si="43"/>
        <v>-7.2471193197954545E-2</v>
      </c>
      <c r="T554" s="56">
        <f t="shared" si="44"/>
        <v>0.47137107100428172</v>
      </c>
    </row>
    <row r="555" spans="1:20" x14ac:dyDescent="0.25">
      <c r="A555">
        <v>0.56619833091019345</v>
      </c>
      <c r="B555">
        <v>0.23897996470623184</v>
      </c>
      <c r="D555">
        <v>0.57170780564233947</v>
      </c>
      <c r="E555">
        <v>3.3737962860413973</v>
      </c>
      <c r="J555">
        <v>10</v>
      </c>
      <c r="K555">
        <v>3.6845335671387147E-2</v>
      </c>
      <c r="L555">
        <v>11.543346466844634</v>
      </c>
      <c r="M555">
        <v>20</v>
      </c>
      <c r="N555">
        <v>-3.4413066032357165E-2</v>
      </c>
      <c r="O555">
        <v>172.36999922525155</v>
      </c>
      <c r="P555" s="1">
        <f t="shared" si="40"/>
        <v>6.5683337747177211</v>
      </c>
      <c r="Q555" s="1">
        <f t="shared" si="41"/>
        <v>0.98525006620765809</v>
      </c>
      <c r="R555" s="1">
        <f t="shared" si="42"/>
        <v>0.9925976356045072</v>
      </c>
      <c r="S555" s="1">
        <f t="shared" si="43"/>
        <v>7.1789816082270683E-2</v>
      </c>
      <c r="T555" s="56">
        <f t="shared" si="44"/>
        <v>0.52836023944430677</v>
      </c>
    </row>
    <row r="556" spans="1:20" x14ac:dyDescent="0.25">
      <c r="A556">
        <v>0.56637871180186528</v>
      </c>
      <c r="B556">
        <v>0.24551809474360198</v>
      </c>
      <c r="D556">
        <v>0.57299427024703409</v>
      </c>
      <c r="E556">
        <v>2.4438129423742794</v>
      </c>
      <c r="J556">
        <v>10</v>
      </c>
      <c r="K556">
        <v>-1.8061882656184025E-2</v>
      </c>
      <c r="L556">
        <v>5.8644695834175495</v>
      </c>
      <c r="M556">
        <v>20</v>
      </c>
      <c r="N556">
        <v>0.45067201540405222</v>
      </c>
      <c r="O556">
        <v>117.5940723725496</v>
      </c>
      <c r="P556" s="1">
        <f t="shared" si="40"/>
        <v>4.4092336412845414</v>
      </c>
      <c r="Q556" s="1">
        <f t="shared" si="41"/>
        <v>0.66138504619268124</v>
      </c>
      <c r="R556" s="1">
        <f t="shared" si="42"/>
        <v>0.81325583071545282</v>
      </c>
      <c r="S556" s="1">
        <f t="shared" si="43"/>
        <v>-0.57636709182628643</v>
      </c>
      <c r="T556" s="56">
        <f t="shared" si="44"/>
        <v>0.28448588280739046</v>
      </c>
    </row>
    <row r="557" spans="1:20" x14ac:dyDescent="0.25">
      <c r="A557">
        <v>0.56729309721957677</v>
      </c>
      <c r="B557">
        <v>-1.2125838111387566E-2</v>
      </c>
      <c r="D557">
        <v>0.57323900229630143</v>
      </c>
      <c r="E557">
        <v>-3.3190251576797891</v>
      </c>
      <c r="J557">
        <v>10</v>
      </c>
      <c r="K557">
        <v>7.5414959610498045E-2</v>
      </c>
      <c r="L557">
        <v>17.048231348270441</v>
      </c>
      <c r="M557">
        <v>20</v>
      </c>
      <c r="N557">
        <v>-0.55300018061643641</v>
      </c>
      <c r="O557">
        <v>133.71325911708297</v>
      </c>
      <c r="P557" s="1">
        <f t="shared" si="40"/>
        <v>5.3843389451911934</v>
      </c>
      <c r="Q557" s="1">
        <f t="shared" si="41"/>
        <v>0.80765084177867896</v>
      </c>
      <c r="R557" s="1">
        <f t="shared" si="42"/>
        <v>0.89869396447215499</v>
      </c>
      <c r="S557" s="1">
        <f t="shared" si="43"/>
        <v>0.69925376721099053</v>
      </c>
      <c r="T557" s="56">
        <f t="shared" si="44"/>
        <v>0.75491902873492323</v>
      </c>
    </row>
    <row r="558" spans="1:20" x14ac:dyDescent="0.25">
      <c r="A558">
        <v>0.56779981499287768</v>
      </c>
      <c r="B558">
        <v>-0.63531388150295243</v>
      </c>
      <c r="D558">
        <v>0.574386370499958</v>
      </c>
      <c r="E558">
        <v>4.5699500753926259</v>
      </c>
      <c r="J558">
        <v>10</v>
      </c>
      <c r="K558">
        <v>0.12298062301852042</v>
      </c>
      <c r="L558">
        <v>4.1466137602502071</v>
      </c>
      <c r="M558">
        <v>20</v>
      </c>
      <c r="N558">
        <v>0.74715080359055719</v>
      </c>
      <c r="O558">
        <v>189.46120282944315</v>
      </c>
      <c r="P558" s="1">
        <f t="shared" si="40"/>
        <v>6.9145648782033344</v>
      </c>
      <c r="Q558" s="1">
        <f t="shared" si="41"/>
        <v>1.0371847317305001</v>
      </c>
      <c r="R558" s="1">
        <f t="shared" si="42"/>
        <v>1.0184226685077764</v>
      </c>
      <c r="S558" s="1">
        <f t="shared" si="43"/>
        <v>-0.61287930824103687</v>
      </c>
      <c r="T558" s="56">
        <f t="shared" si="44"/>
        <v>0.27245122018588663</v>
      </c>
    </row>
    <row r="559" spans="1:20" x14ac:dyDescent="0.25">
      <c r="A559">
        <v>0.56783482687680698</v>
      </c>
      <c r="B559">
        <v>0.73437149694655091</v>
      </c>
      <c r="D559">
        <v>0.57500785636441198</v>
      </c>
      <c r="E559">
        <v>-6.8866818344304193</v>
      </c>
      <c r="J559">
        <v>10</v>
      </c>
      <c r="K559">
        <v>-0.50868368361989269</v>
      </c>
      <c r="L559">
        <v>3.3230609760041085</v>
      </c>
      <c r="M559">
        <v>20</v>
      </c>
      <c r="N559">
        <v>-0.30096021305325849</v>
      </c>
      <c r="O559">
        <v>143.11218278544897</v>
      </c>
      <c r="P559" s="1">
        <f t="shared" si="40"/>
        <v>5.2298301343376101</v>
      </c>
      <c r="Q559" s="1">
        <f t="shared" si="41"/>
        <v>0.78447452015064145</v>
      </c>
      <c r="R559" s="1">
        <f t="shared" si="42"/>
        <v>0.88570566225504144</v>
      </c>
      <c r="S559" s="1">
        <f t="shared" si="43"/>
        <v>-0.23452878243745454</v>
      </c>
      <c r="T559" s="56">
        <f t="shared" si="44"/>
        <v>0.40814052719649146</v>
      </c>
    </row>
    <row r="560" spans="1:20" x14ac:dyDescent="0.25">
      <c r="A560">
        <v>0.56940058270682947</v>
      </c>
      <c r="B560">
        <v>-1.2183522812847514</v>
      </c>
      <c r="D560">
        <v>0.57523463475855907</v>
      </c>
      <c r="E560">
        <v>-5.1631802796237025</v>
      </c>
      <c r="J560">
        <v>10</v>
      </c>
      <c r="K560">
        <v>-0.38101052268757485</v>
      </c>
      <c r="L560">
        <v>7.6949156038067708</v>
      </c>
      <c r="M560">
        <v>20</v>
      </c>
      <c r="N560">
        <v>-0.45593145955535874</v>
      </c>
      <c r="O560">
        <v>135.6471981227597</v>
      </c>
      <c r="P560" s="1">
        <f t="shared" si="40"/>
        <v>5.1193612045202315</v>
      </c>
      <c r="Q560" s="1">
        <f t="shared" si="41"/>
        <v>0.76790418067803468</v>
      </c>
      <c r="R560" s="1">
        <f t="shared" si="42"/>
        <v>0.87630142113204101</v>
      </c>
      <c r="S560" s="1">
        <f t="shared" si="43"/>
        <v>8.5496765223772031E-2</v>
      </c>
      <c r="T560" s="56">
        <f t="shared" si="44"/>
        <v>0.53376255251668436</v>
      </c>
    </row>
    <row r="561" spans="1:20" x14ac:dyDescent="0.25">
      <c r="A561">
        <v>0.5708787466058276</v>
      </c>
      <c r="B561">
        <v>0.68584085965994745</v>
      </c>
      <c r="D561">
        <v>0.57526375324635071</v>
      </c>
      <c r="E561">
        <v>-1.9965834815138805</v>
      </c>
      <c r="J561">
        <v>10</v>
      </c>
      <c r="K561">
        <v>4.1666226024972275E-2</v>
      </c>
      <c r="L561">
        <v>16.34078471150303</v>
      </c>
      <c r="M561">
        <v>20</v>
      </c>
      <c r="N561">
        <v>-0.88806143935471482</v>
      </c>
      <c r="O561">
        <v>203.09774971377809</v>
      </c>
      <c r="P561" s="1">
        <f t="shared" si="40"/>
        <v>7.8370905151886117</v>
      </c>
      <c r="Q561" s="1">
        <f t="shared" si="41"/>
        <v>1.1755635772782917</v>
      </c>
      <c r="R561" s="1">
        <f t="shared" si="42"/>
        <v>1.0842340970834166</v>
      </c>
      <c r="S561" s="1">
        <f t="shared" si="43"/>
        <v>0.85749716586173519</v>
      </c>
      <c r="T561" s="56">
        <f t="shared" si="44"/>
        <v>0.80077468908086757</v>
      </c>
    </row>
    <row r="562" spans="1:20" x14ac:dyDescent="0.25">
      <c r="A562">
        <v>0.57181172762097277</v>
      </c>
      <c r="B562">
        <v>0.84090174823359121</v>
      </c>
      <c r="D562">
        <v>0.57546670828419055</v>
      </c>
      <c r="E562">
        <v>-3.9151784710611537</v>
      </c>
      <c r="J562">
        <v>10</v>
      </c>
      <c r="K562">
        <v>0.18695277503866237</v>
      </c>
      <c r="L562">
        <v>2.5421428376124786</v>
      </c>
      <c r="M562">
        <v>20</v>
      </c>
      <c r="N562">
        <v>-0.85364911569740798</v>
      </c>
      <c r="O562">
        <v>171.24973952847759</v>
      </c>
      <c r="P562" s="1">
        <f t="shared" si="40"/>
        <v>6.2068529416460745</v>
      </c>
      <c r="Q562" s="1">
        <f t="shared" si="41"/>
        <v>0.93102794124691113</v>
      </c>
      <c r="R562" s="1">
        <f t="shared" si="42"/>
        <v>0.96489789161698925</v>
      </c>
      <c r="S562" s="1">
        <f t="shared" si="43"/>
        <v>1.0784580418060767</v>
      </c>
      <c r="T562" s="56">
        <f t="shared" si="44"/>
        <v>0.85498358664048357</v>
      </c>
    </row>
    <row r="563" spans="1:20" x14ac:dyDescent="0.25">
      <c r="A563">
        <v>0.5719786074488532</v>
      </c>
      <c r="B563">
        <v>-0.3172408469254151</v>
      </c>
      <c r="D563">
        <v>0.57673445857696592</v>
      </c>
      <c r="E563">
        <v>4.9141074180170108</v>
      </c>
      <c r="J563">
        <v>10</v>
      </c>
      <c r="K563">
        <v>0.36432743399927858</v>
      </c>
      <c r="L563">
        <v>5.5336881379749556</v>
      </c>
      <c r="M563">
        <v>20</v>
      </c>
      <c r="N563">
        <v>0.6229667485513346</v>
      </c>
      <c r="O563">
        <v>303.89420075804031</v>
      </c>
      <c r="P563" s="1">
        <f t="shared" si="40"/>
        <v>11.050996032000544</v>
      </c>
      <c r="Q563" s="1">
        <f t="shared" si="41"/>
        <v>1.6576494048000816</v>
      </c>
      <c r="R563" s="1">
        <f t="shared" si="42"/>
        <v>1.2874973416671902</v>
      </c>
      <c r="S563" s="1">
        <f t="shared" si="43"/>
        <v>-0.20088531927929418</v>
      </c>
      <c r="T563" s="56">
        <f t="shared" si="44"/>
        <v>0.42112018784201061</v>
      </c>
    </row>
    <row r="564" spans="1:20" x14ac:dyDescent="0.25">
      <c r="A564">
        <v>0.57250694062968355</v>
      </c>
      <c r="B564">
        <v>-1.1944371181016322</v>
      </c>
      <c r="D564">
        <v>0.5768303422396015</v>
      </c>
      <c r="E564">
        <v>1.6401584127834212</v>
      </c>
      <c r="J564">
        <v>10</v>
      </c>
      <c r="K564">
        <v>-0.46789818952674977</v>
      </c>
      <c r="L564">
        <v>2.6873110657742725</v>
      </c>
      <c r="M564">
        <v>20</v>
      </c>
      <c r="N564">
        <v>0.22759013177164888</v>
      </c>
      <c r="O564">
        <v>150.21192496476576</v>
      </c>
      <c r="P564" s="1">
        <f t="shared" si="40"/>
        <v>5.460687001090716</v>
      </c>
      <c r="Q564" s="1">
        <f t="shared" si="41"/>
        <v>0.8191030501636074</v>
      </c>
      <c r="R564" s="1">
        <f t="shared" si="42"/>
        <v>0.90504312061006653</v>
      </c>
      <c r="S564" s="1">
        <f t="shared" si="43"/>
        <v>-0.76845876783151246</v>
      </c>
      <c r="T564" s="56">
        <f t="shared" si="44"/>
        <v>0.22432399269437509</v>
      </c>
    </row>
    <row r="565" spans="1:20" x14ac:dyDescent="0.25">
      <c r="A565">
        <v>0.57268348202127795</v>
      </c>
      <c r="B565">
        <v>-2.492197381798178</v>
      </c>
      <c r="D565">
        <v>0.57771394669126019</v>
      </c>
      <c r="E565">
        <v>1.0374976648108714</v>
      </c>
      <c r="J565">
        <v>10</v>
      </c>
      <c r="K565">
        <v>6.0896809372934513E-2</v>
      </c>
      <c r="L565">
        <v>5.8303183171843278</v>
      </c>
      <c r="M565">
        <v>20</v>
      </c>
      <c r="N565">
        <v>0.53839397310184722</v>
      </c>
      <c r="O565">
        <v>111.92174949934046</v>
      </c>
      <c r="P565" s="1">
        <f t="shared" si="40"/>
        <v>4.2054309934473135</v>
      </c>
      <c r="Q565" s="1">
        <f t="shared" si="41"/>
        <v>0.63081464901709705</v>
      </c>
      <c r="R565" s="1">
        <f t="shared" si="42"/>
        <v>0.79423840817294722</v>
      </c>
      <c r="S565" s="1">
        <f t="shared" si="43"/>
        <v>-0.6012013002838017</v>
      </c>
      <c r="T565" s="56">
        <f t="shared" si="44"/>
        <v>0.27627123482344729</v>
      </c>
    </row>
    <row r="566" spans="1:20" x14ac:dyDescent="0.25">
      <c r="A566">
        <v>0.57399305970389736</v>
      </c>
      <c r="B566">
        <v>0.91409447122714482</v>
      </c>
      <c r="D566">
        <v>0.57919107184919327</v>
      </c>
      <c r="E566">
        <v>0.36639289305639977</v>
      </c>
      <c r="J566">
        <v>10</v>
      </c>
      <c r="K566">
        <v>0.3690798848765553</v>
      </c>
      <c r="L566">
        <v>6.7919994038489433</v>
      </c>
      <c r="M566">
        <v>20</v>
      </c>
      <c r="N566">
        <v>-0.38769872276134265</v>
      </c>
      <c r="O566">
        <v>191.03186488194171</v>
      </c>
      <c r="P566" s="1">
        <f t="shared" si="40"/>
        <v>7.0651380102068089</v>
      </c>
      <c r="Q566" s="1">
        <f t="shared" si="41"/>
        <v>1.0597707015310214</v>
      </c>
      <c r="R566" s="1">
        <f t="shared" si="42"/>
        <v>1.029451650895282</v>
      </c>
      <c r="S566" s="1">
        <f t="shared" si="43"/>
        <v>0.73512787801131907</v>
      </c>
      <c r="T566" s="56">
        <f t="shared" si="44"/>
        <v>0.76581264860178555</v>
      </c>
    </row>
    <row r="567" spans="1:20" x14ac:dyDescent="0.25">
      <c r="A567">
        <v>0.57517051348011017</v>
      </c>
      <c r="B567">
        <v>0.321426796290325</v>
      </c>
      <c r="D567">
        <v>0.57983646637794894</v>
      </c>
      <c r="E567">
        <v>1.2165544342224166</v>
      </c>
      <c r="J567">
        <v>10</v>
      </c>
      <c r="K567">
        <v>-0.50551909680507379</v>
      </c>
      <c r="L567">
        <v>4.3886552724892711</v>
      </c>
      <c r="M567">
        <v>20</v>
      </c>
      <c r="N567">
        <v>0.3579020210509043</v>
      </c>
      <c r="O567">
        <v>145.29621852320312</v>
      </c>
      <c r="P567" s="1">
        <f t="shared" si="40"/>
        <v>5.3458883498461569</v>
      </c>
      <c r="Q567" s="1">
        <f t="shared" si="41"/>
        <v>0.80188325247692349</v>
      </c>
      <c r="R567" s="1">
        <f t="shared" si="42"/>
        <v>0.89547934229490944</v>
      </c>
      <c r="S567" s="1">
        <f t="shared" si="43"/>
        <v>-0.96419992854690151</v>
      </c>
      <c r="T567" s="56">
        <f t="shared" si="44"/>
        <v>0.17159993654230904</v>
      </c>
    </row>
    <row r="568" spans="1:20" x14ac:dyDescent="0.25">
      <c r="A568">
        <v>0.57743741901979095</v>
      </c>
      <c r="B568">
        <v>0.23575466912006959</v>
      </c>
      <c r="D568">
        <v>0.58346824425257182</v>
      </c>
      <c r="E568">
        <v>2.3357513293831289</v>
      </c>
      <c r="J568">
        <v>10</v>
      </c>
      <c r="K568">
        <v>1.0384155757492408E-3</v>
      </c>
      <c r="L568">
        <v>3.0182129022487336</v>
      </c>
      <c r="M568">
        <v>20</v>
      </c>
      <c r="N568">
        <v>1.0290516422628571</v>
      </c>
      <c r="O568">
        <v>179.06072060953184</v>
      </c>
      <c r="P568" s="1">
        <f t="shared" si="40"/>
        <v>6.5028190539921633</v>
      </c>
      <c r="Q568" s="1">
        <f t="shared" si="41"/>
        <v>0.97542285809882445</v>
      </c>
      <c r="R568" s="1">
        <f t="shared" si="42"/>
        <v>0.98763498221702561</v>
      </c>
      <c r="S568" s="1">
        <f t="shared" si="43"/>
        <v>-1.0408837730508915</v>
      </c>
      <c r="T568" s="56">
        <f t="shared" si="44"/>
        <v>0.15341715671241107</v>
      </c>
    </row>
    <row r="569" spans="1:20" x14ac:dyDescent="0.25">
      <c r="A569">
        <v>0.57797343115463917</v>
      </c>
      <c r="B569">
        <v>-0.43823774831253104</v>
      </c>
      <c r="D569">
        <v>0.58552867555650157</v>
      </c>
      <c r="E569">
        <v>-2.8338188292309496</v>
      </c>
      <c r="J569">
        <v>10</v>
      </c>
      <c r="K569">
        <v>0.14145484783512075</v>
      </c>
      <c r="L569">
        <v>4.2633991376605849</v>
      </c>
      <c r="M569">
        <v>20</v>
      </c>
      <c r="N569">
        <v>-2.1039327896232862</v>
      </c>
      <c r="O569">
        <v>149.57451277746927</v>
      </c>
      <c r="P569" s="1">
        <f t="shared" si="40"/>
        <v>5.4942111398260653</v>
      </c>
      <c r="Q569" s="1">
        <f t="shared" si="41"/>
        <v>0.82413167097390982</v>
      </c>
      <c r="R569" s="1">
        <f t="shared" si="42"/>
        <v>0.90781698099006158</v>
      </c>
      <c r="S569" s="1">
        <f t="shared" si="43"/>
        <v>2.4733924177201403</v>
      </c>
      <c r="T569" s="56">
        <f t="shared" si="44"/>
        <v>0.99014174933529542</v>
      </c>
    </row>
    <row r="570" spans="1:20" x14ac:dyDescent="0.25">
      <c r="A570">
        <v>0.57829325399491016</v>
      </c>
      <c r="B570">
        <v>-0.11950646694458555</v>
      </c>
      <c r="D570">
        <v>0.58809039641063243</v>
      </c>
      <c r="E570">
        <v>-0.75912385341325717</v>
      </c>
      <c r="J570">
        <v>10</v>
      </c>
      <c r="K570">
        <v>-0.28725833089993102</v>
      </c>
      <c r="L570">
        <v>8.9355322017073995</v>
      </c>
      <c r="M570">
        <v>20</v>
      </c>
      <c r="N570">
        <v>0.15314139659494685</v>
      </c>
      <c r="O570">
        <v>173.77521470175307</v>
      </c>
      <c r="P570" s="1">
        <f t="shared" si="40"/>
        <v>6.5253838179807309</v>
      </c>
      <c r="Q570" s="1">
        <f t="shared" si="41"/>
        <v>0.97880757269710961</v>
      </c>
      <c r="R570" s="1">
        <f t="shared" si="42"/>
        <v>0.98934704360861647</v>
      </c>
      <c r="S570" s="1">
        <f t="shared" si="43"/>
        <v>-0.4451418037178661</v>
      </c>
      <c r="T570" s="56">
        <f t="shared" si="44"/>
        <v>0.32981986377994421</v>
      </c>
    </row>
    <row r="571" spans="1:20" x14ac:dyDescent="0.25">
      <c r="A571">
        <v>0.58007325374671759</v>
      </c>
      <c r="B571">
        <v>0.13632075024361257</v>
      </c>
      <c r="D571">
        <v>0.58811636593595085</v>
      </c>
      <c r="E571">
        <v>-0.95834412036310823</v>
      </c>
      <c r="J571">
        <v>10</v>
      </c>
      <c r="K571">
        <v>-0.32117975479195593</v>
      </c>
      <c r="L571">
        <v>5.3020701837161077</v>
      </c>
      <c r="M571">
        <v>20</v>
      </c>
      <c r="N571">
        <v>-0.9452102210616431</v>
      </c>
      <c r="O571">
        <v>156.90626367051817</v>
      </c>
      <c r="P571" s="1">
        <f t="shared" si="40"/>
        <v>5.7931547805083667</v>
      </c>
      <c r="Q571" s="1">
        <f t="shared" si="41"/>
        <v>0.86897321707625497</v>
      </c>
      <c r="R571" s="1">
        <f t="shared" si="42"/>
        <v>0.9321873293905335</v>
      </c>
      <c r="S571" s="1">
        <f t="shared" si="43"/>
        <v>0.66942603336786388</v>
      </c>
      <c r="T571" s="56">
        <f t="shared" si="44"/>
        <v>0.74564667418800035</v>
      </c>
    </row>
    <row r="572" spans="1:20" x14ac:dyDescent="0.25">
      <c r="A572">
        <v>0.58062751889439135</v>
      </c>
      <c r="B572">
        <v>0.88045453594531864</v>
      </c>
      <c r="D572">
        <v>0.58854921641498836</v>
      </c>
      <c r="E572">
        <v>0.55072927921173687</v>
      </c>
      <c r="J572">
        <v>10</v>
      </c>
      <c r="K572">
        <v>-0.19982905996585032</v>
      </c>
      <c r="L572">
        <v>8.8368065976460013</v>
      </c>
      <c r="M572">
        <v>20</v>
      </c>
      <c r="N572">
        <v>0.32864585023162363</v>
      </c>
      <c r="O572">
        <v>228.16711336797161</v>
      </c>
      <c r="P572" s="1">
        <f t="shared" si="40"/>
        <v>8.4644257130577714</v>
      </c>
      <c r="Q572" s="1">
        <f t="shared" si="41"/>
        <v>1.2696638569586656</v>
      </c>
      <c r="R572" s="1">
        <f t="shared" si="42"/>
        <v>1.1267936177307118</v>
      </c>
      <c r="S572" s="1">
        <f t="shared" si="43"/>
        <v>-0.46900772411347841</v>
      </c>
      <c r="T572" s="56">
        <f t="shared" si="44"/>
        <v>0.32134775205556709</v>
      </c>
    </row>
    <row r="573" spans="1:20" x14ac:dyDescent="0.25">
      <c r="A573">
        <v>0.58102194415474906</v>
      </c>
      <c r="B573">
        <v>-0.36189703678246588</v>
      </c>
      <c r="D573">
        <v>0.58867411865550867</v>
      </c>
      <c r="E573">
        <v>-5.6008291301168356</v>
      </c>
      <c r="J573">
        <v>10</v>
      </c>
      <c r="K573">
        <v>-0.45764124934066785</v>
      </c>
      <c r="L573">
        <v>7.2006605276250157</v>
      </c>
      <c r="M573">
        <v>20</v>
      </c>
      <c r="N573">
        <v>0.43834404209519562</v>
      </c>
      <c r="O573">
        <v>193.09050609275224</v>
      </c>
      <c r="P573" s="1">
        <f t="shared" si="40"/>
        <v>7.1532559507277593</v>
      </c>
      <c r="Q573" s="1">
        <f t="shared" si="41"/>
        <v>1.0729883926091639</v>
      </c>
      <c r="R573" s="1">
        <f t="shared" si="42"/>
        <v>1.0358515301958886</v>
      </c>
      <c r="S573" s="1">
        <f t="shared" si="43"/>
        <v>-0.86497462746077591</v>
      </c>
      <c r="T573" s="56">
        <f t="shared" si="44"/>
        <v>0.19720162936754609</v>
      </c>
    </row>
    <row r="574" spans="1:20" x14ac:dyDescent="0.25">
      <c r="A574">
        <v>0.58177170691207492</v>
      </c>
      <c r="B574">
        <v>1.5982459444785491</v>
      </c>
      <c r="D574">
        <v>0.59022600635431444</v>
      </c>
      <c r="E574">
        <v>-1.9774192912791477</v>
      </c>
      <c r="J574">
        <v>10</v>
      </c>
      <c r="K574">
        <v>0.12976147445442621</v>
      </c>
      <c r="L574">
        <v>15.198078013169592</v>
      </c>
      <c r="M574">
        <v>20</v>
      </c>
      <c r="N574">
        <v>-0.68746772171834891</v>
      </c>
      <c r="O574">
        <v>177.3796074390487</v>
      </c>
      <c r="P574" s="1">
        <f t="shared" si="40"/>
        <v>6.8777744804363676</v>
      </c>
      <c r="Q574" s="1">
        <f t="shared" si="41"/>
        <v>1.0316661720654552</v>
      </c>
      <c r="R574" s="1">
        <f t="shared" si="42"/>
        <v>1.0157096888705233</v>
      </c>
      <c r="S574" s="1">
        <f t="shared" si="43"/>
        <v>0.80458934784952196</v>
      </c>
      <c r="T574" s="56">
        <f t="shared" si="44"/>
        <v>0.78608205356674188</v>
      </c>
    </row>
    <row r="575" spans="1:20" x14ac:dyDescent="0.25">
      <c r="A575">
        <v>0.58311542599847621</v>
      </c>
      <c r="B575">
        <v>0.63325614974019118</v>
      </c>
      <c r="D575">
        <v>0.59180687860876879</v>
      </c>
      <c r="E575">
        <v>0.44492207621260604</v>
      </c>
      <c r="J575">
        <v>10</v>
      </c>
      <c r="K575">
        <v>0.17140609998023137</v>
      </c>
      <c r="L575">
        <v>5.8699570281276525</v>
      </c>
      <c r="M575">
        <v>20</v>
      </c>
      <c r="N575">
        <v>-0.56784790899655491</v>
      </c>
      <c r="O575">
        <v>261.03724716161571</v>
      </c>
      <c r="P575" s="1">
        <f t="shared" si="40"/>
        <v>9.5324001496336912</v>
      </c>
      <c r="Q575" s="1">
        <f t="shared" si="41"/>
        <v>1.4298600224450537</v>
      </c>
      <c r="R575" s="1">
        <f t="shared" si="42"/>
        <v>1.1957675453218546</v>
      </c>
      <c r="S575" s="1">
        <f t="shared" si="43"/>
        <v>0.61822551704880702</v>
      </c>
      <c r="T575" s="56">
        <f t="shared" si="44"/>
        <v>0.72928831683551953</v>
      </c>
    </row>
    <row r="576" spans="1:20" x14ac:dyDescent="0.25">
      <c r="A576">
        <v>0.58406599263267156</v>
      </c>
      <c r="B576">
        <v>-2.7521309675648808</v>
      </c>
      <c r="D576">
        <v>0.59219317402079852</v>
      </c>
      <c r="E576">
        <v>-2.9552431931278988</v>
      </c>
      <c r="J576">
        <v>10</v>
      </c>
      <c r="K576">
        <v>0.4495246912483708</v>
      </c>
      <c r="L576">
        <v>7.3372872527790687</v>
      </c>
      <c r="M576">
        <v>20</v>
      </c>
      <c r="N576">
        <v>-0.45914442011962819</v>
      </c>
      <c r="O576">
        <v>224.03235540361123</v>
      </c>
      <c r="P576" s="1">
        <f t="shared" si="40"/>
        <v>8.2632015234425111</v>
      </c>
      <c r="Q576" s="1">
        <f t="shared" si="41"/>
        <v>1.2394802285163766</v>
      </c>
      <c r="R576" s="1">
        <f t="shared" si="42"/>
        <v>1.1133194638181696</v>
      </c>
      <c r="S576" s="1">
        <f t="shared" si="43"/>
        <v>0.81618002819396085</v>
      </c>
      <c r="T576" s="56">
        <f t="shared" si="44"/>
        <v>0.78935657797233394</v>
      </c>
    </row>
    <row r="577" spans="1:20" x14ac:dyDescent="0.25">
      <c r="A577">
        <v>0.58516798258447911</v>
      </c>
      <c r="B577">
        <v>-9.865175343293231E-2</v>
      </c>
      <c r="D577">
        <v>0.59453050365509075</v>
      </c>
      <c r="E577">
        <v>-4.3103516452447366</v>
      </c>
      <c r="J577">
        <v>10</v>
      </c>
      <c r="K577">
        <v>-0.65600488596828654</v>
      </c>
      <c r="L577">
        <v>4.2297367582735701</v>
      </c>
      <c r="M577">
        <v>20</v>
      </c>
      <c r="N577">
        <v>1.6649294673243276</v>
      </c>
      <c r="O577">
        <v>131.91240647716481</v>
      </c>
      <c r="P577" s="1">
        <f t="shared" si="40"/>
        <v>4.8622194012656559</v>
      </c>
      <c r="Q577" s="1">
        <f t="shared" si="41"/>
        <v>0.72933291018984836</v>
      </c>
      <c r="R577" s="1">
        <f t="shared" si="42"/>
        <v>0.85400990052214754</v>
      </c>
      <c r="S577" s="1">
        <f t="shared" si="43"/>
        <v>-2.7176902186655902</v>
      </c>
      <c r="T577" s="56">
        <f t="shared" si="44"/>
        <v>5.5748750753003449E-3</v>
      </c>
    </row>
    <row r="578" spans="1:20" x14ac:dyDescent="0.25">
      <c r="A578">
        <v>0.58542988603770929</v>
      </c>
      <c r="B578">
        <v>2.1393134375102818</v>
      </c>
      <c r="D578">
        <v>0.59668790902373159</v>
      </c>
      <c r="E578">
        <v>-1.005966399816316</v>
      </c>
      <c r="J578">
        <v>10</v>
      </c>
      <c r="K578">
        <v>-0.21921403003943851</v>
      </c>
      <c r="L578">
        <v>9.2785838365409194</v>
      </c>
      <c r="M578">
        <v>20</v>
      </c>
      <c r="N578">
        <v>0.39975304503059306</v>
      </c>
      <c r="O578">
        <v>195.44632787713678</v>
      </c>
      <c r="P578" s="1">
        <f t="shared" ref="P578:P641" si="45">(L578+O578)/(J578+M578-2)</f>
        <v>7.3116039897742038</v>
      </c>
      <c r="Q578" s="1">
        <f t="shared" ref="Q578:Q641" si="46">P578*0.15</f>
        <v>1.0967405984661305</v>
      </c>
      <c r="R578" s="1">
        <f t="shared" ref="R578:R641" si="47">SQRT(Q578)</f>
        <v>1.0472538366920077</v>
      </c>
      <c r="S578" s="1">
        <f t="shared" ref="S578:S641" si="48">(K578-N578)/R578</f>
        <v>-0.59103825012012523</v>
      </c>
      <c r="T578" s="56">
        <f t="shared" ref="T578:T641" si="49">_xlfn.T.DIST(S578,28,TRUE)</f>
        <v>0.27961809820309358</v>
      </c>
    </row>
    <row r="579" spans="1:20" x14ac:dyDescent="0.25">
      <c r="A579">
        <v>0.58639234238219939</v>
      </c>
      <c r="B579">
        <v>0.60692400438711047</v>
      </c>
      <c r="D579">
        <v>0.59780883736320678</v>
      </c>
      <c r="E579">
        <v>-2.3117302168884635</v>
      </c>
      <c r="J579">
        <v>10</v>
      </c>
      <c r="K579">
        <v>0.42799194943654584</v>
      </c>
      <c r="L579">
        <v>4.9268248435303583</v>
      </c>
      <c r="M579">
        <v>20</v>
      </c>
      <c r="N579">
        <v>-0.10708129480008211</v>
      </c>
      <c r="O579">
        <v>96.770667541510448</v>
      </c>
      <c r="P579" s="1">
        <f t="shared" si="45"/>
        <v>3.6320532994657428</v>
      </c>
      <c r="Q579" s="1">
        <f t="shared" si="46"/>
        <v>0.54480799491986143</v>
      </c>
      <c r="R579" s="1">
        <f t="shared" si="47"/>
        <v>0.73811109930677876</v>
      </c>
      <c r="S579" s="1">
        <f t="shared" si="48"/>
        <v>0.72492236566982871</v>
      </c>
      <c r="T579" s="56">
        <f t="shared" si="49"/>
        <v>0.76274267340076274</v>
      </c>
    </row>
    <row r="580" spans="1:20" x14ac:dyDescent="0.25">
      <c r="A580">
        <v>0.5863996903696429</v>
      </c>
      <c r="B580">
        <v>1.3139924703864381</v>
      </c>
      <c r="D580">
        <v>0.60155318503759481</v>
      </c>
      <c r="E580">
        <v>-1.510514269966734</v>
      </c>
      <c r="J580">
        <v>10</v>
      </c>
      <c r="K580">
        <v>-3.4597292142279912E-2</v>
      </c>
      <c r="L580">
        <v>7.8989863287205822</v>
      </c>
      <c r="M580">
        <v>20</v>
      </c>
      <c r="N580">
        <v>-0.32926925882748037</v>
      </c>
      <c r="O580">
        <v>148.98102953354194</v>
      </c>
      <c r="P580" s="1">
        <f t="shared" si="45"/>
        <v>5.6028577093665186</v>
      </c>
      <c r="Q580" s="1">
        <f t="shared" si="46"/>
        <v>0.84042865640497777</v>
      </c>
      <c r="R580" s="1">
        <f t="shared" si="47"/>
        <v>0.91674896040572518</v>
      </c>
      <c r="S580" s="1">
        <f t="shared" si="48"/>
        <v>0.32143147078649276</v>
      </c>
      <c r="T580" s="56">
        <f t="shared" si="49"/>
        <v>0.62486467799529799</v>
      </c>
    </row>
    <row r="581" spans="1:20" x14ac:dyDescent="0.25">
      <c r="A581">
        <v>0.58657409056109133</v>
      </c>
      <c r="B581">
        <v>-0.246701574724284</v>
      </c>
      <c r="D581">
        <v>0.60170381030075137</v>
      </c>
      <c r="E581">
        <v>3.273504031540142</v>
      </c>
      <c r="J581">
        <v>10</v>
      </c>
      <c r="K581">
        <v>0.50101562010240741</v>
      </c>
      <c r="L581">
        <v>11.016339020328394</v>
      </c>
      <c r="M581">
        <v>20</v>
      </c>
      <c r="N581">
        <v>-2.1258020979075809E-2</v>
      </c>
      <c r="O581">
        <v>161.26803811608826</v>
      </c>
      <c r="P581" s="1">
        <f t="shared" si="45"/>
        <v>6.1530134691577372</v>
      </c>
      <c r="Q581" s="1">
        <f t="shared" si="46"/>
        <v>0.92295202037366053</v>
      </c>
      <c r="R581" s="1">
        <f t="shared" si="47"/>
        <v>0.960703919203862</v>
      </c>
      <c r="S581" s="1">
        <f t="shared" si="48"/>
        <v>0.54363642183774252</v>
      </c>
      <c r="T581" s="56">
        <f t="shared" si="49"/>
        <v>0.70450285013913738</v>
      </c>
    </row>
    <row r="582" spans="1:20" x14ac:dyDescent="0.25">
      <c r="A582">
        <v>0.58667658318513694</v>
      </c>
      <c r="B582">
        <v>0.14512806956190616</v>
      </c>
      <c r="D582">
        <v>0.60201606694605014</v>
      </c>
      <c r="E582">
        <v>0.30249179530983383</v>
      </c>
      <c r="J582">
        <v>10</v>
      </c>
      <c r="K582">
        <v>0.30498210890073096</v>
      </c>
      <c r="L582">
        <v>10.856425780195019</v>
      </c>
      <c r="M582">
        <v>20</v>
      </c>
      <c r="N582">
        <v>-0.39261476899810077</v>
      </c>
      <c r="O582">
        <v>152.48652905016547</v>
      </c>
      <c r="P582" s="1">
        <f t="shared" si="45"/>
        <v>5.8336769582271604</v>
      </c>
      <c r="Q582" s="1">
        <f t="shared" si="46"/>
        <v>0.87505154373407401</v>
      </c>
      <c r="R582" s="1">
        <f t="shared" si="47"/>
        <v>0.93544189757251839</v>
      </c>
      <c r="S582" s="1">
        <f t="shared" si="48"/>
        <v>0.74574046737601019</v>
      </c>
      <c r="T582" s="56">
        <f t="shared" si="49"/>
        <v>0.76898034980346441</v>
      </c>
    </row>
    <row r="583" spans="1:20" x14ac:dyDescent="0.25">
      <c r="A583">
        <v>0.58720968582027011</v>
      </c>
      <c r="B583">
        <v>1.6542026060051285</v>
      </c>
      <c r="D583">
        <v>0.60239793252830598</v>
      </c>
      <c r="E583">
        <v>-0.77681466223111784</v>
      </c>
      <c r="J583">
        <v>10</v>
      </c>
      <c r="K583">
        <v>-6.5082758737844415E-2</v>
      </c>
      <c r="L583">
        <v>10.494845676639125</v>
      </c>
      <c r="M583">
        <v>20</v>
      </c>
      <c r="N583">
        <v>0.79200145478353079</v>
      </c>
      <c r="O583">
        <v>215.12595722440327</v>
      </c>
      <c r="P583" s="1">
        <f t="shared" si="45"/>
        <v>8.0578858178943715</v>
      </c>
      <c r="Q583" s="1">
        <f t="shared" si="46"/>
        <v>1.2086828726841556</v>
      </c>
      <c r="R583" s="1">
        <f t="shared" si="47"/>
        <v>1.0994011427518873</v>
      </c>
      <c r="S583" s="1">
        <f t="shared" si="48"/>
        <v>-0.77959188888600406</v>
      </c>
      <c r="T583" s="56">
        <f t="shared" si="49"/>
        <v>0.22108560986770642</v>
      </c>
    </row>
    <row r="584" spans="1:20" x14ac:dyDescent="0.25">
      <c r="A584">
        <v>0.58754684136724644</v>
      </c>
      <c r="B584">
        <v>0.17558249965077266</v>
      </c>
      <c r="D584">
        <v>0.60339611884760969</v>
      </c>
      <c r="E584">
        <v>0.33349419595651852</v>
      </c>
      <c r="J584">
        <v>10</v>
      </c>
      <c r="K584">
        <v>-7.2116108640329912E-3</v>
      </c>
      <c r="L584">
        <v>5.0987206857529923</v>
      </c>
      <c r="M584">
        <v>20</v>
      </c>
      <c r="N584">
        <v>0.60665825799333106</v>
      </c>
      <c r="O584">
        <v>218.07555744252588</v>
      </c>
      <c r="P584" s="1">
        <f t="shared" si="45"/>
        <v>7.9705099331528171</v>
      </c>
      <c r="Q584" s="1">
        <f t="shared" si="46"/>
        <v>1.1955764899729224</v>
      </c>
      <c r="R584" s="1">
        <f t="shared" si="47"/>
        <v>1.0934242040365314</v>
      </c>
      <c r="S584" s="1">
        <f t="shared" si="48"/>
        <v>-0.56141968194153369</v>
      </c>
      <c r="T584" s="56">
        <f t="shared" si="49"/>
        <v>0.28948883785746571</v>
      </c>
    </row>
    <row r="585" spans="1:20" x14ac:dyDescent="0.25">
      <c r="A585">
        <v>0.58882584208645983</v>
      </c>
      <c r="B585">
        <v>0.34495997169869952</v>
      </c>
      <c r="D585">
        <v>0.60389229045176562</v>
      </c>
      <c r="E585">
        <v>-3.5865803090473491</v>
      </c>
      <c r="J585">
        <v>10</v>
      </c>
      <c r="K585">
        <v>0.26374902972747805</v>
      </c>
      <c r="L585">
        <v>9.2407591155851687</v>
      </c>
      <c r="M585">
        <v>20</v>
      </c>
      <c r="N585">
        <v>0.7272062669017032</v>
      </c>
      <c r="O585">
        <v>272.86225403249057</v>
      </c>
      <c r="P585" s="1">
        <f t="shared" si="45"/>
        <v>10.075107612431276</v>
      </c>
      <c r="Q585" s="1">
        <f t="shared" si="46"/>
        <v>1.5112661418646913</v>
      </c>
      <c r="R585" s="1">
        <f t="shared" si="47"/>
        <v>1.2293356506116184</v>
      </c>
      <c r="S585" s="1">
        <f t="shared" si="48"/>
        <v>-0.37699812654391512</v>
      </c>
      <c r="T585" s="56">
        <f t="shared" si="49"/>
        <v>0.35450860425975006</v>
      </c>
    </row>
    <row r="586" spans="1:20" x14ac:dyDescent="0.25">
      <c r="A586">
        <v>0.58924954357853854</v>
      </c>
      <c r="B586">
        <v>-2.472206688253209</v>
      </c>
      <c r="D586">
        <v>0.60470511615578004</v>
      </c>
      <c r="E586">
        <v>4.3654150658767321E-2</v>
      </c>
      <c r="J586">
        <v>10</v>
      </c>
      <c r="K586">
        <v>0.11371650998626137</v>
      </c>
      <c r="L586">
        <v>11.979931303802513</v>
      </c>
      <c r="M586">
        <v>20</v>
      </c>
      <c r="N586">
        <v>0.10890124372053833</v>
      </c>
      <c r="O586">
        <v>216.5318439920436</v>
      </c>
      <c r="P586" s="1">
        <f t="shared" si="45"/>
        <v>8.1611348319945041</v>
      </c>
      <c r="Q586" s="1">
        <f t="shared" si="46"/>
        <v>1.2241702247991755</v>
      </c>
      <c r="R586" s="1">
        <f t="shared" si="47"/>
        <v>1.1064222633331162</v>
      </c>
      <c r="S586" s="1">
        <f t="shared" si="48"/>
        <v>4.3521053627545115E-3</v>
      </c>
      <c r="T586" s="56">
        <f t="shared" si="49"/>
        <v>0.50172080334092395</v>
      </c>
    </row>
    <row r="587" spans="1:20" x14ac:dyDescent="0.25">
      <c r="A587">
        <v>0.59400764295744302</v>
      </c>
      <c r="B587">
        <v>-2.635715645737946E-2</v>
      </c>
      <c r="D587">
        <v>0.60476816603086592</v>
      </c>
      <c r="E587">
        <v>1.1864524333304871</v>
      </c>
      <c r="J587">
        <v>10</v>
      </c>
      <c r="K587">
        <v>-0.41634575609350577</v>
      </c>
      <c r="L587">
        <v>6.007438887852496</v>
      </c>
      <c r="M587">
        <v>20</v>
      </c>
      <c r="N587">
        <v>-0.94440378347826481</v>
      </c>
      <c r="O587">
        <v>142.81007821328635</v>
      </c>
      <c r="P587" s="1">
        <f t="shared" si="45"/>
        <v>5.314911325040673</v>
      </c>
      <c r="Q587" s="1">
        <f t="shared" si="46"/>
        <v>0.79723669875610093</v>
      </c>
      <c r="R587" s="1">
        <f t="shared" si="47"/>
        <v>0.8928811224099773</v>
      </c>
      <c r="S587" s="1">
        <f t="shared" si="48"/>
        <v>0.59140910713788697</v>
      </c>
      <c r="T587" s="56">
        <f t="shared" si="49"/>
        <v>0.72050439521910581</v>
      </c>
    </row>
    <row r="588" spans="1:20" x14ac:dyDescent="0.25">
      <c r="A588">
        <v>0.59403221362492697</v>
      </c>
      <c r="B588">
        <v>0.39451947486668359</v>
      </c>
      <c r="D588">
        <v>0.60579870950621584</v>
      </c>
      <c r="E588">
        <v>0.64077607589752006</v>
      </c>
      <c r="J588">
        <v>10</v>
      </c>
      <c r="K588">
        <v>-0.11429642654547933</v>
      </c>
      <c r="L588">
        <v>4.4691993651049025</v>
      </c>
      <c r="M588">
        <v>20</v>
      </c>
      <c r="N588">
        <v>-1.3343253078801354</v>
      </c>
      <c r="O588">
        <v>232.14360716453305</v>
      </c>
      <c r="P588" s="1">
        <f t="shared" si="45"/>
        <v>8.4504573760584982</v>
      </c>
      <c r="Q588" s="1">
        <f t="shared" si="46"/>
        <v>1.2675686064087748</v>
      </c>
      <c r="R588" s="1">
        <f t="shared" si="47"/>
        <v>1.1258634936833039</v>
      </c>
      <c r="S588" s="1">
        <f t="shared" si="48"/>
        <v>1.0836383701751326</v>
      </c>
      <c r="T588" s="56">
        <f t="shared" si="49"/>
        <v>0.85611570558707029</v>
      </c>
    </row>
    <row r="589" spans="1:20" x14ac:dyDescent="0.25">
      <c r="A589">
        <v>0.5957236342313621</v>
      </c>
      <c r="B589">
        <v>-0.94448751042364165</v>
      </c>
      <c r="D589">
        <v>0.60854625936603746</v>
      </c>
      <c r="E589">
        <v>3.4094371096671239</v>
      </c>
      <c r="J589">
        <v>10</v>
      </c>
      <c r="K589">
        <v>2.0594029592757579E-2</v>
      </c>
      <c r="L589">
        <v>6.9374163694126691</v>
      </c>
      <c r="M589">
        <v>20</v>
      </c>
      <c r="N589">
        <v>0.6744423296822788</v>
      </c>
      <c r="O589">
        <v>140.27094809647912</v>
      </c>
      <c r="P589" s="1">
        <f t="shared" si="45"/>
        <v>5.2574415880675636</v>
      </c>
      <c r="Q589" s="1">
        <f t="shared" si="46"/>
        <v>0.78861623821013449</v>
      </c>
      <c r="R589" s="1">
        <f t="shared" si="47"/>
        <v>0.88804067373636353</v>
      </c>
      <c r="S589" s="1">
        <f t="shared" si="48"/>
        <v>-0.73628192877529386</v>
      </c>
      <c r="T589" s="56">
        <f t="shared" si="49"/>
        <v>0.23384165991175859</v>
      </c>
    </row>
    <row r="590" spans="1:20" x14ac:dyDescent="0.25">
      <c r="A590">
        <v>0.59572595646270554</v>
      </c>
      <c r="B590">
        <v>1.0473650036146864</v>
      </c>
      <c r="D590">
        <v>0.60980136329185275</v>
      </c>
      <c r="E590">
        <v>-2.0149802855939924</v>
      </c>
      <c r="J590">
        <v>10</v>
      </c>
      <c r="K590">
        <v>-0.51550227908592205</v>
      </c>
      <c r="L590">
        <v>5.2598612512155603</v>
      </c>
      <c r="M590">
        <v>20</v>
      </c>
      <c r="N590">
        <v>-0.70235876478363934</v>
      </c>
      <c r="O590">
        <v>251.85939718091495</v>
      </c>
      <c r="P590" s="1">
        <f t="shared" si="45"/>
        <v>9.1828306582903743</v>
      </c>
      <c r="Q590" s="1">
        <f t="shared" si="46"/>
        <v>1.3774245987435561</v>
      </c>
      <c r="R590" s="1">
        <f t="shared" si="47"/>
        <v>1.1736373369757611</v>
      </c>
      <c r="S590" s="1">
        <f t="shared" si="48"/>
        <v>0.15921143594426768</v>
      </c>
      <c r="T590" s="56">
        <f t="shared" si="49"/>
        <v>0.56267741233481183</v>
      </c>
    </row>
    <row r="591" spans="1:20" x14ac:dyDescent="0.25">
      <c r="A591">
        <v>0.59587136065315149</v>
      </c>
      <c r="B591">
        <v>-1.3319800018507522</v>
      </c>
      <c r="D591">
        <v>0.61213050931678181</v>
      </c>
      <c r="E591">
        <v>-4.0442835177145753</v>
      </c>
      <c r="J591">
        <v>10</v>
      </c>
      <c r="K591">
        <v>0.29208820251369616</v>
      </c>
      <c r="L591">
        <v>7.1679106246237341</v>
      </c>
      <c r="M591">
        <v>20</v>
      </c>
      <c r="N591">
        <v>-0.7336215651321254</v>
      </c>
      <c r="O591">
        <v>165.04645743940989</v>
      </c>
      <c r="P591" s="1">
        <f t="shared" si="45"/>
        <v>6.1505131451440587</v>
      </c>
      <c r="Q591" s="1">
        <f t="shared" si="46"/>
        <v>0.9225769717716088</v>
      </c>
      <c r="R591" s="1">
        <f t="shared" si="47"/>
        <v>0.96050870468289296</v>
      </c>
      <c r="S591" s="1">
        <f t="shared" si="48"/>
        <v>1.0678818033038591</v>
      </c>
      <c r="T591" s="56">
        <f t="shared" si="49"/>
        <v>0.85265264489312254</v>
      </c>
    </row>
    <row r="592" spans="1:20" x14ac:dyDescent="0.25">
      <c r="A592">
        <v>0.5978660343444504</v>
      </c>
      <c r="B592">
        <v>-5.1774122766801156E-2</v>
      </c>
      <c r="D592">
        <v>0.61246880009592897</v>
      </c>
      <c r="E592">
        <v>5.8656253224853572</v>
      </c>
      <c r="J592">
        <v>10</v>
      </c>
      <c r="K592">
        <v>0.64908169861155329</v>
      </c>
      <c r="L592">
        <v>9.0984780263700902</v>
      </c>
      <c r="M592">
        <v>20</v>
      </c>
      <c r="N592">
        <v>-1.3984905535835424E-2</v>
      </c>
      <c r="O592">
        <v>207.89895636884773</v>
      </c>
      <c r="P592" s="1">
        <f t="shared" si="45"/>
        <v>7.7499083712577796</v>
      </c>
      <c r="Q592" s="1">
        <f t="shared" si="46"/>
        <v>1.1624862556886668</v>
      </c>
      <c r="R592" s="1">
        <f t="shared" si="47"/>
        <v>1.0781865588517912</v>
      </c>
      <c r="S592" s="1">
        <f t="shared" si="48"/>
        <v>0.6149831851488835</v>
      </c>
      <c r="T592" s="56">
        <f t="shared" si="49"/>
        <v>0.72823403235205109</v>
      </c>
    </row>
    <row r="593" spans="1:20" x14ac:dyDescent="0.25">
      <c r="A593">
        <v>0.59916078748381152</v>
      </c>
      <c r="B593">
        <v>-0.25080453269765712</v>
      </c>
      <c r="D593">
        <v>0.61250208171224374</v>
      </c>
      <c r="E593">
        <v>0.46262652745099331</v>
      </c>
      <c r="J593">
        <v>10</v>
      </c>
      <c r="K593">
        <v>-0.35335665415914264</v>
      </c>
      <c r="L593">
        <v>8.2258029138814219</v>
      </c>
      <c r="M593">
        <v>20</v>
      </c>
      <c r="N593">
        <v>-0.33141435892503068</v>
      </c>
      <c r="O593">
        <v>219.53758363216036</v>
      </c>
      <c r="P593" s="1">
        <f t="shared" si="45"/>
        <v>8.134406662358634</v>
      </c>
      <c r="Q593" s="1">
        <f t="shared" si="46"/>
        <v>1.220160999353795</v>
      </c>
      <c r="R593" s="1">
        <f t="shared" si="47"/>
        <v>1.1046089802974604</v>
      </c>
      <c r="S593" s="1">
        <f t="shared" si="48"/>
        <v>-1.9864310018739038E-2</v>
      </c>
      <c r="T593" s="56">
        <f t="shared" si="49"/>
        <v>0.49214624835683141</v>
      </c>
    </row>
    <row r="594" spans="1:20" x14ac:dyDescent="0.25">
      <c r="A594">
        <v>0.59969025697950817</v>
      </c>
      <c r="B594">
        <v>-1.0040002962341532</v>
      </c>
      <c r="D594">
        <v>0.61263120624477585</v>
      </c>
      <c r="E594">
        <v>-0.82625479421949422</v>
      </c>
      <c r="J594">
        <v>10</v>
      </c>
      <c r="K594">
        <v>0.21586606635537464</v>
      </c>
      <c r="L594">
        <v>11.277049525168733</v>
      </c>
      <c r="M594">
        <v>20</v>
      </c>
      <c r="N594">
        <v>-0.56495366948183801</v>
      </c>
      <c r="O594">
        <v>235.69923178360835</v>
      </c>
      <c r="P594" s="1">
        <f t="shared" si="45"/>
        <v>8.8205814753134675</v>
      </c>
      <c r="Q594" s="1">
        <f t="shared" si="46"/>
        <v>1.3230872212970202</v>
      </c>
      <c r="R594" s="1">
        <f t="shared" si="47"/>
        <v>1.1502552852723695</v>
      </c>
      <c r="S594" s="1">
        <f t="shared" si="48"/>
        <v>0.67882299332562679</v>
      </c>
      <c r="T594" s="56">
        <f t="shared" si="49"/>
        <v>0.74858862083518485</v>
      </c>
    </row>
    <row r="595" spans="1:20" x14ac:dyDescent="0.25">
      <c r="A595">
        <v>0.60009515945546721</v>
      </c>
      <c r="B595">
        <v>0.36451183405006304</v>
      </c>
      <c r="D595">
        <v>0.61339987971151266</v>
      </c>
      <c r="E595">
        <v>5.1942135962690372</v>
      </c>
      <c r="J595">
        <v>10</v>
      </c>
      <c r="K595">
        <v>0.87981538854364771</v>
      </c>
      <c r="L595">
        <v>5.1494140102740618</v>
      </c>
      <c r="M595">
        <v>20</v>
      </c>
      <c r="N595">
        <v>-0.29913127605141199</v>
      </c>
      <c r="O595">
        <v>366.12204782839655</v>
      </c>
      <c r="P595" s="1">
        <f t="shared" si="45"/>
        <v>13.259695065666808</v>
      </c>
      <c r="Q595" s="1">
        <f t="shared" si="46"/>
        <v>1.9889542598500212</v>
      </c>
      <c r="R595" s="1">
        <f t="shared" si="47"/>
        <v>1.410302896490687</v>
      </c>
      <c r="S595" s="1">
        <f t="shared" si="48"/>
        <v>0.83595280668335847</v>
      </c>
      <c r="T595" s="56">
        <f t="shared" si="49"/>
        <v>0.79487060758170669</v>
      </c>
    </row>
    <row r="596" spans="1:20" x14ac:dyDescent="0.25">
      <c r="A596">
        <v>0.6011757628734421</v>
      </c>
      <c r="B596">
        <v>-0.16906028577068355</v>
      </c>
      <c r="D596">
        <v>0.61392152299103231</v>
      </c>
      <c r="E596">
        <v>-0.24403721340604534</v>
      </c>
      <c r="J596">
        <v>10</v>
      </c>
      <c r="K596">
        <v>0.14573038242815528</v>
      </c>
      <c r="L596">
        <v>6.2034586039954522</v>
      </c>
      <c r="M596">
        <v>20</v>
      </c>
      <c r="N596">
        <v>5.1225182460257201E-2</v>
      </c>
      <c r="O596">
        <v>140.2699054259781</v>
      </c>
      <c r="P596" s="1">
        <f t="shared" si="45"/>
        <v>5.2311915724990552</v>
      </c>
      <c r="Q596" s="1">
        <f t="shared" si="46"/>
        <v>0.78467873587485826</v>
      </c>
      <c r="R596" s="1">
        <f t="shared" si="47"/>
        <v>0.88582093894582226</v>
      </c>
      <c r="S596" s="1">
        <f t="shared" si="48"/>
        <v>0.10668657266147342</v>
      </c>
      <c r="T596" s="56">
        <f t="shared" si="49"/>
        <v>0.54210081618151418</v>
      </c>
    </row>
    <row r="597" spans="1:20" x14ac:dyDescent="0.25">
      <c r="A597">
        <v>0.60228570379212454</v>
      </c>
      <c r="B597">
        <v>0.34455297281965613</v>
      </c>
      <c r="D597">
        <v>0.61667265791131065</v>
      </c>
      <c r="E597">
        <v>-4.3361221776194725</v>
      </c>
      <c r="J597">
        <v>10</v>
      </c>
      <c r="K597">
        <v>0.28031877263856586</v>
      </c>
      <c r="L597">
        <v>4.7607576878638902</v>
      </c>
      <c r="M597">
        <v>20</v>
      </c>
      <c r="N597">
        <v>0.2171529979477782</v>
      </c>
      <c r="O597">
        <v>180.04700328566469</v>
      </c>
      <c r="P597" s="1">
        <f t="shared" si="45"/>
        <v>6.6002771776260207</v>
      </c>
      <c r="Q597" s="1">
        <f t="shared" si="46"/>
        <v>0.99004157664390302</v>
      </c>
      <c r="R597" s="1">
        <f t="shared" si="47"/>
        <v>0.99500832993694233</v>
      </c>
      <c r="S597" s="1">
        <f t="shared" si="48"/>
        <v>6.3482659180140455E-2</v>
      </c>
      <c r="T597" s="56">
        <f t="shared" si="49"/>
        <v>0.52508339656685366</v>
      </c>
    </row>
    <row r="598" spans="1:20" x14ac:dyDescent="0.25">
      <c r="A598">
        <v>0.60254348156400583</v>
      </c>
      <c r="B598">
        <v>0.61947957874508575</v>
      </c>
      <c r="D598">
        <v>0.61877222502385798</v>
      </c>
      <c r="E598">
        <v>1.3518770140308334</v>
      </c>
      <c r="J598">
        <v>10</v>
      </c>
      <c r="K598">
        <v>-6.2432604863715824E-2</v>
      </c>
      <c r="L598">
        <v>3.292301508889965</v>
      </c>
      <c r="M598">
        <v>20</v>
      </c>
      <c r="N598">
        <v>-9.8478213885755395E-2</v>
      </c>
      <c r="O598">
        <v>211.65485052348856</v>
      </c>
      <c r="P598" s="1">
        <f t="shared" si="45"/>
        <v>7.6766840011563762</v>
      </c>
      <c r="Q598" s="1">
        <f t="shared" si="46"/>
        <v>1.1515026001734563</v>
      </c>
      <c r="R598" s="1">
        <f t="shared" si="47"/>
        <v>1.0730808917194716</v>
      </c>
      <c r="S598" s="1">
        <f t="shared" si="48"/>
        <v>3.359076589676404E-2</v>
      </c>
      <c r="T598" s="56">
        <f t="shared" si="49"/>
        <v>0.51327909826325191</v>
      </c>
    </row>
    <row r="599" spans="1:20" x14ac:dyDescent="0.25">
      <c r="A599">
        <v>0.60342511964087286</v>
      </c>
      <c r="B599">
        <v>0.58699470173451118</v>
      </c>
      <c r="D599">
        <v>0.61878876108624536</v>
      </c>
      <c r="E599">
        <v>2.2310252882107307</v>
      </c>
      <c r="J599">
        <v>10</v>
      </c>
      <c r="K599">
        <v>0.12806515314878197</v>
      </c>
      <c r="L599">
        <v>8.7153689742281344</v>
      </c>
      <c r="M599">
        <v>20</v>
      </c>
      <c r="N599">
        <v>8.9568709427112481E-3</v>
      </c>
      <c r="O599">
        <v>210.38275974292094</v>
      </c>
      <c r="P599" s="1">
        <f t="shared" si="45"/>
        <v>7.8249331684696104</v>
      </c>
      <c r="Q599" s="1">
        <f t="shared" si="46"/>
        <v>1.1737399752704416</v>
      </c>
      <c r="R599" s="1">
        <f t="shared" si="47"/>
        <v>1.083392807466637</v>
      </c>
      <c r="S599" s="1">
        <f t="shared" si="48"/>
        <v>0.10994007102981312</v>
      </c>
      <c r="T599" s="56">
        <f t="shared" si="49"/>
        <v>0.54337944857849851</v>
      </c>
    </row>
    <row r="600" spans="1:20" x14ac:dyDescent="0.25">
      <c r="A600">
        <v>0.60471281301261348</v>
      </c>
      <c r="B600">
        <v>-0.48066226554510649</v>
      </c>
      <c r="D600">
        <v>0.61945085913849407</v>
      </c>
      <c r="E600">
        <v>2.3665320406962564</v>
      </c>
      <c r="J600">
        <v>10</v>
      </c>
      <c r="K600">
        <v>0.37733389035565779</v>
      </c>
      <c r="L600">
        <v>7.527934931856838</v>
      </c>
      <c r="M600">
        <v>20</v>
      </c>
      <c r="N600">
        <v>-0.4852643689901015</v>
      </c>
      <c r="O600">
        <v>191.43146124292483</v>
      </c>
      <c r="P600" s="1">
        <f t="shared" si="45"/>
        <v>7.1056927205279168</v>
      </c>
      <c r="Q600" s="1">
        <f t="shared" si="46"/>
        <v>1.0658539080791876</v>
      </c>
      <c r="R600" s="1">
        <f t="shared" si="47"/>
        <v>1.0324020089476713</v>
      </c>
      <c r="S600" s="1">
        <f t="shared" si="48"/>
        <v>0.83552555290453845</v>
      </c>
      <c r="T600" s="56">
        <f t="shared" si="49"/>
        <v>0.79475242294090931</v>
      </c>
    </row>
    <row r="601" spans="1:20" x14ac:dyDescent="0.25">
      <c r="A601">
        <v>0.607047673290533</v>
      </c>
      <c r="B601">
        <v>0.74442709774302784</v>
      </c>
      <c r="D601">
        <v>0.62156826019213995</v>
      </c>
      <c r="E601">
        <v>1.6826681951442879</v>
      </c>
      <c r="J601">
        <v>10</v>
      </c>
      <c r="K601">
        <v>0.27671376301441342</v>
      </c>
      <c r="L601">
        <v>7.5057512747261628</v>
      </c>
      <c r="M601">
        <v>20</v>
      </c>
      <c r="N601">
        <v>-0.53983643852006935</v>
      </c>
      <c r="O601">
        <v>250.71016648157303</v>
      </c>
      <c r="P601" s="1">
        <f t="shared" si="45"/>
        <v>9.2219970627249701</v>
      </c>
      <c r="Q601" s="1">
        <f t="shared" si="46"/>
        <v>1.3832995594087454</v>
      </c>
      <c r="R601" s="1">
        <f t="shared" si="47"/>
        <v>1.1761375597304702</v>
      </c>
      <c r="S601" s="1">
        <f t="shared" si="48"/>
        <v>0.69426419960740615</v>
      </c>
      <c r="T601" s="56">
        <f t="shared" si="49"/>
        <v>0.75338141383306767</v>
      </c>
    </row>
    <row r="602" spans="1:20" x14ac:dyDescent="0.25">
      <c r="A602">
        <v>0.60818853233655734</v>
      </c>
      <c r="B602">
        <v>-5.8525984059087932E-3</v>
      </c>
      <c r="D602">
        <v>0.62265615839825883</v>
      </c>
      <c r="E602">
        <v>-4.2799426898909587</v>
      </c>
      <c r="J602">
        <v>10</v>
      </c>
      <c r="K602">
        <v>-0.32899674806685653</v>
      </c>
      <c r="L602">
        <v>7.4057640953661581</v>
      </c>
      <c r="M602">
        <v>20</v>
      </c>
      <c r="N602">
        <v>0.84632557332042779</v>
      </c>
      <c r="O602">
        <v>229.98899659801864</v>
      </c>
      <c r="P602" s="1">
        <f t="shared" si="45"/>
        <v>8.4783843104780292</v>
      </c>
      <c r="Q602" s="1">
        <f t="shared" si="46"/>
        <v>1.2717576465717044</v>
      </c>
      <c r="R602" s="1">
        <f t="shared" si="47"/>
        <v>1.1277223268924423</v>
      </c>
      <c r="S602" s="1">
        <f t="shared" si="48"/>
        <v>-1.0422089670123043</v>
      </c>
      <c r="T602" s="56">
        <f t="shared" si="49"/>
        <v>0.15311520193680361</v>
      </c>
    </row>
    <row r="603" spans="1:20" x14ac:dyDescent="0.25">
      <c r="A603">
        <v>0.60868121719157897</v>
      </c>
      <c r="B603">
        <v>-0.75333787208364811</v>
      </c>
      <c r="D603">
        <v>0.62299238550606062</v>
      </c>
      <c r="E603">
        <v>4.0836523533016589</v>
      </c>
      <c r="J603">
        <v>10</v>
      </c>
      <c r="K603">
        <v>0.45583021801576251</v>
      </c>
      <c r="L603">
        <v>6.3158547936178193</v>
      </c>
      <c r="M603">
        <v>20</v>
      </c>
      <c r="N603">
        <v>7.9653940474599949E-2</v>
      </c>
      <c r="O603">
        <v>237.85051661304138</v>
      </c>
      <c r="P603" s="1">
        <f t="shared" si="45"/>
        <v>8.7202275502378281</v>
      </c>
      <c r="Q603" s="1">
        <f t="shared" si="46"/>
        <v>1.3080341325356741</v>
      </c>
      <c r="R603" s="1">
        <f t="shared" si="47"/>
        <v>1.1436931986051477</v>
      </c>
      <c r="S603" s="1">
        <f t="shared" si="48"/>
        <v>0.32891362648649874</v>
      </c>
      <c r="T603" s="56">
        <f t="shared" si="49"/>
        <v>0.6276657437824591</v>
      </c>
    </row>
    <row r="604" spans="1:20" x14ac:dyDescent="0.25">
      <c r="A604">
        <v>0.61023213391244457</v>
      </c>
      <c r="B604">
        <v>0.55502823670394719</v>
      </c>
      <c r="D604">
        <v>0.62315700235183369</v>
      </c>
      <c r="E604">
        <v>2.4327625817477383</v>
      </c>
      <c r="J604">
        <v>10</v>
      </c>
      <c r="K604">
        <v>-0.34207096177851781</v>
      </c>
      <c r="L604">
        <v>10.335954328796761</v>
      </c>
      <c r="M604">
        <v>20</v>
      </c>
      <c r="N604">
        <v>-0.95460098123112402</v>
      </c>
      <c r="O604">
        <v>173.64925490036654</v>
      </c>
      <c r="P604" s="1">
        <f t="shared" si="45"/>
        <v>6.5709003296129751</v>
      </c>
      <c r="Q604" s="1">
        <f t="shared" si="46"/>
        <v>0.98563504944194624</v>
      </c>
      <c r="R604" s="1">
        <f t="shared" si="47"/>
        <v>0.99279154380058365</v>
      </c>
      <c r="S604" s="1">
        <f t="shared" si="48"/>
        <v>0.61697747455395491</v>
      </c>
      <c r="T604" s="56">
        <f t="shared" si="49"/>
        <v>0.72888275531188995</v>
      </c>
    </row>
    <row r="605" spans="1:20" x14ac:dyDescent="0.25">
      <c r="A605">
        <v>0.61045233348483507</v>
      </c>
      <c r="B605">
        <v>1.879006958915852</v>
      </c>
      <c r="D605">
        <v>0.62393107675994697</v>
      </c>
      <c r="E605">
        <v>-2.2859835587496491</v>
      </c>
      <c r="J605">
        <v>10</v>
      </c>
      <c r="K605">
        <v>9.3552898761117831E-3</v>
      </c>
      <c r="L605">
        <v>4.0929341786163498</v>
      </c>
      <c r="M605">
        <v>20</v>
      </c>
      <c r="N605">
        <v>0.58691597018878383</v>
      </c>
      <c r="O605">
        <v>79.692219711299188</v>
      </c>
      <c r="P605" s="1">
        <f t="shared" si="45"/>
        <v>2.9923269246398405</v>
      </c>
      <c r="Q605" s="1">
        <f t="shared" si="46"/>
        <v>0.44884903869597609</v>
      </c>
      <c r="R605" s="1">
        <f t="shared" si="47"/>
        <v>0.66996196809667941</v>
      </c>
      <c r="S605" s="1">
        <f t="shared" si="48"/>
        <v>-0.8620798012661619</v>
      </c>
      <c r="T605" s="56">
        <f t="shared" si="49"/>
        <v>0.19798351788575153</v>
      </c>
    </row>
    <row r="606" spans="1:20" x14ac:dyDescent="0.25">
      <c r="A606">
        <v>0.61047244983029414</v>
      </c>
      <c r="B606">
        <v>-0.95276618594652973</v>
      </c>
      <c r="D606">
        <v>0.62454077019843635</v>
      </c>
      <c r="E606">
        <v>-7.1232414063615579</v>
      </c>
      <c r="J606">
        <v>10</v>
      </c>
      <c r="K606">
        <v>-7.1562681114301085E-2</v>
      </c>
      <c r="L606">
        <v>5.42996658615915</v>
      </c>
      <c r="M606">
        <v>20</v>
      </c>
      <c r="N606">
        <v>0.25700233777570247</v>
      </c>
      <c r="O606">
        <v>250.45473038519495</v>
      </c>
      <c r="P606" s="1">
        <f t="shared" si="45"/>
        <v>9.1387391775483611</v>
      </c>
      <c r="Q606" s="1">
        <f t="shared" si="46"/>
        <v>1.3708108766322542</v>
      </c>
      <c r="R606" s="1">
        <f t="shared" si="47"/>
        <v>1.170816329161946</v>
      </c>
      <c r="S606" s="1">
        <f t="shared" si="48"/>
        <v>-0.28062900277892933</v>
      </c>
      <c r="T606" s="56">
        <f t="shared" si="49"/>
        <v>0.39052906123634445</v>
      </c>
    </row>
    <row r="607" spans="1:20" x14ac:dyDescent="0.25">
      <c r="A607">
        <v>0.6110126402389805</v>
      </c>
      <c r="B607">
        <v>2.2814310796093196</v>
      </c>
      <c r="D607">
        <v>0.62616966457540046</v>
      </c>
      <c r="E607">
        <v>-4.6580287323649827</v>
      </c>
      <c r="J607">
        <v>10</v>
      </c>
      <c r="K607">
        <v>-0.55303451063082321</v>
      </c>
      <c r="L607">
        <v>5.6028688081462183</v>
      </c>
      <c r="M607">
        <v>20</v>
      </c>
      <c r="N607">
        <v>-1.3382021427332802</v>
      </c>
      <c r="O607">
        <v>226.14169126655133</v>
      </c>
      <c r="P607" s="1">
        <f t="shared" si="45"/>
        <v>8.2765914312391988</v>
      </c>
      <c r="Q607" s="1">
        <f t="shared" si="46"/>
        <v>1.2414887146858797</v>
      </c>
      <c r="R607" s="1">
        <f t="shared" si="47"/>
        <v>1.1142211246812186</v>
      </c>
      <c r="S607" s="1">
        <f t="shared" si="48"/>
        <v>0.70467846526163769</v>
      </c>
      <c r="T607" s="56">
        <f t="shared" si="49"/>
        <v>0.75658455038390127</v>
      </c>
    </row>
    <row r="608" spans="1:20" x14ac:dyDescent="0.25">
      <c r="A608">
        <v>0.61103369869470237</v>
      </c>
      <c r="B608">
        <v>1.0368330549681559</v>
      </c>
      <c r="D608">
        <v>0.62624453652609646</v>
      </c>
      <c r="E608">
        <v>-1.2298555736833805</v>
      </c>
      <c r="J608">
        <v>10</v>
      </c>
      <c r="K608">
        <v>-0.49428240345150698</v>
      </c>
      <c r="L608">
        <v>7.0509777484882132</v>
      </c>
      <c r="M608">
        <v>20</v>
      </c>
      <c r="N608">
        <v>-0.39949208371581335</v>
      </c>
      <c r="O608">
        <v>182.57386384865262</v>
      </c>
      <c r="P608" s="1">
        <f t="shared" si="45"/>
        <v>6.7723157713264586</v>
      </c>
      <c r="Q608" s="1">
        <f t="shared" si="46"/>
        <v>1.0158473656989688</v>
      </c>
      <c r="R608" s="1">
        <f t="shared" si="47"/>
        <v>1.0078925367810643</v>
      </c>
      <c r="S608" s="1">
        <f t="shared" si="48"/>
        <v>-9.4048042104199162E-2</v>
      </c>
      <c r="T608" s="56">
        <f t="shared" si="49"/>
        <v>0.46287038928642055</v>
      </c>
    </row>
    <row r="609" spans="1:20" x14ac:dyDescent="0.25">
      <c r="A609">
        <v>0.61126248335858846</v>
      </c>
      <c r="B609">
        <v>-0.88859906099969521</v>
      </c>
      <c r="D609">
        <v>0.62886268580405735</v>
      </c>
      <c r="E609">
        <v>0.59908824937338068</v>
      </c>
      <c r="J609">
        <v>10</v>
      </c>
      <c r="K609">
        <v>0.10966448371618753</v>
      </c>
      <c r="L609">
        <v>5.578203782677984</v>
      </c>
      <c r="M609">
        <v>20</v>
      </c>
      <c r="N609">
        <v>-1.3286000955758936</v>
      </c>
      <c r="O609">
        <v>133.43861778024271</v>
      </c>
      <c r="P609" s="1">
        <f t="shared" si="45"/>
        <v>4.964886484390024</v>
      </c>
      <c r="Q609" s="1">
        <f t="shared" si="46"/>
        <v>0.74473297265850358</v>
      </c>
      <c r="R609" s="1">
        <f t="shared" si="47"/>
        <v>0.86297912643267538</v>
      </c>
      <c r="S609" s="1">
        <f t="shared" si="48"/>
        <v>1.666627309095507</v>
      </c>
      <c r="T609" s="56">
        <f t="shared" si="49"/>
        <v>0.94663102381087272</v>
      </c>
    </row>
    <row r="610" spans="1:20" x14ac:dyDescent="0.25">
      <c r="A610">
        <v>0.61622286420913741</v>
      </c>
      <c r="B610">
        <v>1.2380314728943631</v>
      </c>
      <c r="D610">
        <v>0.63006461715745676</v>
      </c>
      <c r="E610">
        <v>-4.7483142714099813</v>
      </c>
      <c r="J610">
        <v>10</v>
      </c>
      <c r="K610">
        <v>-9.0135699792881496E-2</v>
      </c>
      <c r="L610">
        <v>5.6273505257847356</v>
      </c>
      <c r="M610">
        <v>20</v>
      </c>
      <c r="N610">
        <v>-0.13827451880388253</v>
      </c>
      <c r="O610">
        <v>229.49121858398487</v>
      </c>
      <c r="P610" s="1">
        <f t="shared" si="45"/>
        <v>8.3970917539203445</v>
      </c>
      <c r="Q610" s="1">
        <f t="shared" si="46"/>
        <v>1.2595637630880516</v>
      </c>
      <c r="R610" s="1">
        <f t="shared" si="47"/>
        <v>1.122302883845556</v>
      </c>
      <c r="S610" s="1">
        <f t="shared" si="48"/>
        <v>4.2892894337091966E-2</v>
      </c>
      <c r="T610" s="56">
        <f t="shared" si="49"/>
        <v>0.51695433293614812</v>
      </c>
    </row>
    <row r="611" spans="1:20" x14ac:dyDescent="0.25">
      <c r="A611">
        <v>0.61737065073192565</v>
      </c>
      <c r="B611">
        <v>-0.68072040448896587</v>
      </c>
      <c r="D611">
        <v>0.63162161483401091</v>
      </c>
      <c r="E611">
        <v>1.8651355696874816</v>
      </c>
      <c r="J611">
        <v>10</v>
      </c>
      <c r="K611">
        <v>0.12266752946743509</v>
      </c>
      <c r="L611">
        <v>9.4274804001953623</v>
      </c>
      <c r="M611">
        <v>20</v>
      </c>
      <c r="N611">
        <v>-0.44417885533221124</v>
      </c>
      <c r="O611">
        <v>302.12335475929979</v>
      </c>
      <c r="P611" s="1">
        <f t="shared" si="45"/>
        <v>11.12681554141054</v>
      </c>
      <c r="Q611" s="1">
        <f t="shared" si="46"/>
        <v>1.6690223312115811</v>
      </c>
      <c r="R611" s="1">
        <f t="shared" si="47"/>
        <v>1.2919064715417989</v>
      </c>
      <c r="S611" s="1">
        <f t="shared" si="48"/>
        <v>0.43876735451534299</v>
      </c>
      <c r="T611" s="56">
        <f t="shared" si="49"/>
        <v>0.66790137395140381</v>
      </c>
    </row>
    <row r="612" spans="1:20" x14ac:dyDescent="0.25">
      <c r="A612">
        <v>0.6195914305692769</v>
      </c>
      <c r="B612">
        <v>-0.57522129282006063</v>
      </c>
      <c r="D612">
        <v>0.63199632844068632</v>
      </c>
      <c r="E612">
        <v>-0.6799125492307212</v>
      </c>
      <c r="J612">
        <v>10</v>
      </c>
      <c r="K612">
        <v>0.29607258511532564</v>
      </c>
      <c r="L612">
        <v>6.4816627347354272</v>
      </c>
      <c r="M612">
        <v>20</v>
      </c>
      <c r="N612">
        <v>-0.22512574901156768</v>
      </c>
      <c r="O612">
        <v>192.72089317508528</v>
      </c>
      <c r="P612" s="1">
        <f t="shared" si="45"/>
        <v>7.1143769967793116</v>
      </c>
      <c r="Q612" s="1">
        <f t="shared" si="46"/>
        <v>1.0671565495168966</v>
      </c>
      <c r="R612" s="1">
        <f t="shared" si="47"/>
        <v>1.0330326952797266</v>
      </c>
      <c r="S612" s="1">
        <f t="shared" si="48"/>
        <v>0.5045322732846923</v>
      </c>
      <c r="T612" s="56">
        <f t="shared" si="49"/>
        <v>0.69108247795765465</v>
      </c>
    </row>
    <row r="613" spans="1:20" x14ac:dyDescent="0.25">
      <c r="A613">
        <v>0.62051354981415707</v>
      </c>
      <c r="B613">
        <v>1.8166065274272114</v>
      </c>
      <c r="D613">
        <v>0.63260001522514719</v>
      </c>
      <c r="E613">
        <v>-2.2841725274247437</v>
      </c>
      <c r="J613">
        <v>10</v>
      </c>
      <c r="K613">
        <v>7.3267983680125326E-2</v>
      </c>
      <c r="L613">
        <v>11.740635943032466</v>
      </c>
      <c r="M613">
        <v>20</v>
      </c>
      <c r="N613">
        <v>-0.13421470498542476</v>
      </c>
      <c r="O613">
        <v>184.07118385028451</v>
      </c>
      <c r="P613" s="1">
        <f t="shared" si="45"/>
        <v>6.9932792783327491</v>
      </c>
      <c r="Q613" s="1">
        <f t="shared" si="46"/>
        <v>1.0489918917499124</v>
      </c>
      <c r="R613" s="1">
        <f t="shared" si="47"/>
        <v>1.0242030520116177</v>
      </c>
      <c r="S613" s="1">
        <f t="shared" si="48"/>
        <v>0.20257964302882842</v>
      </c>
      <c r="T613" s="56">
        <f t="shared" si="49"/>
        <v>0.57953578161872654</v>
      </c>
    </row>
    <row r="614" spans="1:20" x14ac:dyDescent="0.25">
      <c r="A614">
        <v>0.62081119466334</v>
      </c>
      <c r="B614">
        <v>0.42078909245901741</v>
      </c>
      <c r="D614">
        <v>0.63304326738414074</v>
      </c>
      <c r="E614">
        <v>-2.1017119740918133</v>
      </c>
      <c r="J614">
        <v>10</v>
      </c>
      <c r="K614">
        <v>0.27915621103602462</v>
      </c>
      <c r="L614">
        <v>6.2504986540163685</v>
      </c>
      <c r="M614">
        <v>20</v>
      </c>
      <c r="N614">
        <v>0.32651371043357358</v>
      </c>
      <c r="O614">
        <v>274.47028205989102</v>
      </c>
      <c r="P614" s="1">
        <f t="shared" si="45"/>
        <v>10.025742168353835</v>
      </c>
      <c r="Q614" s="1">
        <f t="shared" si="46"/>
        <v>1.5038613252530753</v>
      </c>
      <c r="R614" s="1">
        <f t="shared" si="47"/>
        <v>1.2263202376431188</v>
      </c>
      <c r="S614" s="1">
        <f t="shared" si="48"/>
        <v>-3.8617563295347691E-2</v>
      </c>
      <c r="T614" s="56">
        <f t="shared" si="49"/>
        <v>0.48473466498999829</v>
      </c>
    </row>
    <row r="615" spans="1:20" x14ac:dyDescent="0.25">
      <c r="A615">
        <v>0.62099869185795487</v>
      </c>
      <c r="B615">
        <v>-1.3969793144497089</v>
      </c>
      <c r="D615">
        <v>0.63318885158627058</v>
      </c>
      <c r="E615">
        <v>1.1062861597110896</v>
      </c>
      <c r="J615">
        <v>10</v>
      </c>
      <c r="K615">
        <v>-1.8087803255184554E-2</v>
      </c>
      <c r="L615">
        <v>3.9431870731765315</v>
      </c>
      <c r="M615">
        <v>20</v>
      </c>
      <c r="N615">
        <v>0.68058704641771328</v>
      </c>
      <c r="O615">
        <v>184.86008845580884</v>
      </c>
      <c r="P615" s="1">
        <f t="shared" si="45"/>
        <v>6.7429741260351914</v>
      </c>
      <c r="Q615" s="1">
        <f t="shared" si="46"/>
        <v>1.0114461189052786</v>
      </c>
      <c r="R615" s="1">
        <f t="shared" si="47"/>
        <v>1.0057067758075804</v>
      </c>
      <c r="S615" s="1">
        <f t="shared" si="48"/>
        <v>-0.69471029377510496</v>
      </c>
      <c r="T615" s="56">
        <f t="shared" si="49"/>
        <v>0.24648089370445264</v>
      </c>
    </row>
    <row r="616" spans="1:20" x14ac:dyDescent="0.25">
      <c r="A616">
        <v>0.62111875982170406</v>
      </c>
      <c r="B616">
        <v>0.36271330827730708</v>
      </c>
      <c r="D616">
        <v>0.63511283334046109</v>
      </c>
      <c r="E616">
        <v>4.2184940377865132</v>
      </c>
      <c r="J616">
        <v>10</v>
      </c>
      <c r="K616">
        <v>3.3100263863161672E-2</v>
      </c>
      <c r="L616">
        <v>3.5593029359758876</v>
      </c>
      <c r="M616">
        <v>20</v>
      </c>
      <c r="N616">
        <v>-0.24257764493995637</v>
      </c>
      <c r="O616">
        <v>169.85355443397725</v>
      </c>
      <c r="P616" s="1">
        <f t="shared" si="45"/>
        <v>6.1933163346411835</v>
      </c>
      <c r="Q616" s="1">
        <f t="shared" si="46"/>
        <v>0.92899745019617752</v>
      </c>
      <c r="R616" s="1">
        <f t="shared" si="47"/>
        <v>0.96384513807778138</v>
      </c>
      <c r="S616" s="1">
        <f t="shared" si="48"/>
        <v>0.28601888198856185</v>
      </c>
      <c r="T616" s="56">
        <f t="shared" si="49"/>
        <v>0.6115154248078607</v>
      </c>
    </row>
    <row r="617" spans="1:20" x14ac:dyDescent="0.25">
      <c r="A617">
        <v>0.62207779299905319</v>
      </c>
      <c r="B617">
        <v>-0.564962192584062</v>
      </c>
      <c r="D617">
        <v>0.63523740036402143</v>
      </c>
      <c r="E617">
        <v>1.7981683379275637</v>
      </c>
      <c r="J617">
        <v>10</v>
      </c>
      <c r="K617">
        <v>8.5134956862020772E-2</v>
      </c>
      <c r="L617">
        <v>6.2199428760269315</v>
      </c>
      <c r="M617">
        <v>20</v>
      </c>
      <c r="N617">
        <v>-0.40636325934428896</v>
      </c>
      <c r="O617">
        <v>147.46478010700457</v>
      </c>
      <c r="P617" s="1">
        <f t="shared" si="45"/>
        <v>5.4887401065368389</v>
      </c>
      <c r="Q617" s="1">
        <f t="shared" si="46"/>
        <v>0.82331101598052581</v>
      </c>
      <c r="R617" s="1">
        <f t="shared" si="47"/>
        <v>0.90736487477779626</v>
      </c>
      <c r="S617" s="1">
        <f t="shared" si="48"/>
        <v>0.54167648524709788</v>
      </c>
      <c r="T617" s="56">
        <f t="shared" si="49"/>
        <v>0.70383697518908883</v>
      </c>
    </row>
    <row r="618" spans="1:20" x14ac:dyDescent="0.25">
      <c r="A618">
        <v>0.62309289960505887</v>
      </c>
      <c r="B618">
        <v>0.78740640674368478</v>
      </c>
      <c r="D618">
        <v>0.63677778189146306</v>
      </c>
      <c r="E618">
        <v>-0.78342782558138424</v>
      </c>
      <c r="J618">
        <v>10</v>
      </c>
      <c r="K618">
        <v>0.19032165710086701</v>
      </c>
      <c r="L618">
        <v>16.314457146303461</v>
      </c>
      <c r="M618">
        <v>20</v>
      </c>
      <c r="N618">
        <v>0.55741184837643232</v>
      </c>
      <c r="O618">
        <v>196.90572259467612</v>
      </c>
      <c r="P618" s="1">
        <f t="shared" si="45"/>
        <v>7.6150064193206992</v>
      </c>
      <c r="Q618" s="1">
        <f t="shared" si="46"/>
        <v>1.1422509628981048</v>
      </c>
      <c r="R618" s="1">
        <f t="shared" si="47"/>
        <v>1.0687614153299625</v>
      </c>
      <c r="S618" s="1">
        <f t="shared" si="48"/>
        <v>-0.34347253372936581</v>
      </c>
      <c r="T618" s="56">
        <f t="shared" si="49"/>
        <v>0.36690437960695588</v>
      </c>
    </row>
    <row r="619" spans="1:20" x14ac:dyDescent="0.25">
      <c r="A619">
        <v>0.62433870153075255</v>
      </c>
      <c r="B619">
        <v>1.5787918528076261</v>
      </c>
      <c r="D619">
        <v>0.63772862250007012</v>
      </c>
      <c r="E619">
        <v>3.6256353689623211</v>
      </c>
      <c r="J619">
        <v>10</v>
      </c>
      <c r="K619">
        <v>0.36240794543118682</v>
      </c>
      <c r="L619">
        <v>2.9137750219150198</v>
      </c>
      <c r="M619">
        <v>20</v>
      </c>
      <c r="N619">
        <v>-0.31965732091521204</v>
      </c>
      <c r="O619">
        <v>266.52983841289728</v>
      </c>
      <c r="P619" s="1">
        <f t="shared" si="45"/>
        <v>9.622986194100438</v>
      </c>
      <c r="Q619" s="1">
        <f t="shared" si="46"/>
        <v>1.4434479291150657</v>
      </c>
      <c r="R619" s="1">
        <f t="shared" si="47"/>
        <v>1.2014357781900229</v>
      </c>
      <c r="S619" s="1">
        <f t="shared" si="48"/>
        <v>0.5677084690901566</v>
      </c>
      <c r="T619" s="56">
        <f t="shared" si="49"/>
        <v>0.71262134868898519</v>
      </c>
    </row>
    <row r="620" spans="1:20" x14ac:dyDescent="0.25">
      <c r="A620">
        <v>0.62451832688766695</v>
      </c>
      <c r="B620">
        <v>-0.73567434810684063</v>
      </c>
      <c r="D620">
        <v>0.63795985993619064</v>
      </c>
      <c r="E620">
        <v>-3.0287758397662401</v>
      </c>
      <c r="J620">
        <v>10</v>
      </c>
      <c r="K620">
        <v>0.58636817357182736</v>
      </c>
      <c r="L620">
        <v>9.4664206180570201</v>
      </c>
      <c r="M620">
        <v>20</v>
      </c>
      <c r="N620">
        <v>-0.16923036469052022</v>
      </c>
      <c r="O620">
        <v>216.35855552768646</v>
      </c>
      <c r="P620" s="1">
        <f t="shared" si="45"/>
        <v>8.0651777194908387</v>
      </c>
      <c r="Q620" s="1">
        <f t="shared" si="46"/>
        <v>1.2097766579236258</v>
      </c>
      <c r="R620" s="1">
        <f t="shared" si="47"/>
        <v>1.0998984761893371</v>
      </c>
      <c r="S620" s="1">
        <f t="shared" si="48"/>
        <v>0.68697116562990712</v>
      </c>
      <c r="T620" s="56">
        <f t="shared" si="49"/>
        <v>0.75112418021444305</v>
      </c>
    </row>
    <row r="621" spans="1:20" x14ac:dyDescent="0.25">
      <c r="A621">
        <v>0.62466654362352847</v>
      </c>
      <c r="B621">
        <v>-1.7755428416421637</v>
      </c>
      <c r="D621">
        <v>0.63866163108926244</v>
      </c>
      <c r="E621">
        <v>-2.5624915485877864</v>
      </c>
      <c r="J621">
        <v>10</v>
      </c>
      <c r="K621">
        <v>0.11051020010199863</v>
      </c>
      <c r="L621">
        <v>12.057408658543933</v>
      </c>
      <c r="M621">
        <v>20</v>
      </c>
      <c r="N621">
        <v>4.8249228257191135E-3</v>
      </c>
      <c r="O621">
        <v>172.43776626249667</v>
      </c>
      <c r="P621" s="1">
        <f t="shared" si="45"/>
        <v>6.5891133900371637</v>
      </c>
      <c r="Q621" s="1">
        <f t="shared" si="46"/>
        <v>0.98836700850557446</v>
      </c>
      <c r="R621" s="1">
        <f t="shared" si="47"/>
        <v>0.99416648932941531</v>
      </c>
      <c r="S621" s="1">
        <f t="shared" si="48"/>
        <v>0.10630541102583965</v>
      </c>
      <c r="T621" s="56">
        <f t="shared" si="49"/>
        <v>0.54195098843523104</v>
      </c>
    </row>
    <row r="622" spans="1:20" x14ac:dyDescent="0.25">
      <c r="A622">
        <v>0.63008083528254066</v>
      </c>
      <c r="B622">
        <v>-0.78324205787794199</v>
      </c>
      <c r="D622">
        <v>0.63910109995833853</v>
      </c>
      <c r="E622">
        <v>-1.0868420793030964</v>
      </c>
      <c r="J622">
        <v>10</v>
      </c>
      <c r="K622">
        <v>0.10093958735524211</v>
      </c>
      <c r="L622">
        <v>6.3225376001044848</v>
      </c>
      <c r="M622">
        <v>20</v>
      </c>
      <c r="N622">
        <v>0.54658130125062598</v>
      </c>
      <c r="O622">
        <v>185.20608197613288</v>
      </c>
      <c r="P622" s="1">
        <f t="shared" si="45"/>
        <v>6.8403078420084773</v>
      </c>
      <c r="Q622" s="1">
        <f t="shared" si="46"/>
        <v>1.0260461763012716</v>
      </c>
      <c r="R622" s="1">
        <f t="shared" si="47"/>
        <v>1.0129393744451203</v>
      </c>
      <c r="S622" s="1">
        <f t="shared" si="48"/>
        <v>-0.43994904842108906</v>
      </c>
      <c r="T622" s="56">
        <f t="shared" si="49"/>
        <v>0.33167569165241034</v>
      </c>
    </row>
    <row r="623" spans="1:20" x14ac:dyDescent="0.25">
      <c r="A623">
        <v>0.63013102646375074</v>
      </c>
      <c r="B623">
        <v>-0.57720853874343447</v>
      </c>
      <c r="D623">
        <v>0.63921394352202188</v>
      </c>
      <c r="E623">
        <v>-1.0407477509488672</v>
      </c>
      <c r="J623">
        <v>10</v>
      </c>
      <c r="K623">
        <v>-0.27198984753340483</v>
      </c>
      <c r="L623">
        <v>9.2598077458644941</v>
      </c>
      <c r="M623">
        <v>20</v>
      </c>
      <c r="N623">
        <v>0.79597890248805925</v>
      </c>
      <c r="O623">
        <v>298.02849188800099</v>
      </c>
      <c r="P623" s="1">
        <f t="shared" si="45"/>
        <v>10.974582129780911</v>
      </c>
      <c r="Q623" s="1">
        <f t="shared" si="46"/>
        <v>1.6461873194671366</v>
      </c>
      <c r="R623" s="1">
        <f t="shared" si="47"/>
        <v>1.2830383156660352</v>
      </c>
      <c r="S623" s="1">
        <f t="shared" si="48"/>
        <v>-0.83237479113558133</v>
      </c>
      <c r="T623" s="56">
        <f t="shared" si="49"/>
        <v>0.20612044016488262</v>
      </c>
    </row>
    <row r="624" spans="1:20" x14ac:dyDescent="0.25">
      <c r="A624">
        <v>0.63067819983743922</v>
      </c>
      <c r="B624">
        <v>1.8218088371213526</v>
      </c>
      <c r="D624">
        <v>0.64135144155724411</v>
      </c>
      <c r="E624">
        <v>-3.4132397138364468</v>
      </c>
      <c r="J624">
        <v>10</v>
      </c>
      <c r="K624">
        <v>-0.17689353626337834</v>
      </c>
      <c r="L624">
        <v>13.261117485552544</v>
      </c>
      <c r="M624">
        <v>20</v>
      </c>
      <c r="N624">
        <v>-0.51112084861415497</v>
      </c>
      <c r="O624">
        <v>205.22064526421227</v>
      </c>
      <c r="P624" s="1">
        <f t="shared" si="45"/>
        <v>7.8029200982058864</v>
      </c>
      <c r="Q624" s="1">
        <f t="shared" si="46"/>
        <v>1.1704380147308828</v>
      </c>
      <c r="R624" s="1">
        <f t="shared" si="47"/>
        <v>1.0818678360737428</v>
      </c>
      <c r="S624" s="1">
        <f t="shared" si="48"/>
        <v>0.30893543666455286</v>
      </c>
      <c r="T624" s="56">
        <f t="shared" si="49"/>
        <v>0.62017113874775243</v>
      </c>
    </row>
    <row r="625" spans="1:20" x14ac:dyDescent="0.25">
      <c r="A625">
        <v>0.63559346518333015</v>
      </c>
      <c r="B625">
        <v>-1.0947451301035471</v>
      </c>
      <c r="D625">
        <v>0.64163422041804685</v>
      </c>
      <c r="E625">
        <v>-0.49788173214437847</v>
      </c>
      <c r="J625">
        <v>10</v>
      </c>
      <c r="K625">
        <v>0.17723391465551686</v>
      </c>
      <c r="L625">
        <v>11.996243005349267</v>
      </c>
      <c r="M625">
        <v>20</v>
      </c>
      <c r="N625">
        <v>-0.67582493898044049</v>
      </c>
      <c r="O625">
        <v>100.73864796669881</v>
      </c>
      <c r="P625" s="1">
        <f t="shared" si="45"/>
        <v>4.0262461061445745</v>
      </c>
      <c r="Q625" s="1">
        <f t="shared" si="46"/>
        <v>0.60393691592168619</v>
      </c>
      <c r="R625" s="1">
        <f t="shared" si="47"/>
        <v>0.77713378251217868</v>
      </c>
      <c r="S625" s="1">
        <f t="shared" si="48"/>
        <v>1.0976988426347156</v>
      </c>
      <c r="T625" s="56">
        <f t="shared" si="49"/>
        <v>0.85915677644777899</v>
      </c>
    </row>
    <row r="626" spans="1:20" x14ac:dyDescent="0.25">
      <c r="A626">
        <v>0.63589038623692729</v>
      </c>
      <c r="B626">
        <v>0.97319798442185856</v>
      </c>
      <c r="D626">
        <v>0.64204355426590543</v>
      </c>
      <c r="E626">
        <v>-0.95162863885889237</v>
      </c>
      <c r="J626">
        <v>10</v>
      </c>
      <c r="K626">
        <v>0.19169351617165376</v>
      </c>
      <c r="L626">
        <v>4.1166261142987688</v>
      </c>
      <c r="M626">
        <v>20</v>
      </c>
      <c r="N626">
        <v>0.13309454175214341</v>
      </c>
      <c r="O626">
        <v>220.7113974880512</v>
      </c>
      <c r="P626" s="1">
        <f t="shared" si="45"/>
        <v>8.0295722715124995</v>
      </c>
      <c r="Q626" s="1">
        <f t="shared" si="46"/>
        <v>1.2044358407268749</v>
      </c>
      <c r="R626" s="1">
        <f t="shared" si="47"/>
        <v>1.0974679224136235</v>
      </c>
      <c r="S626" s="1">
        <f t="shared" si="48"/>
        <v>5.3394703592461845E-2</v>
      </c>
      <c r="T626" s="56">
        <f t="shared" si="49"/>
        <v>0.52110171514981063</v>
      </c>
    </row>
    <row r="627" spans="1:20" x14ac:dyDescent="0.25">
      <c r="A627">
        <v>0.63602517647080048</v>
      </c>
      <c r="B627">
        <v>0.15340560821641702</v>
      </c>
      <c r="D627">
        <v>0.64264007083211061</v>
      </c>
      <c r="E627">
        <v>-3.8578189139570895</v>
      </c>
      <c r="J627">
        <v>10</v>
      </c>
      <c r="K627">
        <v>0.11156998880323954</v>
      </c>
      <c r="L627">
        <v>2.5167909655102108</v>
      </c>
      <c r="M627">
        <v>20</v>
      </c>
      <c r="N627">
        <v>1.1478273302145681</v>
      </c>
      <c r="O627">
        <v>234.79757390648857</v>
      </c>
      <c r="P627" s="1">
        <f t="shared" si="45"/>
        <v>8.475513031142814</v>
      </c>
      <c r="Q627" s="1">
        <f t="shared" si="46"/>
        <v>1.2713269546714221</v>
      </c>
      <c r="R627" s="1">
        <f t="shared" si="47"/>
        <v>1.1275313541855154</v>
      </c>
      <c r="S627" s="1">
        <f t="shared" si="48"/>
        <v>-0.91904968989521385</v>
      </c>
      <c r="T627" s="56">
        <f t="shared" si="49"/>
        <v>0.18295977821232418</v>
      </c>
    </row>
    <row r="628" spans="1:20" x14ac:dyDescent="0.25">
      <c r="A628">
        <v>0.63612963350355989</v>
      </c>
      <c r="B628">
        <v>-1.0824305718415417</v>
      </c>
      <c r="D628">
        <v>0.6427711935214262</v>
      </c>
      <c r="E628">
        <v>0.56010503271863854</v>
      </c>
      <c r="J628">
        <v>10</v>
      </c>
      <c r="K628">
        <v>-6.4970777202688623E-2</v>
      </c>
      <c r="L628">
        <v>11.392754732129131</v>
      </c>
      <c r="M628">
        <v>20</v>
      </c>
      <c r="N628">
        <v>0.69734471367155493</v>
      </c>
      <c r="O628">
        <v>292.83170935017984</v>
      </c>
      <c r="P628" s="1">
        <f t="shared" si="45"/>
        <v>10.865159431511033</v>
      </c>
      <c r="Q628" s="1">
        <f t="shared" si="46"/>
        <v>1.629773914726655</v>
      </c>
      <c r="R628" s="1">
        <f t="shared" si="47"/>
        <v>1.2766259885834437</v>
      </c>
      <c r="S628" s="1">
        <f t="shared" si="48"/>
        <v>-0.59713298780648827</v>
      </c>
      <c r="T628" s="56">
        <f t="shared" si="49"/>
        <v>0.27760850856352653</v>
      </c>
    </row>
    <row r="629" spans="1:20" x14ac:dyDescent="0.25">
      <c r="A629">
        <v>0.63637515438356962</v>
      </c>
      <c r="B629">
        <v>1.8311402527615428</v>
      </c>
      <c r="D629">
        <v>0.64354289290884648</v>
      </c>
      <c r="E629">
        <v>2.239026567849578</v>
      </c>
      <c r="J629">
        <v>10</v>
      </c>
      <c r="K629">
        <v>0.11920508313778555</v>
      </c>
      <c r="L629">
        <v>4.8816643256812124</v>
      </c>
      <c r="M629">
        <v>20</v>
      </c>
      <c r="N629">
        <v>0.53253284818310931</v>
      </c>
      <c r="O629">
        <v>106.62445722686502</v>
      </c>
      <c r="P629" s="1">
        <f t="shared" si="45"/>
        <v>3.9823614840195085</v>
      </c>
      <c r="Q629" s="1">
        <f t="shared" si="46"/>
        <v>0.59735422260292625</v>
      </c>
      <c r="R629" s="1">
        <f t="shared" si="47"/>
        <v>0.77288694037545125</v>
      </c>
      <c r="S629" s="1">
        <f t="shared" si="48"/>
        <v>-0.53478425297824073</v>
      </c>
      <c r="T629" s="56">
        <f t="shared" si="49"/>
        <v>0.29851035862546299</v>
      </c>
    </row>
    <row r="630" spans="1:20" x14ac:dyDescent="0.25">
      <c r="A630">
        <v>0.63702095698430306</v>
      </c>
      <c r="B630">
        <v>3.4872209653258324</v>
      </c>
      <c r="D630">
        <v>0.6440115061344408</v>
      </c>
      <c r="E630">
        <v>-1.8777716411477741</v>
      </c>
      <c r="J630">
        <v>10</v>
      </c>
      <c r="K630">
        <v>-0.47600929065083619</v>
      </c>
      <c r="L630">
        <v>4.9669036108391866</v>
      </c>
      <c r="M630">
        <v>20</v>
      </c>
      <c r="N630">
        <v>-0.32524832590752339</v>
      </c>
      <c r="O630">
        <v>270.18455740013701</v>
      </c>
      <c r="P630" s="1">
        <f t="shared" si="45"/>
        <v>9.8268378932491505</v>
      </c>
      <c r="Q630" s="1">
        <f t="shared" si="46"/>
        <v>1.4740256839873724</v>
      </c>
      <c r="R630" s="1">
        <f t="shared" si="47"/>
        <v>1.2140945943324897</v>
      </c>
      <c r="S630" s="1">
        <f t="shared" si="48"/>
        <v>-0.12417563297545305</v>
      </c>
      <c r="T630" s="56">
        <f t="shared" si="49"/>
        <v>0.45103169240119412</v>
      </c>
    </row>
    <row r="631" spans="1:20" x14ac:dyDescent="0.25">
      <c r="A631">
        <v>0.63763698768372423</v>
      </c>
      <c r="B631">
        <v>-5.8593059293343686E-2</v>
      </c>
      <c r="D631">
        <v>0.64434872998267823</v>
      </c>
      <c r="E631">
        <v>-5.1208751335707348</v>
      </c>
      <c r="J631">
        <v>10</v>
      </c>
      <c r="K631">
        <v>0.24815324195515132</v>
      </c>
      <c r="L631">
        <v>17.16454171834329</v>
      </c>
      <c r="M631">
        <v>20</v>
      </c>
      <c r="N631">
        <v>-0.35279817097944033</v>
      </c>
      <c r="O631">
        <v>97.674798894397838</v>
      </c>
      <c r="P631" s="1">
        <f t="shared" si="45"/>
        <v>4.101405021883612</v>
      </c>
      <c r="Q631" s="1">
        <f t="shared" si="46"/>
        <v>0.61521075328254182</v>
      </c>
      <c r="R631" s="1">
        <f t="shared" si="47"/>
        <v>0.78435371694315426</v>
      </c>
      <c r="S631" s="1">
        <f t="shared" si="48"/>
        <v>0.76617398496773537</v>
      </c>
      <c r="T631" s="56">
        <f t="shared" si="49"/>
        <v>0.775007918318527</v>
      </c>
    </row>
    <row r="632" spans="1:20" x14ac:dyDescent="0.25">
      <c r="A632">
        <v>0.64063262617559147</v>
      </c>
      <c r="B632">
        <v>0.23504640012106393</v>
      </c>
      <c r="D632">
        <v>0.64481836537085968</v>
      </c>
      <c r="E632">
        <v>-3.6127805776686728</v>
      </c>
      <c r="J632">
        <v>10</v>
      </c>
      <c r="K632">
        <v>-1.0905068847932853E-2</v>
      </c>
      <c r="L632">
        <v>10.734298771846737</v>
      </c>
      <c r="M632">
        <v>20</v>
      </c>
      <c r="N632">
        <v>-0.80619327377462469</v>
      </c>
      <c r="O632">
        <v>190.85721544853646</v>
      </c>
      <c r="P632" s="1">
        <f t="shared" si="45"/>
        <v>7.1996969364422574</v>
      </c>
      <c r="Q632" s="1">
        <f t="shared" si="46"/>
        <v>1.0799545404663387</v>
      </c>
      <c r="R632" s="1">
        <f t="shared" si="47"/>
        <v>1.0392086125828339</v>
      </c>
      <c r="S632" s="1">
        <f t="shared" si="48"/>
        <v>0.76528253836358628</v>
      </c>
      <c r="T632" s="56">
        <f t="shared" si="49"/>
        <v>0.77474693001201023</v>
      </c>
    </row>
    <row r="633" spans="1:20" x14ac:dyDescent="0.25">
      <c r="A633">
        <v>0.64110942490334843</v>
      </c>
      <c r="B633">
        <v>-5.1620645535876974E-2</v>
      </c>
      <c r="D633">
        <v>0.64684921508754301</v>
      </c>
      <c r="E633">
        <v>0.82408928051336261</v>
      </c>
      <c r="J633">
        <v>10</v>
      </c>
      <c r="K633">
        <v>0.23281324956769822</v>
      </c>
      <c r="L633">
        <v>1.9905439406647207</v>
      </c>
      <c r="M633">
        <v>20</v>
      </c>
      <c r="N633">
        <v>0.35320186611897952</v>
      </c>
      <c r="O633">
        <v>197.17315345838279</v>
      </c>
      <c r="P633" s="1">
        <f t="shared" si="45"/>
        <v>7.1129891928231244</v>
      </c>
      <c r="Q633" s="1">
        <f t="shared" si="46"/>
        <v>1.0669483789234686</v>
      </c>
      <c r="R633" s="1">
        <f t="shared" si="47"/>
        <v>1.0329319333448204</v>
      </c>
      <c r="S633" s="1">
        <f t="shared" si="48"/>
        <v>-0.11655038697607227</v>
      </c>
      <c r="T633" s="56">
        <f t="shared" si="49"/>
        <v>0.45402415457840706</v>
      </c>
    </row>
    <row r="634" spans="1:20" x14ac:dyDescent="0.25">
      <c r="A634">
        <v>0.64148298506073764</v>
      </c>
      <c r="B634">
        <v>-0.98779764812206849</v>
      </c>
      <c r="D634">
        <v>0.64691495202581129</v>
      </c>
      <c r="E634">
        <v>-2.2748274693640269</v>
      </c>
      <c r="J634">
        <v>10</v>
      </c>
      <c r="K634">
        <v>8.541553597751772E-2</v>
      </c>
      <c r="L634">
        <v>13.68485942203956</v>
      </c>
      <c r="M634">
        <v>20</v>
      </c>
      <c r="N634">
        <v>0.25679514351395483</v>
      </c>
      <c r="O634">
        <v>178.4320427467419</v>
      </c>
      <c r="P634" s="1">
        <f t="shared" si="45"/>
        <v>6.8613179345993371</v>
      </c>
      <c r="Q634" s="1">
        <f t="shared" si="46"/>
        <v>1.0291976901899005</v>
      </c>
      <c r="R634" s="1">
        <f t="shared" si="47"/>
        <v>1.0144938098332097</v>
      </c>
      <c r="S634" s="1">
        <f t="shared" si="48"/>
        <v>-0.16893115155095248</v>
      </c>
      <c r="T634" s="56">
        <f t="shared" si="49"/>
        <v>0.43353263512334295</v>
      </c>
    </row>
    <row r="635" spans="1:20" x14ac:dyDescent="0.25">
      <c r="A635">
        <v>0.64196050588768339</v>
      </c>
      <c r="B635">
        <v>0.11457700566097628</v>
      </c>
      <c r="D635">
        <v>0.64721695464795481</v>
      </c>
      <c r="E635">
        <v>-1.0720161787958205</v>
      </c>
      <c r="J635">
        <v>10</v>
      </c>
      <c r="K635">
        <v>0.10657277016434819</v>
      </c>
      <c r="L635">
        <v>7.4722792235653666</v>
      </c>
      <c r="M635">
        <v>20</v>
      </c>
      <c r="N635">
        <v>0.6092358228215744</v>
      </c>
      <c r="O635">
        <v>109.44837922486201</v>
      </c>
      <c r="P635" s="1">
        <f t="shared" si="45"/>
        <v>4.1757378017295492</v>
      </c>
      <c r="Q635" s="1">
        <f t="shared" si="46"/>
        <v>0.62636067025943232</v>
      </c>
      <c r="R635" s="1">
        <f t="shared" si="47"/>
        <v>0.79142951060687161</v>
      </c>
      <c r="S635" s="1">
        <f t="shared" si="48"/>
        <v>-0.6351330673426393</v>
      </c>
      <c r="T635" s="56">
        <f t="shared" si="49"/>
        <v>0.26524908377496303</v>
      </c>
    </row>
    <row r="636" spans="1:20" x14ac:dyDescent="0.25">
      <c r="A636">
        <v>0.64257741874493324</v>
      </c>
      <c r="B636">
        <v>-8.9585228124633431E-2</v>
      </c>
      <c r="D636">
        <v>0.64841420857817322</v>
      </c>
      <c r="E636">
        <v>-0.38845587710056861</v>
      </c>
      <c r="J636">
        <v>10</v>
      </c>
      <c r="K636">
        <v>1.3748831406701356E-2</v>
      </c>
      <c r="L636">
        <v>8.7380497472457748</v>
      </c>
      <c r="M636">
        <v>20</v>
      </c>
      <c r="N636">
        <v>3.8902154528841493E-2</v>
      </c>
      <c r="O636">
        <v>478.07915789371219</v>
      </c>
      <c r="P636" s="1">
        <f t="shared" si="45"/>
        <v>17.386328844319927</v>
      </c>
      <c r="Q636" s="1">
        <f t="shared" si="46"/>
        <v>2.6079493266479887</v>
      </c>
      <c r="R636" s="1">
        <f t="shared" si="47"/>
        <v>1.6149146499576963</v>
      </c>
      <c r="S636" s="1">
        <f t="shared" si="48"/>
        <v>-1.5575636224985045E-2</v>
      </c>
      <c r="T636" s="56">
        <f t="shared" si="49"/>
        <v>0.493841699621696</v>
      </c>
    </row>
    <row r="637" spans="1:20" x14ac:dyDescent="0.25">
      <c r="A637">
        <v>0.6432064455245442</v>
      </c>
      <c r="B637">
        <v>-1.1031397662009113</v>
      </c>
      <c r="D637">
        <v>0.65106407667223376</v>
      </c>
      <c r="E637">
        <v>1.0909486684340663</v>
      </c>
      <c r="J637">
        <v>10</v>
      </c>
      <c r="K637">
        <v>0.21045696030341787</v>
      </c>
      <c r="L637">
        <v>1.7684066054129555</v>
      </c>
      <c r="M637">
        <v>20</v>
      </c>
      <c r="N637">
        <v>0.41673649434414983</v>
      </c>
      <c r="O637">
        <v>144.84169864345662</v>
      </c>
      <c r="P637" s="1">
        <f t="shared" si="45"/>
        <v>5.2360751874596279</v>
      </c>
      <c r="Q637" s="1">
        <f t="shared" si="46"/>
        <v>0.78541127811894418</v>
      </c>
      <c r="R637" s="1">
        <f t="shared" si="47"/>
        <v>0.88623432461112917</v>
      </c>
      <c r="S637" s="1">
        <f t="shared" si="48"/>
        <v>-0.23275958548688055</v>
      </c>
      <c r="T637" s="56">
        <f t="shared" si="49"/>
        <v>0.40882058213809974</v>
      </c>
    </row>
    <row r="638" spans="1:20" x14ac:dyDescent="0.25">
      <c r="A638">
        <v>0.64417537466928776</v>
      </c>
      <c r="B638">
        <v>0.3589582320273621</v>
      </c>
      <c r="D638">
        <v>0.65180257813344378</v>
      </c>
      <c r="E638">
        <v>-0.64923756667667476</v>
      </c>
      <c r="J638">
        <v>10</v>
      </c>
      <c r="K638">
        <v>-0.31351078177976888</v>
      </c>
      <c r="L638">
        <v>2.6624147972596588</v>
      </c>
      <c r="M638">
        <v>20</v>
      </c>
      <c r="N638">
        <v>0.25195634748342854</v>
      </c>
      <c r="O638">
        <v>255.03131733051811</v>
      </c>
      <c r="P638" s="1">
        <f t="shared" si="45"/>
        <v>9.2033475759920638</v>
      </c>
      <c r="Q638" s="1">
        <f t="shared" si="46"/>
        <v>1.3805021363988095</v>
      </c>
      <c r="R638" s="1">
        <f t="shared" si="47"/>
        <v>1.1749477164532938</v>
      </c>
      <c r="S638" s="1">
        <f t="shared" si="48"/>
        <v>-0.48127003554687597</v>
      </c>
      <c r="T638" s="56">
        <f t="shared" si="49"/>
        <v>0.31703222555130939</v>
      </c>
    </row>
    <row r="639" spans="1:20" x14ac:dyDescent="0.25">
      <c r="A639">
        <v>0.64421704007497604</v>
      </c>
      <c r="B639">
        <v>1.4904253475833684</v>
      </c>
      <c r="D639">
        <v>0.65193412768166803</v>
      </c>
      <c r="E639">
        <v>-0.10186954909841006</v>
      </c>
      <c r="J639">
        <v>10</v>
      </c>
      <c r="K639">
        <v>0.16191688700928353</v>
      </c>
      <c r="L639">
        <v>3.2479350299583802</v>
      </c>
      <c r="M639">
        <v>20</v>
      </c>
      <c r="N639">
        <v>1.36797677555478</v>
      </c>
      <c r="O639">
        <v>304.40802683769272</v>
      </c>
      <c r="P639" s="1">
        <f t="shared" si="45"/>
        <v>10.987712923844683</v>
      </c>
      <c r="Q639" s="1">
        <f t="shared" si="46"/>
        <v>1.6481569385767023</v>
      </c>
      <c r="R639" s="1">
        <f t="shared" si="47"/>
        <v>1.2838056467303383</v>
      </c>
      <c r="S639" s="1">
        <f t="shared" si="48"/>
        <v>-0.93944117757789225</v>
      </c>
      <c r="T639" s="56">
        <f t="shared" si="49"/>
        <v>0.17776922890890973</v>
      </c>
    </row>
    <row r="640" spans="1:20" x14ac:dyDescent="0.25">
      <c r="A640">
        <v>0.64436268825950993</v>
      </c>
      <c r="B640">
        <v>0.8651159077999182</v>
      </c>
      <c r="D640">
        <v>0.65393433460528516</v>
      </c>
      <c r="E640">
        <v>0.65210610614485631</v>
      </c>
      <c r="J640">
        <v>10</v>
      </c>
      <c r="K640">
        <v>-0.5142896952747833</v>
      </c>
      <c r="L640">
        <v>6.9624890915805029</v>
      </c>
      <c r="M640">
        <v>20</v>
      </c>
      <c r="N640">
        <v>0.38653524484288937</v>
      </c>
      <c r="O640">
        <v>109.43015289859291</v>
      </c>
      <c r="P640" s="1">
        <f t="shared" si="45"/>
        <v>4.1568800710776221</v>
      </c>
      <c r="Q640" s="1">
        <f t="shared" si="46"/>
        <v>0.62353201066164332</v>
      </c>
      <c r="R640" s="1">
        <f t="shared" si="47"/>
        <v>0.78964043124807337</v>
      </c>
      <c r="S640" s="1">
        <f t="shared" si="48"/>
        <v>-1.1408039716176457</v>
      </c>
      <c r="T640" s="56">
        <f t="shared" si="49"/>
        <v>0.13180770477561354</v>
      </c>
    </row>
    <row r="641" spans="1:20" x14ac:dyDescent="0.25">
      <c r="A641">
        <v>0.64455911538765065</v>
      </c>
      <c r="B641">
        <v>-0.72190687205875292</v>
      </c>
      <c r="D641">
        <v>0.65836826126019166</v>
      </c>
      <c r="E641">
        <v>2.2129217961719405</v>
      </c>
      <c r="J641">
        <v>10</v>
      </c>
      <c r="K641">
        <v>0.39266683415917214</v>
      </c>
      <c r="L641">
        <v>10.591455557565052</v>
      </c>
      <c r="M641">
        <v>20</v>
      </c>
      <c r="N641">
        <v>7.8942317713881494E-2</v>
      </c>
      <c r="O641">
        <v>186.65787382784271</v>
      </c>
      <c r="P641" s="1">
        <f t="shared" si="45"/>
        <v>7.0446189066217055</v>
      </c>
      <c r="Q641" s="1">
        <f t="shared" si="46"/>
        <v>1.0566928359932557</v>
      </c>
      <c r="R641" s="1">
        <f t="shared" si="47"/>
        <v>1.027955658573489</v>
      </c>
      <c r="S641" s="1">
        <f t="shared" si="48"/>
        <v>0.30519265478887614</v>
      </c>
      <c r="T641" s="56">
        <f t="shared" si="49"/>
        <v>0.61876166339224881</v>
      </c>
    </row>
    <row r="642" spans="1:20" x14ac:dyDescent="0.25">
      <c r="A642">
        <v>0.64603043120892112</v>
      </c>
      <c r="B642">
        <v>2.6297493604943156</v>
      </c>
      <c r="D642">
        <v>0.65884797436197751</v>
      </c>
      <c r="E642">
        <v>-4.6315215092818107</v>
      </c>
      <c r="J642">
        <v>10</v>
      </c>
      <c r="K642">
        <v>-0.17553156794747338</v>
      </c>
      <c r="L642">
        <v>9.5357402822923358</v>
      </c>
      <c r="M642">
        <v>20</v>
      </c>
      <c r="N642">
        <v>0.10958524057969043</v>
      </c>
      <c r="O642">
        <v>135.77158707102419</v>
      </c>
      <c r="P642" s="1">
        <f t="shared" ref="P642:P705" si="50">(L642+O642)/(J642+M642-2)</f>
        <v>5.1895474054755892</v>
      </c>
      <c r="Q642" s="1">
        <f t="shared" ref="Q642:Q705" si="51">P642*0.15</f>
        <v>0.77843211082133834</v>
      </c>
      <c r="R642" s="1">
        <f t="shared" ref="R642:R705" si="52">SQRT(Q642)</f>
        <v>0.88228799766365307</v>
      </c>
      <c r="S642" s="1">
        <f t="shared" ref="S642:S705" si="53">(K642-N642)/R642</f>
        <v>-0.32315616814710019</v>
      </c>
      <c r="T642" s="56">
        <f t="shared" ref="T642:T705" si="54">_xlfn.T.DIST(S642,28,TRUE)</f>
        <v>0.37448903121229304</v>
      </c>
    </row>
    <row r="643" spans="1:20" x14ac:dyDescent="0.25">
      <c r="A643">
        <v>0.64615798264750945</v>
      </c>
      <c r="B643">
        <v>1.4649003787781112</v>
      </c>
      <c r="D643">
        <v>0.66359150155785196</v>
      </c>
      <c r="E643">
        <v>1.0751473348591389</v>
      </c>
      <c r="J643">
        <v>10</v>
      </c>
      <c r="K643">
        <v>0.42432770896994043</v>
      </c>
      <c r="L643">
        <v>6.6571764763246453</v>
      </c>
      <c r="M643">
        <v>20</v>
      </c>
      <c r="N643">
        <v>-0.23625472408639325</v>
      </c>
      <c r="O643">
        <v>175.07392049824904</v>
      </c>
      <c r="P643" s="1">
        <f t="shared" si="50"/>
        <v>6.4903963205204889</v>
      </c>
      <c r="Q643" s="1">
        <f t="shared" si="51"/>
        <v>0.97355944807807326</v>
      </c>
      <c r="R643" s="1">
        <f t="shared" si="52"/>
        <v>0.98669116144722468</v>
      </c>
      <c r="S643" s="1">
        <f t="shared" si="53"/>
        <v>0.6694926020087455</v>
      </c>
      <c r="T643" s="56">
        <f t="shared" si="54"/>
        <v>0.74566758184054871</v>
      </c>
    </row>
    <row r="644" spans="1:20" x14ac:dyDescent="0.25">
      <c r="A644">
        <v>0.64778139455879591</v>
      </c>
      <c r="B644">
        <v>0.74563786256476305</v>
      </c>
      <c r="D644">
        <v>0.66440668288359295</v>
      </c>
      <c r="E644">
        <v>-6.1679691043536877E-3</v>
      </c>
      <c r="J644">
        <v>10</v>
      </c>
      <c r="K644">
        <v>0.31808883704798063</v>
      </c>
      <c r="L644">
        <v>23.309820785248288</v>
      </c>
      <c r="M644">
        <v>20</v>
      </c>
      <c r="N644">
        <v>5.8384042631587363E-2</v>
      </c>
      <c r="O644">
        <v>186.04381268671469</v>
      </c>
      <c r="P644" s="1">
        <f t="shared" si="50"/>
        <v>7.4769154811415346</v>
      </c>
      <c r="Q644" s="1">
        <f t="shared" si="51"/>
        <v>1.1215373221712301</v>
      </c>
      <c r="R644" s="1">
        <f t="shared" si="52"/>
        <v>1.0590265918149695</v>
      </c>
      <c r="S644" s="1">
        <f t="shared" si="53"/>
        <v>0.24522971984235903</v>
      </c>
      <c r="T644" s="56">
        <f t="shared" si="54"/>
        <v>0.59596647566253358</v>
      </c>
    </row>
    <row r="645" spans="1:20" x14ac:dyDescent="0.25">
      <c r="A645">
        <v>0.64981281370709487</v>
      </c>
      <c r="B645">
        <v>-1.7894035408971831</v>
      </c>
      <c r="D645">
        <v>0.66486538011078156</v>
      </c>
      <c r="E645">
        <v>3.3142948689146579</v>
      </c>
      <c r="J645">
        <v>10</v>
      </c>
      <c r="K645">
        <v>4.2643932829378173E-2</v>
      </c>
      <c r="L645">
        <v>8.6173621459531553</v>
      </c>
      <c r="M645">
        <v>20</v>
      </c>
      <c r="N645">
        <v>-1.0807486921748932</v>
      </c>
      <c r="O645">
        <v>246.0217934710204</v>
      </c>
      <c r="P645" s="1">
        <f t="shared" si="50"/>
        <v>9.0942555577490563</v>
      </c>
      <c r="Q645" s="1">
        <f t="shared" si="51"/>
        <v>1.3641383336623585</v>
      </c>
      <c r="R645" s="1">
        <f t="shared" si="52"/>
        <v>1.1679633271906951</v>
      </c>
      <c r="S645" s="1">
        <f t="shared" si="53"/>
        <v>0.96183895405891751</v>
      </c>
      <c r="T645" s="56">
        <f t="shared" si="54"/>
        <v>0.82781805634626537</v>
      </c>
    </row>
    <row r="646" spans="1:20" x14ac:dyDescent="0.25">
      <c r="A646">
        <v>0.6527114652898317</v>
      </c>
      <c r="B646">
        <v>-2.6789348339661956</v>
      </c>
      <c r="D646">
        <v>0.66636082126439633</v>
      </c>
      <c r="E646">
        <v>-3.7819397709881741</v>
      </c>
      <c r="J646">
        <v>10</v>
      </c>
      <c r="K646">
        <v>-0.13697649592359085</v>
      </c>
      <c r="L646">
        <v>7.2127608430419139</v>
      </c>
      <c r="M646">
        <v>20</v>
      </c>
      <c r="N646">
        <v>-1.2745414926484955</v>
      </c>
      <c r="O646">
        <v>137.85667956168149</v>
      </c>
      <c r="P646" s="1">
        <f t="shared" si="50"/>
        <v>5.1810514430258356</v>
      </c>
      <c r="Q646" s="1">
        <f t="shared" si="51"/>
        <v>0.77715771645387532</v>
      </c>
      <c r="R646" s="1">
        <f t="shared" si="52"/>
        <v>0.88156549186879773</v>
      </c>
      <c r="S646" s="1">
        <f t="shared" si="53"/>
        <v>1.2903919302846385</v>
      </c>
      <c r="T646" s="56">
        <f t="shared" si="54"/>
        <v>0.89626530680094452</v>
      </c>
    </row>
    <row r="647" spans="1:20" x14ac:dyDescent="0.25">
      <c r="A647">
        <v>0.65381350146398187</v>
      </c>
      <c r="B647">
        <v>-0.95457380666630343</v>
      </c>
      <c r="D647">
        <v>0.66667615821040604</v>
      </c>
      <c r="E647">
        <v>2.6395884981411655</v>
      </c>
      <c r="J647">
        <v>10</v>
      </c>
      <c r="K647">
        <v>-0.1332373358309269</v>
      </c>
      <c r="L647">
        <v>19.804982451037933</v>
      </c>
      <c r="M647">
        <v>20</v>
      </c>
      <c r="N647">
        <v>7.560401741102396E-2</v>
      </c>
      <c r="O647">
        <v>110.89383719594835</v>
      </c>
      <c r="P647" s="1">
        <f t="shared" si="50"/>
        <v>4.6678149873923678</v>
      </c>
      <c r="Q647" s="1">
        <f t="shared" si="51"/>
        <v>0.70017224810885514</v>
      </c>
      <c r="R647" s="1">
        <f t="shared" si="52"/>
        <v>0.83676295813620671</v>
      </c>
      <c r="S647" s="1">
        <f t="shared" si="53"/>
        <v>-0.24958245487721034</v>
      </c>
      <c r="T647" s="56">
        <f t="shared" si="54"/>
        <v>0.40236610837571041</v>
      </c>
    </row>
    <row r="648" spans="1:20" x14ac:dyDescent="0.25">
      <c r="A648">
        <v>0.65405168999301355</v>
      </c>
      <c r="B648">
        <v>1.3808403309667483E-2</v>
      </c>
      <c r="D648">
        <v>0.66782180106332323</v>
      </c>
      <c r="E648">
        <v>7.8108434956902784</v>
      </c>
      <c r="J648">
        <v>10</v>
      </c>
      <c r="K648">
        <v>-0.30673390938318335</v>
      </c>
      <c r="L648">
        <v>7.858602455766043</v>
      </c>
      <c r="M648">
        <v>20</v>
      </c>
      <c r="N648">
        <v>-3.5092318739771144E-3</v>
      </c>
      <c r="O648">
        <v>203.01809848740916</v>
      </c>
      <c r="P648" s="1">
        <f t="shared" si="50"/>
        <v>7.5313107479705428</v>
      </c>
      <c r="Q648" s="1">
        <f t="shared" si="51"/>
        <v>1.1296966121955814</v>
      </c>
      <c r="R648" s="1">
        <f t="shared" si="52"/>
        <v>1.0628718700744608</v>
      </c>
      <c r="S648" s="1">
        <f t="shared" si="53"/>
        <v>-0.28528808226711599</v>
      </c>
      <c r="T648" s="56">
        <f t="shared" si="54"/>
        <v>0.38876159239367625</v>
      </c>
    </row>
    <row r="649" spans="1:20" x14ac:dyDescent="0.25">
      <c r="A649">
        <v>0.65430522647984701</v>
      </c>
      <c r="B649">
        <v>0.37286326914909296</v>
      </c>
      <c r="D649">
        <v>0.66894108554914589</v>
      </c>
      <c r="E649">
        <v>-3.0370158617643028</v>
      </c>
      <c r="J649">
        <v>10</v>
      </c>
      <c r="K649">
        <v>0.42864746774284868</v>
      </c>
      <c r="L649">
        <v>5.5604352554013499</v>
      </c>
      <c r="M649">
        <v>20</v>
      </c>
      <c r="N649">
        <v>-1.9946984366470133E-2</v>
      </c>
      <c r="O649">
        <v>149.08731062818524</v>
      </c>
      <c r="P649" s="1">
        <f t="shared" si="50"/>
        <v>5.5231337815566643</v>
      </c>
      <c r="Q649" s="1">
        <f t="shared" si="51"/>
        <v>0.82847006723349959</v>
      </c>
      <c r="R649" s="1">
        <f t="shared" si="52"/>
        <v>0.91020331093305717</v>
      </c>
      <c r="S649" s="1">
        <f t="shared" si="53"/>
        <v>0.49285082433886207</v>
      </c>
      <c r="T649" s="56">
        <f t="shared" si="54"/>
        <v>0.68701951067868228</v>
      </c>
    </row>
    <row r="650" spans="1:20" x14ac:dyDescent="0.25">
      <c r="A650">
        <v>0.6561417378890938</v>
      </c>
      <c r="B650">
        <v>0.45081947064318229</v>
      </c>
      <c r="D650">
        <v>0.67131975739951066</v>
      </c>
      <c r="E650">
        <v>0.20555557625812071</v>
      </c>
      <c r="J650">
        <v>10</v>
      </c>
      <c r="K650">
        <v>0.41072723888646578</v>
      </c>
      <c r="L650">
        <v>5.7509129064455458</v>
      </c>
      <c r="M650">
        <v>20</v>
      </c>
      <c r="N650">
        <v>-0.57236269753957458</v>
      </c>
      <c r="O650">
        <v>154.36719150650006</v>
      </c>
      <c r="P650" s="1">
        <f t="shared" si="50"/>
        <v>5.7185037290337712</v>
      </c>
      <c r="Q650" s="1">
        <f t="shared" si="51"/>
        <v>0.85777555935506566</v>
      </c>
      <c r="R650" s="1">
        <f t="shared" si="52"/>
        <v>0.92616173498750509</v>
      </c>
      <c r="S650" s="1">
        <f t="shared" si="53"/>
        <v>1.0614668035700086</v>
      </c>
      <c r="T650" s="56">
        <f t="shared" si="54"/>
        <v>0.85122598279651007</v>
      </c>
    </row>
    <row r="651" spans="1:20" x14ac:dyDescent="0.25">
      <c r="A651">
        <v>0.6561710107104799</v>
      </c>
      <c r="B651">
        <v>0.26908310246653855</v>
      </c>
      <c r="D651">
        <v>0.67217980509163855</v>
      </c>
      <c r="E651">
        <v>-2.1263501855628419</v>
      </c>
      <c r="J651">
        <v>10</v>
      </c>
      <c r="K651">
        <v>0.1035955392580945</v>
      </c>
      <c r="L651">
        <v>9.1130925701540733</v>
      </c>
      <c r="M651">
        <v>20</v>
      </c>
      <c r="N651">
        <v>0.30241710305745073</v>
      </c>
      <c r="O651">
        <v>210.69356007812314</v>
      </c>
      <c r="P651" s="1">
        <f t="shared" si="50"/>
        <v>7.850237594581329</v>
      </c>
      <c r="Q651" s="1">
        <f t="shared" si="51"/>
        <v>1.1775356391871994</v>
      </c>
      <c r="R651" s="1">
        <f t="shared" si="52"/>
        <v>1.0851431422569096</v>
      </c>
      <c r="S651" s="1">
        <f t="shared" si="53"/>
        <v>-0.18322150881020347</v>
      </c>
      <c r="T651" s="56">
        <f t="shared" si="54"/>
        <v>0.42797226261604926</v>
      </c>
    </row>
    <row r="652" spans="1:20" x14ac:dyDescent="0.25">
      <c r="A652">
        <v>0.65644367503717904</v>
      </c>
      <c r="B652">
        <v>-0.39270162233151495</v>
      </c>
      <c r="D652">
        <v>0.67235885372727178</v>
      </c>
      <c r="E652">
        <v>-0.16523177123417554</v>
      </c>
      <c r="J652">
        <v>10</v>
      </c>
      <c r="K652">
        <v>0.3209439682905213</v>
      </c>
      <c r="L652">
        <v>5.4557189330453557</v>
      </c>
      <c r="M652">
        <v>20</v>
      </c>
      <c r="N652">
        <v>-0.43362951259950933</v>
      </c>
      <c r="O652">
        <v>149.91580980546041</v>
      </c>
      <c r="P652" s="1">
        <f t="shared" si="50"/>
        <v>5.5489831692323488</v>
      </c>
      <c r="Q652" s="1">
        <f t="shared" si="51"/>
        <v>0.83234747538485232</v>
      </c>
      <c r="R652" s="1">
        <f t="shared" si="52"/>
        <v>0.91233079274178419</v>
      </c>
      <c r="S652" s="1">
        <f t="shared" si="53"/>
        <v>0.82708321027107612</v>
      </c>
      <c r="T652" s="56">
        <f t="shared" si="54"/>
        <v>0.79240840884738883</v>
      </c>
    </row>
    <row r="653" spans="1:20" x14ac:dyDescent="0.25">
      <c r="A653">
        <v>0.65664061653343608</v>
      </c>
      <c r="B653">
        <v>-2.1333107724785805</v>
      </c>
      <c r="D653">
        <v>0.67254524334165644</v>
      </c>
      <c r="E653">
        <v>0.22998915142125043</v>
      </c>
      <c r="J653">
        <v>10</v>
      </c>
      <c r="K653">
        <v>5.2669065553345717E-2</v>
      </c>
      <c r="L653">
        <v>6.3838713189564498</v>
      </c>
      <c r="M653">
        <v>20</v>
      </c>
      <c r="N653">
        <v>0.73249253432550177</v>
      </c>
      <c r="O653">
        <v>244.53705646927705</v>
      </c>
      <c r="P653" s="1">
        <f t="shared" si="50"/>
        <v>8.9614617067226252</v>
      </c>
      <c r="Q653" s="1">
        <f t="shared" si="51"/>
        <v>1.3442192560083936</v>
      </c>
      <c r="R653" s="1">
        <f t="shared" si="52"/>
        <v>1.1594046989763296</v>
      </c>
      <c r="S653" s="1">
        <f t="shared" si="53"/>
        <v>-0.58635562661803164</v>
      </c>
      <c r="T653" s="56">
        <f t="shared" si="54"/>
        <v>0.28116712003115446</v>
      </c>
    </row>
    <row r="654" spans="1:20" x14ac:dyDescent="0.25">
      <c r="A654">
        <v>0.65721261726370384</v>
      </c>
      <c r="B654">
        <v>0.55119471653597429</v>
      </c>
      <c r="D654">
        <v>0.67312188369388215</v>
      </c>
      <c r="E654">
        <v>3.1604083653746784</v>
      </c>
      <c r="J654">
        <v>10</v>
      </c>
      <c r="K654">
        <v>-0.57414058574067894</v>
      </c>
      <c r="L654">
        <v>6.3165785988660579</v>
      </c>
      <c r="M654">
        <v>20</v>
      </c>
      <c r="N654">
        <v>0.89400958472651837</v>
      </c>
      <c r="O654">
        <v>182.04549929755277</v>
      </c>
      <c r="P654" s="1">
        <f t="shared" si="50"/>
        <v>6.7272170677292431</v>
      </c>
      <c r="Q654" s="1">
        <f t="shared" si="51"/>
        <v>1.0090825601593865</v>
      </c>
      <c r="R654" s="1">
        <f t="shared" si="52"/>
        <v>1.0045310150310873</v>
      </c>
      <c r="S654" s="1">
        <f t="shared" si="53"/>
        <v>-1.4615279652881223</v>
      </c>
      <c r="T654" s="56">
        <f t="shared" si="54"/>
        <v>7.7501782969907215E-2</v>
      </c>
    </row>
    <row r="655" spans="1:20" x14ac:dyDescent="0.25">
      <c r="A655">
        <v>0.65803561092052365</v>
      </c>
      <c r="B655">
        <v>-1.1335919225530233</v>
      </c>
      <c r="D655">
        <v>0.67536193581299919</v>
      </c>
      <c r="E655">
        <v>4.9969032681929093</v>
      </c>
      <c r="J655">
        <v>10</v>
      </c>
      <c r="K655">
        <v>-0.3154090109092067</v>
      </c>
      <c r="L655">
        <v>14.780260428000073</v>
      </c>
      <c r="M655">
        <v>20</v>
      </c>
      <c r="N655">
        <v>-1.0069842949178565</v>
      </c>
      <c r="O655">
        <v>229.07220947800835</v>
      </c>
      <c r="P655" s="1">
        <f t="shared" si="50"/>
        <v>8.7090167823574429</v>
      </c>
      <c r="Q655" s="1">
        <f t="shared" si="51"/>
        <v>1.3063525173536163</v>
      </c>
      <c r="R655" s="1">
        <f t="shared" si="52"/>
        <v>1.1429577933386763</v>
      </c>
      <c r="S655" s="1">
        <f t="shared" si="53"/>
        <v>0.60507508504622898</v>
      </c>
      <c r="T655" s="56">
        <f t="shared" si="54"/>
        <v>0.72499899242299792</v>
      </c>
    </row>
    <row r="656" spans="1:20" x14ac:dyDescent="0.25">
      <c r="A656">
        <v>0.66000289592797212</v>
      </c>
      <c r="B656">
        <v>0.62970684666652232</v>
      </c>
      <c r="D656">
        <v>0.67690235025815837</v>
      </c>
      <c r="E656">
        <v>-1.1172987831287173</v>
      </c>
      <c r="J656">
        <v>10</v>
      </c>
      <c r="K656">
        <v>0.4083868816451286</v>
      </c>
      <c r="L656">
        <v>12.525386101504825</v>
      </c>
      <c r="M656">
        <v>20</v>
      </c>
      <c r="N656">
        <v>0.45486774183700618</v>
      </c>
      <c r="O656">
        <v>199.00559044737898</v>
      </c>
      <c r="P656" s="1">
        <f t="shared" si="50"/>
        <v>7.5546777338887079</v>
      </c>
      <c r="Q656" s="1">
        <f t="shared" si="51"/>
        <v>1.1332016600833061</v>
      </c>
      <c r="R656" s="1">
        <f t="shared" si="52"/>
        <v>1.0645194503076523</v>
      </c>
      <c r="S656" s="1">
        <f t="shared" si="53"/>
        <v>-4.3663702131928495E-2</v>
      </c>
      <c r="T656" s="56">
        <f t="shared" si="54"/>
        <v>0.48274118752336326</v>
      </c>
    </row>
    <row r="657" spans="1:20" x14ac:dyDescent="0.25">
      <c r="A657">
        <v>0.66143297505455234</v>
      </c>
      <c r="B657">
        <v>-1.1010342859663069</v>
      </c>
      <c r="D657">
        <v>0.67866879833700899</v>
      </c>
      <c r="E657">
        <v>5.1252511605071049</v>
      </c>
      <c r="J657">
        <v>10</v>
      </c>
      <c r="K657">
        <v>-0.45178535401646513</v>
      </c>
      <c r="L657">
        <v>4.2866801580819596</v>
      </c>
      <c r="M657">
        <v>20</v>
      </c>
      <c r="N657">
        <v>0.85185228840600757</v>
      </c>
      <c r="O657">
        <v>272.80357746218863</v>
      </c>
      <c r="P657" s="1">
        <f t="shared" si="50"/>
        <v>9.896080629295378</v>
      </c>
      <c r="Q657" s="1">
        <f t="shared" si="51"/>
        <v>1.4844120943943067</v>
      </c>
      <c r="R657" s="1">
        <f t="shared" si="52"/>
        <v>1.2183645162242318</v>
      </c>
      <c r="S657" s="1">
        <f t="shared" si="53"/>
        <v>-1.0699898306809741</v>
      </c>
      <c r="T657" s="56">
        <f t="shared" si="54"/>
        <v>0.14688065751890672</v>
      </c>
    </row>
    <row r="658" spans="1:20" x14ac:dyDescent="0.25">
      <c r="A658">
        <v>0.66290168871146948</v>
      </c>
      <c r="B658">
        <v>-0.42597548599587753</v>
      </c>
      <c r="D658">
        <v>0.67890501934496716</v>
      </c>
      <c r="E658">
        <v>-3.8773002904690657</v>
      </c>
      <c r="J658">
        <v>10</v>
      </c>
      <c r="K658">
        <v>0.37780102957185591</v>
      </c>
      <c r="L658">
        <v>22.103679040155676</v>
      </c>
      <c r="M658">
        <v>20</v>
      </c>
      <c r="N658">
        <v>-0.6019502086473949</v>
      </c>
      <c r="O658">
        <v>191.32911051846486</v>
      </c>
      <c r="P658" s="1">
        <f t="shared" si="50"/>
        <v>7.6225996270935905</v>
      </c>
      <c r="Q658" s="1">
        <f t="shared" si="51"/>
        <v>1.1433899440640385</v>
      </c>
      <c r="R658" s="1">
        <f t="shared" si="52"/>
        <v>1.0692941335591617</v>
      </c>
      <c r="S658" s="1">
        <f t="shared" si="53"/>
        <v>0.91625980866287371</v>
      </c>
      <c r="T658" s="56">
        <f t="shared" si="54"/>
        <v>0.8163223897919436</v>
      </c>
    </row>
    <row r="659" spans="1:20" x14ac:dyDescent="0.25">
      <c r="A659">
        <v>0.66313261178770189</v>
      </c>
      <c r="B659">
        <v>-0.2317449343536282</v>
      </c>
      <c r="D659">
        <v>0.68135907273153495</v>
      </c>
      <c r="E659">
        <v>0.17676324773674423</v>
      </c>
      <c r="J659">
        <v>10</v>
      </c>
      <c r="K659">
        <v>4.7482785703323316E-2</v>
      </c>
      <c r="L659">
        <v>8.8655265106064753</v>
      </c>
      <c r="M659">
        <v>20</v>
      </c>
      <c r="N659">
        <v>0.59326157156647241</v>
      </c>
      <c r="O659">
        <v>183.02290800906454</v>
      </c>
      <c r="P659" s="1">
        <f t="shared" si="50"/>
        <v>6.8531583757025363</v>
      </c>
      <c r="Q659" s="1">
        <f t="shared" si="51"/>
        <v>1.0279737563553804</v>
      </c>
      <c r="R659" s="1">
        <f t="shared" si="52"/>
        <v>1.0138904064815784</v>
      </c>
      <c r="S659" s="1">
        <f t="shared" si="53"/>
        <v>-0.53830155840720595</v>
      </c>
      <c r="T659" s="56">
        <f t="shared" si="54"/>
        <v>0.29731133095575668</v>
      </c>
    </row>
    <row r="660" spans="1:20" x14ac:dyDescent="0.25">
      <c r="A660">
        <v>0.66385697117536957</v>
      </c>
      <c r="B660">
        <v>-1.2997975318285171</v>
      </c>
      <c r="D660">
        <v>0.68288165456074257</v>
      </c>
      <c r="E660">
        <v>-4.7545352151701081</v>
      </c>
      <c r="J660">
        <v>10</v>
      </c>
      <c r="K660">
        <v>0.29670866297237808</v>
      </c>
      <c r="L660">
        <v>2.1895338036075196</v>
      </c>
      <c r="M660">
        <v>20</v>
      </c>
      <c r="N660">
        <v>1.4387386465841701</v>
      </c>
      <c r="O660">
        <v>247.96108382159235</v>
      </c>
      <c r="P660" s="1">
        <f t="shared" si="50"/>
        <v>8.9339506294714237</v>
      </c>
      <c r="Q660" s="1">
        <f t="shared" si="51"/>
        <v>1.3400925944207136</v>
      </c>
      <c r="R660" s="1">
        <f t="shared" si="52"/>
        <v>1.1576236842863545</v>
      </c>
      <c r="S660" s="1">
        <f t="shared" si="53"/>
        <v>-0.98652955974706436</v>
      </c>
      <c r="T660" s="56">
        <f t="shared" si="54"/>
        <v>0.16616103109060648</v>
      </c>
    </row>
    <row r="661" spans="1:20" x14ac:dyDescent="0.25">
      <c r="A661">
        <v>0.66440421818842976</v>
      </c>
      <c r="B661">
        <v>-0.24701648726477288</v>
      </c>
      <c r="D661">
        <v>0.68408228979162589</v>
      </c>
      <c r="E661">
        <v>-0.87804142253844475</v>
      </c>
      <c r="J661">
        <v>10</v>
      </c>
      <c r="K661">
        <v>-0.31591764582117321</v>
      </c>
      <c r="L661">
        <v>8.8852070951951632</v>
      </c>
      <c r="M661">
        <v>20</v>
      </c>
      <c r="N661">
        <v>0.15326656580327835</v>
      </c>
      <c r="O661">
        <v>455.60349012318397</v>
      </c>
      <c r="P661" s="1">
        <f t="shared" si="50"/>
        <v>16.588882043513539</v>
      </c>
      <c r="Q661" s="1">
        <f t="shared" si="51"/>
        <v>2.4883323065270306</v>
      </c>
      <c r="R661" s="1">
        <f t="shared" si="52"/>
        <v>1.5774448663985157</v>
      </c>
      <c r="S661" s="1">
        <f t="shared" si="53"/>
        <v>-0.29743303339384025</v>
      </c>
      <c r="T661" s="56">
        <f t="shared" si="54"/>
        <v>0.38416577013137898</v>
      </c>
    </row>
    <row r="662" spans="1:20" x14ac:dyDescent="0.25">
      <c r="A662">
        <v>0.66622442407624116</v>
      </c>
      <c r="B662">
        <v>1.545872692076955</v>
      </c>
      <c r="D662">
        <v>0.68454578141472688</v>
      </c>
      <c r="E662">
        <v>-1.6730398363051791</v>
      </c>
      <c r="J662">
        <v>10</v>
      </c>
      <c r="K662">
        <v>-0.12219186373840785</v>
      </c>
      <c r="L662">
        <v>7.3618449186317285</v>
      </c>
      <c r="M662">
        <v>20</v>
      </c>
      <c r="N662">
        <v>0.29852662578377931</v>
      </c>
      <c r="O662">
        <v>179.70120828208445</v>
      </c>
      <c r="P662" s="1">
        <f t="shared" si="50"/>
        <v>6.6808233285970067</v>
      </c>
      <c r="Q662" s="1">
        <f t="shared" si="51"/>
        <v>1.0021234992895509</v>
      </c>
      <c r="R662" s="1">
        <f t="shared" si="52"/>
        <v>1.00106118658629</v>
      </c>
      <c r="S662" s="1">
        <f t="shared" si="53"/>
        <v>-0.42027250198049892</v>
      </c>
      <c r="T662" s="56">
        <f t="shared" si="54"/>
        <v>0.33874712307766425</v>
      </c>
    </row>
    <row r="663" spans="1:20" x14ac:dyDescent="0.25">
      <c r="A663">
        <v>0.66652777814701469</v>
      </c>
      <c r="B663">
        <v>-1.8821447156369686</v>
      </c>
      <c r="D663">
        <v>0.68531972923500095</v>
      </c>
      <c r="E663">
        <v>-4.1782657297062542</v>
      </c>
      <c r="J663">
        <v>10</v>
      </c>
      <c r="K663">
        <v>-0.52282166507211514</v>
      </c>
      <c r="L663">
        <v>18.68174601980699</v>
      </c>
      <c r="M663">
        <v>20</v>
      </c>
      <c r="N663">
        <v>5.8413032775206375E-2</v>
      </c>
      <c r="O663">
        <v>104.98258506698218</v>
      </c>
      <c r="P663" s="1">
        <f t="shared" si="50"/>
        <v>4.4165832530996134</v>
      </c>
      <c r="Q663" s="1">
        <f t="shared" si="51"/>
        <v>0.66248748796494195</v>
      </c>
      <c r="R663" s="1">
        <f t="shared" si="52"/>
        <v>0.81393334368665715</v>
      </c>
      <c r="S663" s="1">
        <f t="shared" si="53"/>
        <v>-0.71410601661145545</v>
      </c>
      <c r="T663" s="56">
        <f t="shared" si="54"/>
        <v>0.2405363470577454</v>
      </c>
    </row>
    <row r="664" spans="1:20" x14ac:dyDescent="0.25">
      <c r="A664">
        <v>0.6667587817968107</v>
      </c>
      <c r="B664">
        <v>0.74392346505192108</v>
      </c>
      <c r="D664">
        <v>0.68617000133978567</v>
      </c>
      <c r="E664">
        <v>-1.4589084037197608</v>
      </c>
      <c r="J664">
        <v>10</v>
      </c>
      <c r="K664">
        <v>0.22330459614749998</v>
      </c>
      <c r="L664">
        <v>8.6998018832967166</v>
      </c>
      <c r="M664">
        <v>20</v>
      </c>
      <c r="N664">
        <v>1.1308975979318348</v>
      </c>
      <c r="O664">
        <v>313.56701598174294</v>
      </c>
      <c r="P664" s="1">
        <f t="shared" si="50"/>
        <v>11.509529209465702</v>
      </c>
      <c r="Q664" s="1">
        <f t="shared" si="51"/>
        <v>1.7264293814198552</v>
      </c>
      <c r="R664" s="1">
        <f t="shared" si="52"/>
        <v>1.313936597184147</v>
      </c>
      <c r="S664" s="1">
        <f t="shared" si="53"/>
        <v>-0.69074337660536023</v>
      </c>
      <c r="T664" s="56">
        <f t="shared" si="54"/>
        <v>0.24770685445695323</v>
      </c>
    </row>
    <row r="665" spans="1:20" x14ac:dyDescent="0.25">
      <c r="A665">
        <v>0.66692711804150873</v>
      </c>
      <c r="B665">
        <v>-0.32739421840233263</v>
      </c>
      <c r="D665">
        <v>0.68696651369442974</v>
      </c>
      <c r="E665">
        <v>1.2939069586082041</v>
      </c>
      <c r="J665">
        <v>10</v>
      </c>
      <c r="K665">
        <v>-8.2948872659471817E-2</v>
      </c>
      <c r="L665">
        <v>2.7338839818231646</v>
      </c>
      <c r="M665">
        <v>20</v>
      </c>
      <c r="N665">
        <v>0.10471984182913729</v>
      </c>
      <c r="O665">
        <v>115.08114939547924</v>
      </c>
      <c r="P665" s="1">
        <f t="shared" si="50"/>
        <v>4.2076797634750864</v>
      </c>
      <c r="Q665" s="1">
        <f t="shared" si="51"/>
        <v>0.63115196452126299</v>
      </c>
      <c r="R665" s="1">
        <f t="shared" si="52"/>
        <v>0.79445073133660271</v>
      </c>
      <c r="S665" s="1">
        <f t="shared" si="53"/>
        <v>-0.2362244845226221</v>
      </c>
      <c r="T665" s="56">
        <f t="shared" si="54"/>
        <v>0.40748899633813168</v>
      </c>
    </row>
    <row r="666" spans="1:20" x14ac:dyDescent="0.25">
      <c r="A666">
        <v>0.66937980815232945</v>
      </c>
      <c r="B666">
        <v>9.0659568741102703E-2</v>
      </c>
      <c r="D666">
        <v>0.68830455322387185</v>
      </c>
      <c r="E666">
        <v>1.0539640663864702</v>
      </c>
      <c r="J666">
        <v>10</v>
      </c>
      <c r="K666">
        <v>-0.18840535176423145</v>
      </c>
      <c r="L666">
        <v>10.038813244646143</v>
      </c>
      <c r="M666">
        <v>20</v>
      </c>
      <c r="N666">
        <v>0.31284553983823571</v>
      </c>
      <c r="O666">
        <v>190.18493606221696</v>
      </c>
      <c r="P666" s="1">
        <f t="shared" si="50"/>
        <v>7.1508481895308256</v>
      </c>
      <c r="Q666" s="1">
        <f t="shared" si="51"/>
        <v>1.0726272284296239</v>
      </c>
      <c r="R666" s="1">
        <f t="shared" si="52"/>
        <v>1.0356771835034428</v>
      </c>
      <c r="S666" s="1">
        <f t="shared" si="53"/>
        <v>-0.4839837157625293</v>
      </c>
      <c r="T666" s="56">
        <f t="shared" si="54"/>
        <v>0.31608069601093086</v>
      </c>
    </row>
    <row r="667" spans="1:20" x14ac:dyDescent="0.25">
      <c r="A667">
        <v>0.6718664138060062</v>
      </c>
      <c r="B667">
        <v>-0.83590066424221732</v>
      </c>
      <c r="D667">
        <v>0.68883084525071536</v>
      </c>
      <c r="E667">
        <v>-2.4613193579625658</v>
      </c>
      <c r="J667">
        <v>10</v>
      </c>
      <c r="K667">
        <v>0.48629419779899763</v>
      </c>
      <c r="L667">
        <v>14.20487146580615</v>
      </c>
      <c r="M667">
        <v>20</v>
      </c>
      <c r="N667">
        <v>0.18218457512375608</v>
      </c>
      <c r="O667">
        <v>173.79812165375671</v>
      </c>
      <c r="P667" s="1">
        <f t="shared" si="50"/>
        <v>6.7143926114129595</v>
      </c>
      <c r="Q667" s="1">
        <f t="shared" si="51"/>
        <v>1.0071588917119438</v>
      </c>
      <c r="R667" s="1">
        <f t="shared" si="52"/>
        <v>1.0035730624682708</v>
      </c>
      <c r="S667" s="1">
        <f t="shared" si="53"/>
        <v>0.30302688867244915</v>
      </c>
      <c r="T667" s="56">
        <f t="shared" si="54"/>
        <v>0.61794530773252143</v>
      </c>
    </row>
    <row r="668" spans="1:20" x14ac:dyDescent="0.25">
      <c r="A668">
        <v>0.67306198074115198</v>
      </c>
      <c r="B668">
        <v>-0.41286170926468913</v>
      </c>
      <c r="D668">
        <v>0.69010370573854463</v>
      </c>
      <c r="E668">
        <v>-0.60462685155471263</v>
      </c>
      <c r="J668">
        <v>10</v>
      </c>
      <c r="K668">
        <v>-0.19071887891186634</v>
      </c>
      <c r="L668">
        <v>5.3853198741149821</v>
      </c>
      <c r="M668">
        <v>20</v>
      </c>
      <c r="N668">
        <v>9.6238348987753852E-2</v>
      </c>
      <c r="O668">
        <v>211.31811447219303</v>
      </c>
      <c r="P668" s="1">
        <f t="shared" si="50"/>
        <v>7.7394083695109996</v>
      </c>
      <c r="Q668" s="1">
        <f t="shared" si="51"/>
        <v>1.1609112554266499</v>
      </c>
      <c r="R668" s="1">
        <f t="shared" si="52"/>
        <v>1.0774559180897609</v>
      </c>
      <c r="S668" s="1">
        <f t="shared" si="53"/>
        <v>-0.26632850874156533</v>
      </c>
      <c r="T668" s="56">
        <f t="shared" si="54"/>
        <v>0.39596885730864284</v>
      </c>
    </row>
    <row r="669" spans="1:20" x14ac:dyDescent="0.25">
      <c r="A669">
        <v>0.67386221548452807</v>
      </c>
      <c r="B669">
        <v>2.8711656341329217</v>
      </c>
      <c r="D669">
        <v>0.69070846461069624</v>
      </c>
      <c r="E669">
        <v>-2.8443780627185333</v>
      </c>
      <c r="J669">
        <v>10</v>
      </c>
      <c r="K669">
        <v>1.9833464648399968E-2</v>
      </c>
      <c r="L669">
        <v>11.537410264181956</v>
      </c>
      <c r="M669">
        <v>20</v>
      </c>
      <c r="N669">
        <v>0.22923233814253763</v>
      </c>
      <c r="O669">
        <v>140.03095798658197</v>
      </c>
      <c r="P669" s="1">
        <f t="shared" si="50"/>
        <v>5.4131560089558537</v>
      </c>
      <c r="Q669" s="1">
        <f t="shared" si="51"/>
        <v>0.81197340134337803</v>
      </c>
      <c r="R669" s="1">
        <f t="shared" si="52"/>
        <v>0.90109566714271694</v>
      </c>
      <c r="S669" s="1">
        <f t="shared" si="53"/>
        <v>-0.23238251068071414</v>
      </c>
      <c r="T669" s="56">
        <f t="shared" si="54"/>
        <v>0.40896556200314199</v>
      </c>
    </row>
    <row r="670" spans="1:20" x14ac:dyDescent="0.25">
      <c r="A670">
        <v>0.67411721036714112</v>
      </c>
      <c r="B670">
        <v>0.43773297875304706</v>
      </c>
      <c r="D670">
        <v>0.69152643976507788</v>
      </c>
      <c r="E670">
        <v>-0.91453148684195185</v>
      </c>
      <c r="J670">
        <v>10</v>
      </c>
      <c r="K670">
        <v>-0.3569349473764305</v>
      </c>
      <c r="L670">
        <v>3.4140092110424654</v>
      </c>
      <c r="M670">
        <v>20</v>
      </c>
      <c r="N670">
        <v>-9.6947022711901809E-2</v>
      </c>
      <c r="O670">
        <v>134.7295199009439</v>
      </c>
      <c r="P670" s="1">
        <f t="shared" si="50"/>
        <v>4.933697468285227</v>
      </c>
      <c r="Q670" s="1">
        <f t="shared" si="51"/>
        <v>0.74005462024278401</v>
      </c>
      <c r="R670" s="1">
        <f t="shared" si="52"/>
        <v>0.86026427348971313</v>
      </c>
      <c r="S670" s="1">
        <f t="shared" si="53"/>
        <v>-0.30221867009526299</v>
      </c>
      <c r="T670" s="56">
        <f t="shared" si="54"/>
        <v>0.38235948105993156</v>
      </c>
    </row>
    <row r="671" spans="1:20" x14ac:dyDescent="0.25">
      <c r="A671">
        <v>0.67473041100991193</v>
      </c>
      <c r="B671">
        <v>1.8473292584531009</v>
      </c>
      <c r="D671">
        <v>0.69157189572781486</v>
      </c>
      <c r="E671">
        <v>-0.27140390898239275</v>
      </c>
      <c r="J671">
        <v>10</v>
      </c>
      <c r="K671">
        <v>0.55179714308906114</v>
      </c>
      <c r="L671">
        <v>10.4560554220561</v>
      </c>
      <c r="M671">
        <v>20</v>
      </c>
      <c r="N671">
        <v>0.50359880901851284</v>
      </c>
      <c r="O671">
        <v>194.45378403408051</v>
      </c>
      <c r="P671" s="1">
        <f t="shared" si="50"/>
        <v>7.3182085520048785</v>
      </c>
      <c r="Q671" s="1">
        <f t="shared" si="51"/>
        <v>1.0977312828007317</v>
      </c>
      <c r="R671" s="1">
        <f t="shared" si="52"/>
        <v>1.0477267214310857</v>
      </c>
      <c r="S671" s="1">
        <f t="shared" si="53"/>
        <v>4.6002772559541473E-2</v>
      </c>
      <c r="T671" s="56">
        <f t="shared" si="54"/>
        <v>0.51818271129880555</v>
      </c>
    </row>
    <row r="672" spans="1:20" x14ac:dyDescent="0.25">
      <c r="A672">
        <v>0.67576403151581454</v>
      </c>
      <c r="B672">
        <v>-0.51434199122013524</v>
      </c>
      <c r="D672">
        <v>0.6929821085839204</v>
      </c>
      <c r="E672">
        <v>4.1819459931957681</v>
      </c>
      <c r="J672">
        <v>10</v>
      </c>
      <c r="K672">
        <v>3.363481937412871E-2</v>
      </c>
      <c r="L672">
        <v>10.818369585197535</v>
      </c>
      <c r="M672">
        <v>20</v>
      </c>
      <c r="N672">
        <v>0.73454401331218833</v>
      </c>
      <c r="O672">
        <v>226.02505995433873</v>
      </c>
      <c r="P672" s="1">
        <f t="shared" si="50"/>
        <v>8.4586939121262947</v>
      </c>
      <c r="Q672" s="1">
        <f t="shared" si="51"/>
        <v>1.2688040868189441</v>
      </c>
      <c r="R672" s="1">
        <f t="shared" si="52"/>
        <v>1.1264120413147864</v>
      </c>
      <c r="S672" s="1">
        <f t="shared" si="53"/>
        <v>-0.62224937964968363</v>
      </c>
      <c r="T672" s="56">
        <f t="shared" si="54"/>
        <v>0.26940627467705147</v>
      </c>
    </row>
    <row r="673" spans="1:20" x14ac:dyDescent="0.25">
      <c r="A673">
        <v>0.67880282625834676</v>
      </c>
      <c r="B673">
        <v>1.4297961570264306</v>
      </c>
      <c r="D673">
        <v>0.69587355934046558</v>
      </c>
      <c r="E673">
        <v>-1.6526717024589743</v>
      </c>
      <c r="J673">
        <v>10</v>
      </c>
      <c r="K673">
        <v>-0.19864171463268576</v>
      </c>
      <c r="L673">
        <v>7.9343480827387101</v>
      </c>
      <c r="M673">
        <v>20</v>
      </c>
      <c r="N673">
        <v>7.5978331324222381E-2</v>
      </c>
      <c r="O673">
        <v>150.32251712773839</v>
      </c>
      <c r="P673" s="1">
        <f t="shared" si="50"/>
        <v>5.6520309003741831</v>
      </c>
      <c r="Q673" s="1">
        <f t="shared" si="51"/>
        <v>0.84780463505612746</v>
      </c>
      <c r="R673" s="1">
        <f t="shared" si="52"/>
        <v>0.92076307216141517</v>
      </c>
      <c r="S673" s="1">
        <f t="shared" si="53"/>
        <v>-0.29825267135470612</v>
      </c>
      <c r="T673" s="56">
        <f t="shared" si="54"/>
        <v>0.38385621666754033</v>
      </c>
    </row>
    <row r="674" spans="1:20" x14ac:dyDescent="0.25">
      <c r="A674">
        <v>0.68114630979593815</v>
      </c>
      <c r="B674">
        <v>-1.498133315180894</v>
      </c>
      <c r="D674">
        <v>0.69852502242671866</v>
      </c>
      <c r="E674">
        <v>1.2067557656791905</v>
      </c>
      <c r="J674">
        <v>10</v>
      </c>
      <c r="K674">
        <v>0.12355860690149711</v>
      </c>
      <c r="L674">
        <v>10.29297427515643</v>
      </c>
      <c r="M674">
        <v>20</v>
      </c>
      <c r="N674">
        <v>-0.10874839858843188</v>
      </c>
      <c r="O674">
        <v>172.46264863555419</v>
      </c>
      <c r="P674" s="1">
        <f t="shared" si="50"/>
        <v>6.5269865325253793</v>
      </c>
      <c r="Q674" s="1">
        <f t="shared" si="51"/>
        <v>0.97904797987880687</v>
      </c>
      <c r="R674" s="1">
        <f t="shared" si="52"/>
        <v>0.98946853405189539</v>
      </c>
      <c r="S674" s="1">
        <f t="shared" si="53"/>
        <v>0.23477957862755544</v>
      </c>
      <c r="T674" s="56">
        <f t="shared" si="54"/>
        <v>0.59195585185343058</v>
      </c>
    </row>
    <row r="675" spans="1:20" x14ac:dyDescent="0.25">
      <c r="A675">
        <v>0.6812957444798029</v>
      </c>
      <c r="B675">
        <v>0.4397543307277374</v>
      </c>
      <c r="D675">
        <v>0.70128879360987939</v>
      </c>
      <c r="E675">
        <v>1.4264567164445907</v>
      </c>
      <c r="J675">
        <v>10</v>
      </c>
      <c r="K675">
        <v>-0.42098213270946871</v>
      </c>
      <c r="L675">
        <v>8.7406593622915754</v>
      </c>
      <c r="M675">
        <v>20</v>
      </c>
      <c r="N675">
        <v>1.4956841562252521</v>
      </c>
      <c r="O675">
        <v>143.52503732157294</v>
      </c>
      <c r="P675" s="1">
        <f t="shared" si="50"/>
        <v>5.4380605958523045</v>
      </c>
      <c r="Q675" s="1">
        <f t="shared" si="51"/>
        <v>0.8157090893778457</v>
      </c>
      <c r="R675" s="1">
        <f t="shared" si="52"/>
        <v>0.9031661471611111</v>
      </c>
      <c r="S675" s="1">
        <f t="shared" si="53"/>
        <v>-2.1221635631044271</v>
      </c>
      <c r="T675" s="56">
        <f t="shared" si="54"/>
        <v>2.1402213731021382E-2</v>
      </c>
    </row>
    <row r="676" spans="1:20" x14ac:dyDescent="0.25">
      <c r="A676">
        <v>0.68181833988356932</v>
      </c>
      <c r="B676">
        <v>-1.0104804459842853</v>
      </c>
      <c r="D676">
        <v>0.70381586642688965</v>
      </c>
      <c r="E676">
        <v>0.1657162977153348</v>
      </c>
      <c r="J676">
        <v>10</v>
      </c>
      <c r="K676">
        <v>-0.15812304354767548</v>
      </c>
      <c r="L676">
        <v>8.479976372847231</v>
      </c>
      <c r="M676">
        <v>20</v>
      </c>
      <c r="N676">
        <v>-0.92101743462080776</v>
      </c>
      <c r="O676">
        <v>125.33003040442298</v>
      </c>
      <c r="P676" s="1">
        <f t="shared" si="50"/>
        <v>4.7789288134739367</v>
      </c>
      <c r="Q676" s="1">
        <f t="shared" si="51"/>
        <v>0.71683932202109046</v>
      </c>
      <c r="R676" s="1">
        <f t="shared" si="52"/>
        <v>0.8466636416081007</v>
      </c>
      <c r="S676" s="1">
        <f t="shared" si="53"/>
        <v>0.90105958680844933</v>
      </c>
      <c r="T676" s="56">
        <f t="shared" si="54"/>
        <v>0.81237895768713964</v>
      </c>
    </row>
    <row r="677" spans="1:20" x14ac:dyDescent="0.25">
      <c r="A677">
        <v>0.68266026845297956</v>
      </c>
      <c r="B677">
        <v>3.653667590697296E-2</v>
      </c>
      <c r="D677">
        <v>0.70487087792902814</v>
      </c>
      <c r="E677">
        <v>-7.0012235971717018</v>
      </c>
      <c r="J677">
        <v>10</v>
      </c>
      <c r="K677">
        <v>0.11653594356175745</v>
      </c>
      <c r="L677">
        <v>12.56829128869585</v>
      </c>
      <c r="M677">
        <v>20</v>
      </c>
      <c r="N677">
        <v>-0.34548327562333725</v>
      </c>
      <c r="O677">
        <v>127.06187249813021</v>
      </c>
      <c r="P677" s="1">
        <f t="shared" si="50"/>
        <v>4.9867915638152169</v>
      </c>
      <c r="Q677" s="1">
        <f t="shared" si="51"/>
        <v>0.74801873457228252</v>
      </c>
      <c r="R677" s="1">
        <f t="shared" si="52"/>
        <v>0.8648807632109079</v>
      </c>
      <c r="S677" s="1">
        <f t="shared" si="53"/>
        <v>0.53419990227303471</v>
      </c>
      <c r="T677" s="56">
        <f t="shared" si="54"/>
        <v>0.7012902153462065</v>
      </c>
    </row>
    <row r="678" spans="1:20" x14ac:dyDescent="0.25">
      <c r="A678">
        <v>0.68286933046493903</v>
      </c>
      <c r="B678">
        <v>1.357871042273473</v>
      </c>
      <c r="D678">
        <v>0.70493485149129331</v>
      </c>
      <c r="E678">
        <v>-3.0592189011713344</v>
      </c>
      <c r="J678">
        <v>10</v>
      </c>
      <c r="K678">
        <v>0.11569386515475344</v>
      </c>
      <c r="L678">
        <v>10.162431413891511</v>
      </c>
      <c r="M678">
        <v>20</v>
      </c>
      <c r="N678">
        <v>-8.6541778046012041E-2</v>
      </c>
      <c r="O678">
        <v>132.91478082559107</v>
      </c>
      <c r="P678" s="1">
        <f t="shared" si="50"/>
        <v>5.1099004371243781</v>
      </c>
      <c r="Q678" s="1">
        <f t="shared" si="51"/>
        <v>0.7664850655686567</v>
      </c>
      <c r="R678" s="1">
        <f t="shared" si="52"/>
        <v>0.87549132809449159</v>
      </c>
      <c r="S678" s="1">
        <f t="shared" si="53"/>
        <v>0.23099674058557693</v>
      </c>
      <c r="T678" s="56">
        <f t="shared" si="54"/>
        <v>0.59050151656762173</v>
      </c>
    </row>
    <row r="679" spans="1:20" x14ac:dyDescent="0.25">
      <c r="A679">
        <v>0.68377421270427396</v>
      </c>
      <c r="B679">
        <v>0.45014303395873867</v>
      </c>
      <c r="D679">
        <v>0.7055698728643407</v>
      </c>
      <c r="E679">
        <v>-1.9451856621799379</v>
      </c>
      <c r="J679">
        <v>10</v>
      </c>
      <c r="K679">
        <v>0.19354081359779229</v>
      </c>
      <c r="L679">
        <v>16.665442725047665</v>
      </c>
      <c r="M679">
        <v>20</v>
      </c>
      <c r="N679">
        <v>-0.60789574604314112</v>
      </c>
      <c r="O679">
        <v>202.2230516646178</v>
      </c>
      <c r="P679" s="1">
        <f t="shared" si="50"/>
        <v>7.8174462282023374</v>
      </c>
      <c r="Q679" s="1">
        <f t="shared" si="51"/>
        <v>1.1726169342303505</v>
      </c>
      <c r="R679" s="1">
        <f t="shared" si="52"/>
        <v>1.0828743852499008</v>
      </c>
      <c r="S679" s="1">
        <f t="shared" si="53"/>
        <v>0.74010113320390492</v>
      </c>
      <c r="T679" s="56">
        <f t="shared" si="54"/>
        <v>0.76730023985950635</v>
      </c>
    </row>
    <row r="680" spans="1:20" x14ac:dyDescent="0.25">
      <c r="A680">
        <v>0.68513403926626804</v>
      </c>
      <c r="B680">
        <v>0.64932351051538717</v>
      </c>
      <c r="D680">
        <v>0.70599298329450733</v>
      </c>
      <c r="E680">
        <v>-4.1398077462417859</v>
      </c>
      <c r="J680">
        <v>10</v>
      </c>
      <c r="K680">
        <v>-8.9486206888977904E-2</v>
      </c>
      <c r="L680">
        <v>10.319280191673096</v>
      </c>
      <c r="M680">
        <v>20</v>
      </c>
      <c r="N680">
        <v>1.3017774415402528</v>
      </c>
      <c r="O680">
        <v>283.09661529485828</v>
      </c>
      <c r="P680" s="1">
        <f t="shared" si="50"/>
        <v>10.479139124518978</v>
      </c>
      <c r="Q680" s="1">
        <f t="shared" si="51"/>
        <v>1.5718708686778466</v>
      </c>
      <c r="R680" s="1">
        <f t="shared" si="52"/>
        <v>1.2537427442174278</v>
      </c>
      <c r="S680" s="1">
        <f t="shared" si="53"/>
        <v>-1.1096882951834284</v>
      </c>
      <c r="T680" s="56">
        <f t="shared" si="54"/>
        <v>0.13828662388087401</v>
      </c>
    </row>
    <row r="681" spans="1:20" x14ac:dyDescent="0.25">
      <c r="A681">
        <v>0.68799950435440704</v>
      </c>
      <c r="B681">
        <v>-1.2643022273550741</v>
      </c>
      <c r="D681">
        <v>0.7064560100374262</v>
      </c>
      <c r="E681">
        <v>1.435030977745555</v>
      </c>
      <c r="J681">
        <v>10</v>
      </c>
      <c r="K681">
        <v>-0.75892978657066124</v>
      </c>
      <c r="L681">
        <v>7.688924689828772</v>
      </c>
      <c r="M681">
        <v>20</v>
      </c>
      <c r="N681">
        <v>1.0232276929400541</v>
      </c>
      <c r="O681">
        <v>215.29043968419762</v>
      </c>
      <c r="P681" s="1">
        <f t="shared" si="50"/>
        <v>7.9635487276437997</v>
      </c>
      <c r="Q681" s="1">
        <f t="shared" si="51"/>
        <v>1.1945323091465698</v>
      </c>
      <c r="R681" s="1">
        <f t="shared" si="52"/>
        <v>1.0929466177021501</v>
      </c>
      <c r="S681" s="1">
        <f t="shared" si="53"/>
        <v>-1.6305988331411709</v>
      </c>
      <c r="T681" s="56">
        <f t="shared" si="54"/>
        <v>5.7087127343437585E-2</v>
      </c>
    </row>
    <row r="682" spans="1:20" x14ac:dyDescent="0.25">
      <c r="A682">
        <v>0.68827735716209781</v>
      </c>
      <c r="B682">
        <v>-0.82660790212685242</v>
      </c>
      <c r="D682">
        <v>0.70659103131056733</v>
      </c>
      <c r="E682">
        <v>0.7917703862858616</v>
      </c>
      <c r="J682">
        <v>10</v>
      </c>
      <c r="K682">
        <v>0.11658414678095141</v>
      </c>
      <c r="L682">
        <v>12.288333586098954</v>
      </c>
      <c r="M682">
        <v>20</v>
      </c>
      <c r="N682">
        <v>-0.41838666561488935</v>
      </c>
      <c r="O682">
        <v>134.80947546074395</v>
      </c>
      <c r="P682" s="1">
        <f t="shared" si="50"/>
        <v>5.2534931802443898</v>
      </c>
      <c r="Q682" s="1">
        <f t="shared" si="51"/>
        <v>0.7880239770366585</v>
      </c>
      <c r="R682" s="1">
        <f t="shared" si="52"/>
        <v>0.88770714598715406</v>
      </c>
      <c r="S682" s="1">
        <f t="shared" si="53"/>
        <v>0.60264335464027263</v>
      </c>
      <c r="T682" s="56">
        <f t="shared" si="54"/>
        <v>0.72420197420257904</v>
      </c>
    </row>
    <row r="683" spans="1:20" x14ac:dyDescent="0.25">
      <c r="A683">
        <v>0.68903275774024109</v>
      </c>
      <c r="B683">
        <v>5.7750639825826511E-2</v>
      </c>
      <c r="D683">
        <v>0.70745733864646787</v>
      </c>
      <c r="E683">
        <v>2.3316449608046241</v>
      </c>
      <c r="J683">
        <v>10</v>
      </c>
      <c r="K683">
        <v>-0.69036832428537309</v>
      </c>
      <c r="L683">
        <v>10.01919922303358</v>
      </c>
      <c r="M683">
        <v>20</v>
      </c>
      <c r="N683">
        <v>-0.39717798813398986</v>
      </c>
      <c r="O683">
        <v>266.34624469144421</v>
      </c>
      <c r="P683" s="1">
        <f t="shared" si="50"/>
        <v>9.8701944255170648</v>
      </c>
      <c r="Q683" s="1">
        <f t="shared" si="51"/>
        <v>1.4805291638275597</v>
      </c>
      <c r="R683" s="1">
        <f t="shared" si="52"/>
        <v>1.2167699716164759</v>
      </c>
      <c r="S683" s="1">
        <f t="shared" si="53"/>
        <v>-0.24095789918441246</v>
      </c>
      <c r="T683" s="56">
        <f t="shared" si="54"/>
        <v>0.40567173381506288</v>
      </c>
    </row>
    <row r="684" spans="1:20" x14ac:dyDescent="0.25">
      <c r="A684">
        <v>0.68905641809506302</v>
      </c>
      <c r="B684">
        <v>-0.19332333067723084</v>
      </c>
      <c r="D684">
        <v>0.70762774501977133</v>
      </c>
      <c r="E684">
        <v>2.0327190634361614</v>
      </c>
      <c r="J684">
        <v>10</v>
      </c>
      <c r="K684">
        <v>0.33959804568439722</v>
      </c>
      <c r="L684">
        <v>4.4459223894224991</v>
      </c>
      <c r="M684">
        <v>20</v>
      </c>
      <c r="N684">
        <v>0.48220647045127407</v>
      </c>
      <c r="O684">
        <v>129.32331580022284</v>
      </c>
      <c r="P684" s="1">
        <f t="shared" si="50"/>
        <v>4.777472792487333</v>
      </c>
      <c r="Q684" s="1">
        <f t="shared" si="51"/>
        <v>0.71662091887309998</v>
      </c>
      <c r="R684" s="1">
        <f t="shared" si="52"/>
        <v>0.84653465308462117</v>
      </c>
      <c r="S684" s="1">
        <f t="shared" si="53"/>
        <v>-0.16846141412786494</v>
      </c>
      <c r="T684" s="56">
        <f t="shared" si="54"/>
        <v>0.43371565206495044</v>
      </c>
    </row>
    <row r="685" spans="1:20" x14ac:dyDescent="0.25">
      <c r="A685">
        <v>0.68908991485789939</v>
      </c>
      <c r="B685">
        <v>0.82854626271000598</v>
      </c>
      <c r="D685">
        <v>0.70990758657026765</v>
      </c>
      <c r="E685">
        <v>-0.16178706005121057</v>
      </c>
      <c r="J685">
        <v>10</v>
      </c>
      <c r="K685">
        <v>0.24748305804678239</v>
      </c>
      <c r="L685">
        <v>6.8210909939850763</v>
      </c>
      <c r="M685">
        <v>20</v>
      </c>
      <c r="N685">
        <v>-1.3045587400029035</v>
      </c>
      <c r="O685">
        <v>174.44323515813792</v>
      </c>
      <c r="P685" s="1">
        <f t="shared" si="50"/>
        <v>6.4737259340043929</v>
      </c>
      <c r="Q685" s="1">
        <f t="shared" si="51"/>
        <v>0.97105889010065893</v>
      </c>
      <c r="R685" s="1">
        <f t="shared" si="52"/>
        <v>0.98542320355300084</v>
      </c>
      <c r="S685" s="1">
        <f t="shared" si="53"/>
        <v>1.5750002561881116</v>
      </c>
      <c r="T685" s="56">
        <f t="shared" si="54"/>
        <v>0.93675539826748677</v>
      </c>
    </row>
    <row r="686" spans="1:20" x14ac:dyDescent="0.25">
      <c r="A686">
        <v>0.69058886656768592</v>
      </c>
      <c r="B686">
        <v>-0.39410679164575413</v>
      </c>
      <c r="D686">
        <v>0.71025869744262238</v>
      </c>
      <c r="E686">
        <v>2.4259550139049679</v>
      </c>
      <c r="J686">
        <v>10</v>
      </c>
      <c r="K686">
        <v>-1.4823058336332906E-2</v>
      </c>
      <c r="L686">
        <v>12.100576983958053</v>
      </c>
      <c r="M686">
        <v>20</v>
      </c>
      <c r="N686">
        <v>0.87628756887170312</v>
      </c>
      <c r="O686">
        <v>122.55440149592147</v>
      </c>
      <c r="P686" s="1">
        <f t="shared" si="50"/>
        <v>4.809106374281412</v>
      </c>
      <c r="Q686" s="1">
        <f t="shared" si="51"/>
        <v>0.72136595614221177</v>
      </c>
      <c r="R686" s="1">
        <f t="shared" si="52"/>
        <v>0.84933265340631514</v>
      </c>
      <c r="S686" s="1">
        <f t="shared" si="53"/>
        <v>-1.0491891765071872</v>
      </c>
      <c r="T686" s="56">
        <f t="shared" si="54"/>
        <v>0.15153156854179092</v>
      </c>
    </row>
    <row r="687" spans="1:20" x14ac:dyDescent="0.25">
      <c r="A687">
        <v>0.69222511732906378</v>
      </c>
      <c r="B687">
        <v>-0.78480297815985978</v>
      </c>
      <c r="D687">
        <v>0.71144367411673759</v>
      </c>
      <c r="E687">
        <v>-6.5998090155972022</v>
      </c>
      <c r="J687">
        <v>10</v>
      </c>
      <c r="K687">
        <v>-0.33358139717165614</v>
      </c>
      <c r="L687">
        <v>4.4962783201064322</v>
      </c>
      <c r="M687">
        <v>20</v>
      </c>
      <c r="N687">
        <v>-0.37513285974455357</v>
      </c>
      <c r="O687">
        <v>201.02286670196696</v>
      </c>
      <c r="P687" s="1">
        <f t="shared" si="50"/>
        <v>7.3399694650740495</v>
      </c>
      <c r="Q687" s="1">
        <f t="shared" si="51"/>
        <v>1.1009954197611074</v>
      </c>
      <c r="R687" s="1">
        <f t="shared" si="52"/>
        <v>1.0492832886123304</v>
      </c>
      <c r="S687" s="1">
        <f t="shared" si="53"/>
        <v>3.9599851654788999E-2</v>
      </c>
      <c r="T687" s="56">
        <f t="shared" si="54"/>
        <v>0.51565342126556946</v>
      </c>
    </row>
    <row r="688" spans="1:20" x14ac:dyDescent="0.25">
      <c r="A688">
        <v>0.69540159868068552</v>
      </c>
      <c r="B688">
        <v>0.73447267823212314</v>
      </c>
      <c r="D688">
        <v>0.71265078544788962</v>
      </c>
      <c r="E688">
        <v>4.6259794964953471</v>
      </c>
      <c r="J688">
        <v>10</v>
      </c>
      <c r="K688">
        <v>-0.13511692031897837</v>
      </c>
      <c r="L688">
        <v>8.1624628798177472</v>
      </c>
      <c r="M688">
        <v>20</v>
      </c>
      <c r="N688">
        <v>1.2164251722879271</v>
      </c>
      <c r="O688">
        <v>246.07306717801112</v>
      </c>
      <c r="P688" s="1">
        <f t="shared" si="50"/>
        <v>9.0798403592081733</v>
      </c>
      <c r="Q688" s="1">
        <f t="shared" si="51"/>
        <v>1.361976053881226</v>
      </c>
      <c r="R688" s="1">
        <f t="shared" si="52"/>
        <v>1.167037297553607</v>
      </c>
      <c r="S688" s="1">
        <f t="shared" si="53"/>
        <v>-1.1580967424435065</v>
      </c>
      <c r="T688" s="56">
        <f t="shared" si="54"/>
        <v>0.12830383116724048</v>
      </c>
    </row>
    <row r="689" spans="1:20" x14ac:dyDescent="0.25">
      <c r="A689">
        <v>0.69615370353776296</v>
      </c>
      <c r="B689">
        <v>-6.2118488131090999E-2</v>
      </c>
      <c r="D689">
        <v>0.71321170973616221</v>
      </c>
      <c r="E689">
        <v>-0.14479542528533784</v>
      </c>
      <c r="J689">
        <v>10</v>
      </c>
      <c r="K689">
        <v>0.20495701846812153</v>
      </c>
      <c r="L689">
        <v>8.7724576534404761</v>
      </c>
      <c r="M689">
        <v>20</v>
      </c>
      <c r="N689">
        <v>0.79138669320855115</v>
      </c>
      <c r="O689">
        <v>160.26369893209724</v>
      </c>
      <c r="P689" s="1">
        <f t="shared" si="50"/>
        <v>6.0370055923406332</v>
      </c>
      <c r="Q689" s="1">
        <f t="shared" si="51"/>
        <v>0.90555083885109489</v>
      </c>
      <c r="R689" s="1">
        <f t="shared" si="52"/>
        <v>0.9516043499538529</v>
      </c>
      <c r="S689" s="1">
        <f t="shared" si="53"/>
        <v>-0.61625367177952473</v>
      </c>
      <c r="T689" s="56">
        <f t="shared" si="54"/>
        <v>0.27135259654345689</v>
      </c>
    </row>
    <row r="690" spans="1:20" x14ac:dyDescent="0.25">
      <c r="A690">
        <v>0.69820386417429514</v>
      </c>
      <c r="B690">
        <v>-0.55645614338573068</v>
      </c>
      <c r="D690">
        <v>0.71329531421221692</v>
      </c>
      <c r="E690">
        <v>-1.9418296267303958</v>
      </c>
      <c r="J690">
        <v>10</v>
      </c>
      <c r="K690">
        <v>-0.1241796780959703</v>
      </c>
      <c r="L690">
        <v>7.0892147491430464</v>
      </c>
      <c r="M690">
        <v>20</v>
      </c>
      <c r="N690">
        <v>-0.74868586693810357</v>
      </c>
      <c r="O690">
        <v>143.3601926832483</v>
      </c>
      <c r="P690" s="1">
        <f t="shared" si="50"/>
        <v>5.3731931225854055</v>
      </c>
      <c r="Q690" s="1">
        <f t="shared" si="51"/>
        <v>0.8059789683878108</v>
      </c>
      <c r="R690" s="1">
        <f t="shared" si="52"/>
        <v>0.89776331423589084</v>
      </c>
      <c r="S690" s="1">
        <f t="shared" si="53"/>
        <v>0.69562453593201945</v>
      </c>
      <c r="T690" s="56">
        <f t="shared" si="54"/>
        <v>0.75380116264779629</v>
      </c>
    </row>
    <row r="691" spans="1:20" x14ac:dyDescent="0.25">
      <c r="A691">
        <v>0.69880074853059237</v>
      </c>
      <c r="B691">
        <v>2.8227805159986019</v>
      </c>
      <c r="D691">
        <v>0.7136967355487297</v>
      </c>
      <c r="E691">
        <v>-1.0880596653350949</v>
      </c>
      <c r="J691">
        <v>10</v>
      </c>
      <c r="K691">
        <v>-0.24933376607805258</v>
      </c>
      <c r="L691">
        <v>10.777948674482081</v>
      </c>
      <c r="M691">
        <v>20</v>
      </c>
      <c r="N691">
        <v>-1.1707301757724053</v>
      </c>
      <c r="O691">
        <v>173.88321965125547</v>
      </c>
      <c r="P691" s="1">
        <f t="shared" si="50"/>
        <v>6.5950417259191978</v>
      </c>
      <c r="Q691" s="1">
        <f t="shared" si="51"/>
        <v>0.9892562588878796</v>
      </c>
      <c r="R691" s="1">
        <f t="shared" si="52"/>
        <v>0.99461362291488831</v>
      </c>
      <c r="S691" s="1">
        <f t="shared" si="53"/>
        <v>0.92638627550067154</v>
      </c>
      <c r="T691" s="56">
        <f t="shared" si="54"/>
        <v>0.81891909224214798</v>
      </c>
    </row>
    <row r="692" spans="1:20" x14ac:dyDescent="0.25">
      <c r="A692">
        <v>0.69890785263575961</v>
      </c>
      <c r="B692">
        <v>0.20721699911518954</v>
      </c>
      <c r="D692">
        <v>0.71565092525718965</v>
      </c>
      <c r="E692">
        <v>-0.19761205635404622</v>
      </c>
      <c r="J692">
        <v>10</v>
      </c>
      <c r="K692">
        <v>0.35411096632742556</v>
      </c>
      <c r="L692">
        <v>1.058173755293311</v>
      </c>
      <c r="M692">
        <v>20</v>
      </c>
      <c r="N692">
        <v>1.4697427525334206</v>
      </c>
      <c r="O692">
        <v>163.17918499000791</v>
      </c>
      <c r="P692" s="1">
        <f t="shared" si="50"/>
        <v>5.86561995518933</v>
      </c>
      <c r="Q692" s="1">
        <f t="shared" si="51"/>
        <v>0.87984299327839943</v>
      </c>
      <c r="R692" s="1">
        <f t="shared" si="52"/>
        <v>0.93799946336786322</v>
      </c>
      <c r="S692" s="1">
        <f t="shared" si="53"/>
        <v>-1.1893735868465718</v>
      </c>
      <c r="T692" s="56">
        <f t="shared" si="54"/>
        <v>0.12214061496036585</v>
      </c>
    </row>
    <row r="693" spans="1:20" x14ac:dyDescent="0.25">
      <c r="A693">
        <v>0.70022897321503252</v>
      </c>
      <c r="B693">
        <v>0.5367382982512936</v>
      </c>
      <c r="D693">
        <v>0.71565255599327959</v>
      </c>
      <c r="E693">
        <v>-3.0667904445635941</v>
      </c>
      <c r="J693">
        <v>10</v>
      </c>
      <c r="K693">
        <v>0.49246023081650492</v>
      </c>
      <c r="L693">
        <v>3.5038217518700989</v>
      </c>
      <c r="M693">
        <v>20</v>
      </c>
      <c r="N693">
        <v>0.2189916551742499</v>
      </c>
      <c r="O693">
        <v>187.06460478725097</v>
      </c>
      <c r="P693" s="1">
        <f t="shared" si="50"/>
        <v>6.8060152335400383</v>
      </c>
      <c r="Q693" s="1">
        <f t="shared" si="51"/>
        <v>1.0209022850310057</v>
      </c>
      <c r="R693" s="1">
        <f t="shared" si="52"/>
        <v>1.010397092746711</v>
      </c>
      <c r="S693" s="1">
        <f t="shared" si="53"/>
        <v>0.27065455513024606</v>
      </c>
      <c r="T693" s="56">
        <f t="shared" si="54"/>
        <v>0.60567904795037297</v>
      </c>
    </row>
    <row r="694" spans="1:20" x14ac:dyDescent="0.25">
      <c r="A694">
        <v>0.70078950831931663</v>
      </c>
      <c r="B694">
        <v>-1.2923555914312601</v>
      </c>
      <c r="D694">
        <v>0.71566991374204725</v>
      </c>
      <c r="E694">
        <v>-8.5805598928345717E-2</v>
      </c>
      <c r="J694">
        <v>10</v>
      </c>
      <c r="K694">
        <v>-0.2158448069167207</v>
      </c>
      <c r="L694">
        <v>6.8013207153892505</v>
      </c>
      <c r="M694">
        <v>20</v>
      </c>
      <c r="N694">
        <v>0.88326498485002958</v>
      </c>
      <c r="O694">
        <v>96.109564565109153</v>
      </c>
      <c r="P694" s="1">
        <f t="shared" si="50"/>
        <v>3.6753887600178001</v>
      </c>
      <c r="Q694" s="1">
        <f t="shared" si="51"/>
        <v>0.55130831400267</v>
      </c>
      <c r="R694" s="1">
        <f t="shared" si="52"/>
        <v>0.742501389899487</v>
      </c>
      <c r="S694" s="1">
        <f t="shared" si="53"/>
        <v>-1.4802797768709062</v>
      </c>
      <c r="T694" s="56">
        <f t="shared" si="54"/>
        <v>7.4981912897840258E-2</v>
      </c>
    </row>
    <row r="695" spans="1:20" x14ac:dyDescent="0.25">
      <c r="A695">
        <v>0.70148198065189904</v>
      </c>
      <c r="B695">
        <v>0.89019067672779784</v>
      </c>
      <c r="D695">
        <v>0.71600066285332886</v>
      </c>
      <c r="E695">
        <v>-0.76549145319404488</v>
      </c>
      <c r="J695">
        <v>10</v>
      </c>
      <c r="K695">
        <v>-0.1676594365562778</v>
      </c>
      <c r="L695">
        <v>7.2294735488927921</v>
      </c>
      <c r="M695">
        <v>20</v>
      </c>
      <c r="N695">
        <v>0.89407728523838159</v>
      </c>
      <c r="O695">
        <v>159.4784601458957</v>
      </c>
      <c r="P695" s="1">
        <f t="shared" si="50"/>
        <v>5.953854774813875</v>
      </c>
      <c r="Q695" s="1">
        <f t="shared" si="51"/>
        <v>0.89307821622208128</v>
      </c>
      <c r="R695" s="1">
        <f t="shared" si="52"/>
        <v>0.9450281563118007</v>
      </c>
      <c r="S695" s="1">
        <f t="shared" si="53"/>
        <v>-1.1234974478838196</v>
      </c>
      <c r="T695" s="56">
        <f t="shared" si="54"/>
        <v>0.13538353001230691</v>
      </c>
    </row>
    <row r="696" spans="1:20" x14ac:dyDescent="0.25">
      <c r="A696">
        <v>0.7016545041284401</v>
      </c>
      <c r="B696">
        <v>-0.40296754377777688</v>
      </c>
      <c r="D696">
        <v>0.71636074578352127</v>
      </c>
      <c r="E696">
        <v>-0.33748097280295042</v>
      </c>
      <c r="J696">
        <v>10</v>
      </c>
      <c r="K696">
        <v>-8.4452835835691076E-2</v>
      </c>
      <c r="L696">
        <v>5.1576373407915215</v>
      </c>
      <c r="M696">
        <v>20</v>
      </c>
      <c r="N696">
        <v>-4.1113711404250353E-2</v>
      </c>
      <c r="O696">
        <v>126.39538863364749</v>
      </c>
      <c r="P696" s="1">
        <f t="shared" si="50"/>
        <v>4.6983223562299647</v>
      </c>
      <c r="Q696" s="1">
        <f t="shared" si="51"/>
        <v>0.70474835343449471</v>
      </c>
      <c r="R696" s="1">
        <f t="shared" si="52"/>
        <v>0.83949291446354368</v>
      </c>
      <c r="S696" s="1">
        <f t="shared" si="53"/>
        <v>-5.1625360601328572E-2</v>
      </c>
      <c r="T696" s="56">
        <f t="shared" si="54"/>
        <v>0.47959687931011774</v>
      </c>
    </row>
    <row r="697" spans="1:20" x14ac:dyDescent="0.25">
      <c r="A697">
        <v>0.70172586731516018</v>
      </c>
      <c r="B697">
        <v>0.70758687797933817</v>
      </c>
      <c r="D697">
        <v>0.71638263921076817</v>
      </c>
      <c r="E697">
        <v>1.5736925399778556</v>
      </c>
      <c r="J697">
        <v>10</v>
      </c>
      <c r="K697">
        <v>-0.20087657048861729</v>
      </c>
      <c r="L697">
        <v>10.077547909800101</v>
      </c>
      <c r="M697">
        <v>20</v>
      </c>
      <c r="N697">
        <v>-2.828250330821902E-2</v>
      </c>
      <c r="O697">
        <v>463.50309138680205</v>
      </c>
      <c r="P697" s="1">
        <f t="shared" si="50"/>
        <v>16.913594260592934</v>
      </c>
      <c r="Q697" s="1">
        <f t="shared" si="51"/>
        <v>2.53703913908894</v>
      </c>
      <c r="R697" s="1">
        <f t="shared" si="52"/>
        <v>1.592808569505118</v>
      </c>
      <c r="S697" s="1">
        <f t="shared" si="53"/>
        <v>-0.10835832408537509</v>
      </c>
      <c r="T697" s="56">
        <f t="shared" si="54"/>
        <v>0.45724212336175929</v>
      </c>
    </row>
    <row r="698" spans="1:20" x14ac:dyDescent="0.25">
      <c r="A698">
        <v>0.70434698930058426</v>
      </c>
      <c r="B698">
        <v>0.84319253801368177</v>
      </c>
      <c r="D698">
        <v>0.71687147169381671</v>
      </c>
      <c r="E698">
        <v>-7.7590873422650475</v>
      </c>
      <c r="J698">
        <v>10</v>
      </c>
      <c r="K698">
        <v>0.3038857130377437</v>
      </c>
      <c r="L698">
        <v>8.199025156269883</v>
      </c>
      <c r="M698">
        <v>20</v>
      </c>
      <c r="N698">
        <v>-0.25831758762251411</v>
      </c>
      <c r="O698">
        <v>331.28546025961134</v>
      </c>
      <c r="P698" s="1">
        <f t="shared" si="50"/>
        <v>12.124445907710044</v>
      </c>
      <c r="Q698" s="1">
        <f t="shared" si="51"/>
        <v>1.8186668861565065</v>
      </c>
      <c r="R698" s="1">
        <f t="shared" si="52"/>
        <v>1.3485795809504557</v>
      </c>
      <c r="S698" s="1">
        <f t="shared" si="53"/>
        <v>0.41688552058902345</v>
      </c>
      <c r="T698" s="56">
        <f t="shared" si="54"/>
        <v>0.66002948990372357</v>
      </c>
    </row>
    <row r="699" spans="1:20" x14ac:dyDescent="0.25">
      <c r="A699">
        <v>0.70440199612393084</v>
      </c>
      <c r="B699">
        <v>9.9420276455930434E-2</v>
      </c>
      <c r="D699">
        <v>0.71794671916817676</v>
      </c>
      <c r="E699">
        <v>-5.036442192931645</v>
      </c>
      <c r="J699">
        <v>10</v>
      </c>
      <c r="K699">
        <v>0.11753661510738311</v>
      </c>
      <c r="L699">
        <v>6.6998115816704482</v>
      </c>
      <c r="M699">
        <v>20</v>
      </c>
      <c r="N699">
        <v>0.21109508111294417</v>
      </c>
      <c r="O699">
        <v>165.56695517580147</v>
      </c>
      <c r="P699" s="1">
        <f t="shared" si="50"/>
        <v>6.1523845270525683</v>
      </c>
      <c r="Q699" s="1">
        <f t="shared" si="51"/>
        <v>0.92285767905788518</v>
      </c>
      <c r="R699" s="1">
        <f t="shared" si="52"/>
        <v>0.9606548178497234</v>
      </c>
      <c r="S699" s="1">
        <f t="shared" si="53"/>
        <v>-9.7390305307557976E-2</v>
      </c>
      <c r="T699" s="56">
        <f t="shared" si="54"/>
        <v>0.4615551237384809</v>
      </c>
    </row>
    <row r="700" spans="1:20" x14ac:dyDescent="0.25">
      <c r="A700">
        <v>0.70443244336402144</v>
      </c>
      <c r="B700">
        <v>1.4221836863725912</v>
      </c>
      <c r="D700">
        <v>0.71853860322080332</v>
      </c>
      <c r="E700">
        <v>-6.1270172898275632</v>
      </c>
      <c r="J700">
        <v>10</v>
      </c>
      <c r="K700">
        <v>-0.1187414682135568</v>
      </c>
      <c r="L700">
        <v>3.9763322194052342</v>
      </c>
      <c r="M700">
        <v>20</v>
      </c>
      <c r="N700">
        <v>1.0301582130978204</v>
      </c>
      <c r="O700">
        <v>239.36701833654146</v>
      </c>
      <c r="P700" s="1">
        <f t="shared" si="50"/>
        <v>8.6908339484266683</v>
      </c>
      <c r="Q700" s="1">
        <f t="shared" si="51"/>
        <v>1.3036250922640003</v>
      </c>
      <c r="R700" s="1">
        <f t="shared" si="52"/>
        <v>1.14176402652387</v>
      </c>
      <c r="S700" s="1">
        <f t="shared" si="53"/>
        <v>-1.0062496756087438</v>
      </c>
      <c r="T700" s="56">
        <f t="shared" si="54"/>
        <v>0.16145636318354839</v>
      </c>
    </row>
    <row r="701" spans="1:20" x14ac:dyDescent="0.25">
      <c r="A701">
        <v>0.70461137798687035</v>
      </c>
      <c r="B701">
        <v>1.9929575501009822</v>
      </c>
      <c r="D701">
        <v>0.71939797586727816</v>
      </c>
      <c r="E701">
        <v>-0.41478233811176324</v>
      </c>
      <c r="J701">
        <v>10</v>
      </c>
      <c r="K701">
        <v>-0.44395233089744579</v>
      </c>
      <c r="L701">
        <v>16.739802661828463</v>
      </c>
      <c r="M701">
        <v>20</v>
      </c>
      <c r="N701">
        <v>-0.40565675249126798</v>
      </c>
      <c r="O701">
        <v>229.70156045838115</v>
      </c>
      <c r="P701" s="1">
        <f t="shared" si="50"/>
        <v>8.8014772542932</v>
      </c>
      <c r="Q701" s="1">
        <f t="shared" si="51"/>
        <v>1.3202215881439801</v>
      </c>
      <c r="R701" s="1">
        <f t="shared" si="52"/>
        <v>1.1490089591225909</v>
      </c>
      <c r="S701" s="1">
        <f t="shared" si="53"/>
        <v>-3.3329225244180145E-2</v>
      </c>
      <c r="T701" s="56">
        <f t="shared" si="54"/>
        <v>0.48682425416195724</v>
      </c>
    </row>
    <row r="702" spans="1:20" x14ac:dyDescent="0.25">
      <c r="A702">
        <v>0.70635069138200002</v>
      </c>
      <c r="B702">
        <v>-0.83460008681868203</v>
      </c>
      <c r="D702">
        <v>0.71946027703431137</v>
      </c>
      <c r="E702">
        <v>3.8275022654943314</v>
      </c>
      <c r="J702">
        <v>10</v>
      </c>
      <c r="K702">
        <v>0.12919167602376547</v>
      </c>
      <c r="L702">
        <v>5.0811247946994529</v>
      </c>
      <c r="M702">
        <v>20</v>
      </c>
      <c r="N702">
        <v>0.18136705307369994</v>
      </c>
      <c r="O702">
        <v>137.13971402833201</v>
      </c>
      <c r="P702" s="1">
        <f t="shared" si="50"/>
        <v>5.0793156722511243</v>
      </c>
      <c r="Q702" s="1">
        <f t="shared" si="51"/>
        <v>0.76189735083766863</v>
      </c>
      <c r="R702" s="1">
        <f t="shared" si="52"/>
        <v>0.87286731571165421</v>
      </c>
      <c r="S702" s="1">
        <f t="shared" si="53"/>
        <v>-5.9774694401743697E-2</v>
      </c>
      <c r="T702" s="56">
        <f t="shared" si="54"/>
        <v>0.47637983971206738</v>
      </c>
    </row>
    <row r="703" spans="1:20" x14ac:dyDescent="0.25">
      <c r="A703">
        <v>0.70721494536875906</v>
      </c>
      <c r="B703">
        <v>-1.2441432772902772</v>
      </c>
      <c r="D703">
        <v>0.71952450730559325</v>
      </c>
      <c r="E703">
        <v>3.746432181515047</v>
      </c>
      <c r="J703">
        <v>10</v>
      </c>
      <c r="K703">
        <v>0.25969745820475509</v>
      </c>
      <c r="L703">
        <v>5.5308342438225058</v>
      </c>
      <c r="M703">
        <v>20</v>
      </c>
      <c r="N703">
        <v>1.1165186572270613</v>
      </c>
      <c r="O703">
        <v>481.01024382983326</v>
      </c>
      <c r="P703" s="1">
        <f t="shared" si="50"/>
        <v>17.376467074059132</v>
      </c>
      <c r="Q703" s="1">
        <f t="shared" si="51"/>
        <v>2.6064700611088698</v>
      </c>
      <c r="R703" s="1">
        <f t="shared" si="52"/>
        <v>1.6144565838414082</v>
      </c>
      <c r="S703" s="1">
        <f t="shared" si="53"/>
        <v>-0.53071801843292787</v>
      </c>
      <c r="T703" s="56">
        <f t="shared" si="54"/>
        <v>0.29989939669994359</v>
      </c>
    </row>
    <row r="704" spans="1:20" x14ac:dyDescent="0.25">
      <c r="A704">
        <v>0.70795339598422558</v>
      </c>
      <c r="B704">
        <v>-1.306234480580315</v>
      </c>
      <c r="D704">
        <v>0.71988044907575566</v>
      </c>
      <c r="E704">
        <v>4.4639211830599379</v>
      </c>
      <c r="J704">
        <v>10</v>
      </c>
      <c r="K704">
        <v>0.45317335661820835</v>
      </c>
      <c r="L704">
        <v>7.1397770194186672</v>
      </c>
      <c r="M704">
        <v>20</v>
      </c>
      <c r="N704">
        <v>-9.1426617245815578E-2</v>
      </c>
      <c r="O704">
        <v>339.87219334434303</v>
      </c>
      <c r="P704" s="1">
        <f t="shared" si="50"/>
        <v>12.393284655848632</v>
      </c>
      <c r="Q704" s="1">
        <f t="shared" si="51"/>
        <v>1.8589926983772946</v>
      </c>
      <c r="R704" s="1">
        <f t="shared" si="52"/>
        <v>1.3634488249939176</v>
      </c>
      <c r="S704" s="1">
        <f t="shared" si="53"/>
        <v>0.39942824686981077</v>
      </c>
      <c r="T704" s="56">
        <f t="shared" si="54"/>
        <v>0.6536959122982372</v>
      </c>
    </row>
    <row r="705" spans="1:20" x14ac:dyDescent="0.25">
      <c r="A705">
        <v>0.70931933007979775</v>
      </c>
      <c r="B705">
        <v>-1.3327235137694515</v>
      </c>
      <c r="D705">
        <v>0.72070433018547664</v>
      </c>
      <c r="E705">
        <v>0.62663229641657381</v>
      </c>
      <c r="J705">
        <v>10</v>
      </c>
      <c r="K705">
        <v>3.0816977414360736E-2</v>
      </c>
      <c r="L705">
        <v>6.285310962153746</v>
      </c>
      <c r="M705">
        <v>20</v>
      </c>
      <c r="N705">
        <v>5.2161052508381545E-2</v>
      </c>
      <c r="O705">
        <v>131.39608288066441</v>
      </c>
      <c r="P705" s="1">
        <f t="shared" si="50"/>
        <v>4.9171926372435051</v>
      </c>
      <c r="Q705" s="1">
        <f t="shared" si="51"/>
        <v>0.73757889558652578</v>
      </c>
      <c r="R705" s="1">
        <f t="shared" si="52"/>
        <v>0.85882413542385139</v>
      </c>
      <c r="S705" s="1">
        <f t="shared" si="53"/>
        <v>-2.4852672641165318E-2</v>
      </c>
      <c r="T705" s="56">
        <f t="shared" si="54"/>
        <v>0.49017437789386392</v>
      </c>
    </row>
    <row r="706" spans="1:20" x14ac:dyDescent="0.25">
      <c r="A706">
        <v>0.70962746904042484</v>
      </c>
      <c r="B706">
        <v>0.88576598500367254</v>
      </c>
      <c r="D706">
        <v>0.72469612908777914</v>
      </c>
      <c r="E706">
        <v>-1.2563832603973424</v>
      </c>
      <c r="J706">
        <v>10</v>
      </c>
      <c r="K706">
        <v>-4.9218101594306063E-2</v>
      </c>
      <c r="L706">
        <v>12.960985128851263</v>
      </c>
      <c r="M706">
        <v>20</v>
      </c>
      <c r="N706">
        <v>1.0133840044090903</v>
      </c>
      <c r="O706">
        <v>242.03075797363468</v>
      </c>
      <c r="P706" s="1">
        <f t="shared" ref="P706:P769" si="55">(L706+O706)/(J706+M706-2)</f>
        <v>9.1068479679459262</v>
      </c>
      <c r="Q706" s="1">
        <f t="shared" ref="Q706:Q769" si="56">P706*0.15</f>
        <v>1.366027195191889</v>
      </c>
      <c r="R706" s="1">
        <f t="shared" ref="R706:R769" si="57">SQRT(Q706)</f>
        <v>1.1687716608439345</v>
      </c>
      <c r="S706" s="1">
        <f t="shared" ref="S706:S769" si="58">(K706-N706)/R706</f>
        <v>-0.90916142271632738</v>
      </c>
      <c r="T706" s="56">
        <f t="shared" ref="T706:T769" si="59">_xlfn.T.DIST(S706,28,TRUE)</f>
        <v>0.1855123428236774</v>
      </c>
    </row>
    <row r="707" spans="1:20" x14ac:dyDescent="0.25">
      <c r="A707">
        <v>0.71228733326844318</v>
      </c>
      <c r="B707">
        <v>1.4366332834470086</v>
      </c>
      <c r="D707">
        <v>0.7259837814830532</v>
      </c>
      <c r="E707">
        <v>-3.7344232202940475</v>
      </c>
      <c r="J707">
        <v>10</v>
      </c>
      <c r="K707">
        <v>-0.17587842648936203</v>
      </c>
      <c r="L707">
        <v>6.5229242004858081</v>
      </c>
      <c r="M707">
        <v>20</v>
      </c>
      <c r="N707">
        <v>-1.4284383985341265</v>
      </c>
      <c r="O707">
        <v>276.52179131493978</v>
      </c>
      <c r="P707" s="1">
        <f t="shared" si="55"/>
        <v>10.108739839836629</v>
      </c>
      <c r="Q707" s="1">
        <f t="shared" si="56"/>
        <v>1.5163109759754942</v>
      </c>
      <c r="R707" s="1">
        <f t="shared" si="57"/>
        <v>1.2313857949381641</v>
      </c>
      <c r="S707" s="1">
        <f t="shared" si="58"/>
        <v>1.0171954047168976</v>
      </c>
      <c r="T707" s="56">
        <f t="shared" si="59"/>
        <v>0.84111509726518974</v>
      </c>
    </row>
    <row r="708" spans="1:20" x14ac:dyDescent="0.25">
      <c r="A708">
        <v>0.71486593728412817</v>
      </c>
      <c r="B708">
        <v>-0.82531641965033486</v>
      </c>
      <c r="D708">
        <v>0.72651626941523018</v>
      </c>
      <c r="E708">
        <v>-0.66749453594638908</v>
      </c>
      <c r="J708">
        <v>10</v>
      </c>
      <c r="K708">
        <v>0.4090501306563965</v>
      </c>
      <c r="L708">
        <v>16.116470366086315</v>
      </c>
      <c r="M708">
        <v>20</v>
      </c>
      <c r="N708">
        <v>-1.1087993846103927</v>
      </c>
      <c r="O708">
        <v>157.11402758169328</v>
      </c>
      <c r="P708" s="1">
        <f t="shared" si="55"/>
        <v>6.1868034981349851</v>
      </c>
      <c r="Q708" s="1">
        <f t="shared" si="56"/>
        <v>0.92802052472024776</v>
      </c>
      <c r="R708" s="1">
        <f t="shared" si="57"/>
        <v>0.96333821927724206</v>
      </c>
      <c r="S708" s="1">
        <f t="shared" si="58"/>
        <v>1.5756143428063893</v>
      </c>
      <c r="T708" s="56">
        <f t="shared" si="59"/>
        <v>0.93682627574783461</v>
      </c>
    </row>
    <row r="709" spans="1:20" x14ac:dyDescent="0.25">
      <c r="A709">
        <v>0.71583261479501969</v>
      </c>
      <c r="B709">
        <v>-0.44515331865113694</v>
      </c>
      <c r="D709">
        <v>0.72694421057211656</v>
      </c>
      <c r="E709">
        <v>-2.3296972847219877</v>
      </c>
      <c r="J709">
        <v>10</v>
      </c>
      <c r="K709">
        <v>0.25837812245299574</v>
      </c>
      <c r="L709">
        <v>6.4031671786281263</v>
      </c>
      <c r="M709">
        <v>20</v>
      </c>
      <c r="N709">
        <v>-1.2494672353113856</v>
      </c>
      <c r="O709">
        <v>195.27393094198578</v>
      </c>
      <c r="P709" s="1">
        <f t="shared" si="55"/>
        <v>7.2027535043076396</v>
      </c>
      <c r="Q709" s="1">
        <f t="shared" si="56"/>
        <v>1.0804130256461459</v>
      </c>
      <c r="R709" s="1">
        <f t="shared" si="57"/>
        <v>1.039429182602714</v>
      </c>
      <c r="S709" s="1">
        <f t="shared" si="58"/>
        <v>1.4506475121169493</v>
      </c>
      <c r="T709" s="56">
        <f t="shared" si="59"/>
        <v>0.92100529519729546</v>
      </c>
    </row>
    <row r="710" spans="1:20" x14ac:dyDescent="0.25">
      <c r="A710">
        <v>0.71703118078001615</v>
      </c>
      <c r="B710">
        <v>0.13933231457485817</v>
      </c>
      <c r="D710">
        <v>0.7269921571182516</v>
      </c>
      <c r="E710">
        <v>-1.414062356843715</v>
      </c>
      <c r="J710">
        <v>10</v>
      </c>
      <c r="K710">
        <v>-0.17258525986107998</v>
      </c>
      <c r="L710">
        <v>7.7542344975502768</v>
      </c>
      <c r="M710">
        <v>20</v>
      </c>
      <c r="N710">
        <v>0.66137408452959789</v>
      </c>
      <c r="O710">
        <v>226.9108663844728</v>
      </c>
      <c r="P710" s="1">
        <f t="shared" si="55"/>
        <v>8.3808964600722522</v>
      </c>
      <c r="Q710" s="1">
        <f t="shared" si="56"/>
        <v>1.2571344690108377</v>
      </c>
      <c r="R710" s="1">
        <f t="shared" si="57"/>
        <v>1.121220080542102</v>
      </c>
      <c r="S710" s="1">
        <f t="shared" si="58"/>
        <v>-0.74379629732234587</v>
      </c>
      <c r="T710" s="56">
        <f t="shared" si="59"/>
        <v>0.23159806331386901</v>
      </c>
    </row>
    <row r="711" spans="1:20" x14ac:dyDescent="0.25">
      <c r="A711">
        <v>0.71793589077372721</v>
      </c>
      <c r="B711">
        <v>2.0235120246070437E-2</v>
      </c>
      <c r="D711">
        <v>0.72819684402193141</v>
      </c>
      <c r="E711">
        <v>1.7227905539130006</v>
      </c>
      <c r="J711">
        <v>10</v>
      </c>
      <c r="K711">
        <v>-3.1642684916732833E-2</v>
      </c>
      <c r="L711">
        <v>4.3432616311199856</v>
      </c>
      <c r="M711">
        <v>20</v>
      </c>
      <c r="N711">
        <v>-0.52979902761762787</v>
      </c>
      <c r="O711">
        <v>114.99878342009069</v>
      </c>
      <c r="P711" s="1">
        <f t="shared" si="55"/>
        <v>4.2622158946860953</v>
      </c>
      <c r="Q711" s="1">
        <f t="shared" si="56"/>
        <v>0.63933238420291427</v>
      </c>
      <c r="R711" s="1">
        <f t="shared" si="57"/>
        <v>0.7995826312539025</v>
      </c>
      <c r="S711" s="1">
        <f t="shared" si="58"/>
        <v>0.6230204649639377</v>
      </c>
      <c r="T711" s="56">
        <f t="shared" si="59"/>
        <v>0.73084349795554693</v>
      </c>
    </row>
    <row r="712" spans="1:20" x14ac:dyDescent="0.25">
      <c r="A712">
        <v>0.71888801043856754</v>
      </c>
      <c r="B712">
        <v>-5.8669229474617168E-2</v>
      </c>
      <c r="D712">
        <v>0.72889922617199754</v>
      </c>
      <c r="E712">
        <v>-7.5821724328761775</v>
      </c>
      <c r="J712">
        <v>10</v>
      </c>
      <c r="K712">
        <v>-0.18974662907567108</v>
      </c>
      <c r="L712">
        <v>13.399321513443946</v>
      </c>
      <c r="M712">
        <v>20</v>
      </c>
      <c r="N712">
        <v>-0.44720133359987813</v>
      </c>
      <c r="O712">
        <v>182.91307882063404</v>
      </c>
      <c r="P712" s="1">
        <f t="shared" si="55"/>
        <v>7.0111571547884992</v>
      </c>
      <c r="Q712" s="1">
        <f t="shared" si="56"/>
        <v>1.0516735732182749</v>
      </c>
      <c r="R712" s="1">
        <f t="shared" si="57"/>
        <v>1.0255113715694599</v>
      </c>
      <c r="S712" s="1">
        <f t="shared" si="58"/>
        <v>0.25105007283360886</v>
      </c>
      <c r="T712" s="56">
        <f t="shared" si="59"/>
        <v>0.59819567643124072</v>
      </c>
    </row>
    <row r="713" spans="1:20" x14ac:dyDescent="0.25">
      <c r="A713">
        <v>0.71925160807759903</v>
      </c>
      <c r="B713">
        <v>0.76322976383380592</v>
      </c>
      <c r="D713">
        <v>0.73014534831669586</v>
      </c>
      <c r="E713">
        <v>2.5767992576675169</v>
      </c>
      <c r="J713">
        <v>10</v>
      </c>
      <c r="K713">
        <v>0.32898572044359753</v>
      </c>
      <c r="L713">
        <v>7.1948171960385077</v>
      </c>
      <c r="M713">
        <v>20</v>
      </c>
      <c r="N713">
        <v>-1.2719456810827978</v>
      </c>
      <c r="O713">
        <v>187.11598144400148</v>
      </c>
      <c r="P713" s="1">
        <f t="shared" si="55"/>
        <v>6.9396713800014282</v>
      </c>
      <c r="Q713" s="1">
        <f t="shared" si="56"/>
        <v>1.0409507070002142</v>
      </c>
      <c r="R713" s="1">
        <f t="shared" si="57"/>
        <v>1.0202699186980935</v>
      </c>
      <c r="S713" s="1">
        <f t="shared" si="58"/>
        <v>1.5691253580907785</v>
      </c>
      <c r="T713" s="56">
        <f t="shared" si="59"/>
        <v>0.93607401751359021</v>
      </c>
    </row>
    <row r="714" spans="1:20" x14ac:dyDescent="0.25">
      <c r="A714">
        <v>0.72012805378512068</v>
      </c>
      <c r="B714">
        <v>0.12505552149377763</v>
      </c>
      <c r="D714">
        <v>0.7318182613509443</v>
      </c>
      <c r="E714">
        <v>-4.0315824242043163</v>
      </c>
      <c r="J714">
        <v>10</v>
      </c>
      <c r="K714">
        <v>-0.30975877507444238</v>
      </c>
      <c r="L714">
        <v>2.5395961676752985</v>
      </c>
      <c r="M714">
        <v>20</v>
      </c>
      <c r="N714">
        <v>0.37620349871758663</v>
      </c>
      <c r="O714">
        <v>243.39547658712968</v>
      </c>
      <c r="P714" s="1">
        <f t="shared" si="55"/>
        <v>8.7833954555287495</v>
      </c>
      <c r="Q714" s="1">
        <f t="shared" si="56"/>
        <v>1.3175093183293123</v>
      </c>
      <c r="R714" s="1">
        <f t="shared" si="57"/>
        <v>1.1478280874457256</v>
      </c>
      <c r="S714" s="1">
        <f t="shared" si="58"/>
        <v>-0.59761760606373415</v>
      </c>
      <c r="T714" s="56">
        <f t="shared" si="59"/>
        <v>0.27744903743108384</v>
      </c>
    </row>
    <row r="715" spans="1:20" x14ac:dyDescent="0.25">
      <c r="A715">
        <v>0.72031477488344808</v>
      </c>
      <c r="B715">
        <v>-0.34057848097290844</v>
      </c>
      <c r="D715">
        <v>0.73232448224988977</v>
      </c>
      <c r="E715">
        <v>-0.36999086091782374</v>
      </c>
      <c r="J715">
        <v>10</v>
      </c>
      <c r="K715">
        <v>0.16998046703520231</v>
      </c>
      <c r="L715">
        <v>12.241660962202962</v>
      </c>
      <c r="M715">
        <v>20</v>
      </c>
      <c r="N715">
        <v>0.41500322481624607</v>
      </c>
      <c r="O715">
        <v>192.60837568348774</v>
      </c>
      <c r="P715" s="1">
        <f t="shared" si="55"/>
        <v>7.3160727373460963</v>
      </c>
      <c r="Q715" s="1">
        <f t="shared" si="56"/>
        <v>1.0974109106019143</v>
      </c>
      <c r="R715" s="1">
        <f t="shared" si="57"/>
        <v>1.0475738210751138</v>
      </c>
      <c r="S715" s="1">
        <f t="shared" si="58"/>
        <v>-0.23389545715220292</v>
      </c>
      <c r="T715" s="56">
        <f t="shared" si="59"/>
        <v>0.4083839353104094</v>
      </c>
    </row>
    <row r="716" spans="1:20" x14ac:dyDescent="0.25">
      <c r="A716">
        <v>0.72046484650483944</v>
      </c>
      <c r="B716">
        <v>0.54825932238600217</v>
      </c>
      <c r="D716">
        <v>0.73357212442231656</v>
      </c>
      <c r="E716">
        <v>4.0434481400097866</v>
      </c>
      <c r="J716">
        <v>10</v>
      </c>
      <c r="K716">
        <v>7.398864454444265E-2</v>
      </c>
      <c r="L716">
        <v>8.0343857292104151</v>
      </c>
      <c r="M716">
        <v>20</v>
      </c>
      <c r="N716">
        <v>-1.2694706049387605</v>
      </c>
      <c r="O716">
        <v>203.27743304882526</v>
      </c>
      <c r="P716" s="1">
        <f t="shared" si="55"/>
        <v>7.5468506706441314</v>
      </c>
      <c r="Q716" s="1">
        <f t="shared" si="56"/>
        <v>1.1320276005966197</v>
      </c>
      <c r="R716" s="1">
        <f t="shared" si="57"/>
        <v>1.0639678569377082</v>
      </c>
      <c r="S716" s="1">
        <f t="shared" si="58"/>
        <v>1.2626878159175989</v>
      </c>
      <c r="T716" s="56">
        <f t="shared" si="59"/>
        <v>0.89144178328902202</v>
      </c>
    </row>
    <row r="717" spans="1:20" x14ac:dyDescent="0.25">
      <c r="A717">
        <v>0.72130852116227839</v>
      </c>
      <c r="B717">
        <v>-1.1220322448934894</v>
      </c>
      <c r="D717">
        <v>0.73399699490014148</v>
      </c>
      <c r="E717">
        <v>2.7627727342860453</v>
      </c>
      <c r="J717">
        <v>10</v>
      </c>
      <c r="K717">
        <v>-0.29266300316521665</v>
      </c>
      <c r="L717">
        <v>9.6846889300369572</v>
      </c>
      <c r="M717">
        <v>20</v>
      </c>
      <c r="N717">
        <v>1.1692406440033665</v>
      </c>
      <c r="O717">
        <v>128.44890539561916</v>
      </c>
      <c r="P717" s="1">
        <f t="shared" si="55"/>
        <v>4.9333426544877188</v>
      </c>
      <c r="Q717" s="1">
        <f t="shared" si="56"/>
        <v>0.7400013981731578</v>
      </c>
      <c r="R717" s="1">
        <f t="shared" si="57"/>
        <v>0.8602333393755196</v>
      </c>
      <c r="S717" s="1">
        <f t="shared" si="58"/>
        <v>-1.69942686507575</v>
      </c>
      <c r="T717" s="56">
        <f t="shared" si="59"/>
        <v>5.016209105011548E-2</v>
      </c>
    </row>
    <row r="718" spans="1:20" x14ac:dyDescent="0.25">
      <c r="A718">
        <v>0.72460986302811647</v>
      </c>
      <c r="B718">
        <v>1.1230372365389485</v>
      </c>
      <c r="D718">
        <v>0.7390330146437688</v>
      </c>
      <c r="E718">
        <v>-1.917048169843838</v>
      </c>
      <c r="J718">
        <v>10</v>
      </c>
      <c r="K718">
        <v>2.5476651899225544E-2</v>
      </c>
      <c r="L718">
        <v>2.8714389214999354</v>
      </c>
      <c r="M718">
        <v>20</v>
      </c>
      <c r="N718">
        <v>0.46592748162765929</v>
      </c>
      <c r="O718">
        <v>171.86644565900093</v>
      </c>
      <c r="P718" s="1">
        <f t="shared" si="55"/>
        <v>6.240638735017888</v>
      </c>
      <c r="Q718" s="1">
        <f t="shared" si="56"/>
        <v>0.93609581025268318</v>
      </c>
      <c r="R718" s="1">
        <f t="shared" si="57"/>
        <v>0.96752044435902396</v>
      </c>
      <c r="S718" s="1">
        <f t="shared" si="58"/>
        <v>-0.45523671597475085</v>
      </c>
      <c r="T718" s="56">
        <f t="shared" si="59"/>
        <v>0.32622471032125389</v>
      </c>
    </row>
    <row r="719" spans="1:20" x14ac:dyDescent="0.25">
      <c r="A719">
        <v>0.72500714312240089</v>
      </c>
      <c r="B719">
        <v>0.68651843321276829</v>
      </c>
      <c r="D719">
        <v>0.74027152133896446</v>
      </c>
      <c r="E719">
        <v>3.1085535249530949</v>
      </c>
      <c r="J719">
        <v>10</v>
      </c>
      <c r="K719">
        <v>-0.2644509322635713</v>
      </c>
      <c r="L719">
        <v>3.3609930998850568</v>
      </c>
      <c r="M719">
        <v>20</v>
      </c>
      <c r="N719">
        <v>-0.80676369748289289</v>
      </c>
      <c r="O719">
        <v>212.58199156065101</v>
      </c>
      <c r="P719" s="1">
        <f t="shared" si="55"/>
        <v>7.7122494521620029</v>
      </c>
      <c r="Q719" s="1">
        <f t="shared" si="56"/>
        <v>1.1568374178243004</v>
      </c>
      <c r="R719" s="1">
        <f t="shared" si="57"/>
        <v>1.0755637674374776</v>
      </c>
      <c r="S719" s="1">
        <f t="shared" si="58"/>
        <v>0.50421256427350425</v>
      </c>
      <c r="T719" s="56">
        <f t="shared" si="59"/>
        <v>0.69097160307259742</v>
      </c>
    </row>
    <row r="720" spans="1:20" x14ac:dyDescent="0.25">
      <c r="A720">
        <v>0.72527610209528848</v>
      </c>
      <c r="B720">
        <v>0.86344925875891931</v>
      </c>
      <c r="D720">
        <v>0.74141954158724921</v>
      </c>
      <c r="E720">
        <v>-0.13423619179775415</v>
      </c>
      <c r="J720">
        <v>10</v>
      </c>
      <c r="K720">
        <v>0.21151015516807092</v>
      </c>
      <c r="L720">
        <v>6.42677781864335</v>
      </c>
      <c r="M720">
        <v>20</v>
      </c>
      <c r="N720">
        <v>-1.8328822761759511E-2</v>
      </c>
      <c r="O720">
        <v>164.16687757973449</v>
      </c>
      <c r="P720" s="1">
        <f t="shared" si="55"/>
        <v>6.0926305499420659</v>
      </c>
      <c r="Q720" s="1">
        <f t="shared" si="56"/>
        <v>0.91389458249130984</v>
      </c>
      <c r="R720" s="1">
        <f t="shared" si="57"/>
        <v>0.95597833787764763</v>
      </c>
      <c r="S720" s="1">
        <f t="shared" si="58"/>
        <v>0.24042278870051836</v>
      </c>
      <c r="T720" s="56">
        <f t="shared" si="59"/>
        <v>0.59412293204746092</v>
      </c>
    </row>
    <row r="721" spans="1:20" x14ac:dyDescent="0.25">
      <c r="A721">
        <v>0.7263916484193218</v>
      </c>
      <c r="B721">
        <v>-0.51530150813050568</v>
      </c>
      <c r="D721">
        <v>0.74190729640859709</v>
      </c>
      <c r="E721">
        <v>0.61720879443782906</v>
      </c>
      <c r="J721">
        <v>10</v>
      </c>
      <c r="K721">
        <v>0.88678791598795215</v>
      </c>
      <c r="L721">
        <v>7.1775128287740273</v>
      </c>
      <c r="M721">
        <v>20</v>
      </c>
      <c r="N721">
        <v>-0.72661584113120625</v>
      </c>
      <c r="O721">
        <v>125.38269453008937</v>
      </c>
      <c r="P721" s="1">
        <f t="shared" si="55"/>
        <v>4.7342931199594078</v>
      </c>
      <c r="Q721" s="1">
        <f t="shared" si="56"/>
        <v>0.71014396799391111</v>
      </c>
      <c r="R721" s="1">
        <f t="shared" si="57"/>
        <v>0.84270040227468213</v>
      </c>
      <c r="S721" s="1">
        <f t="shared" si="58"/>
        <v>1.9145638862449028</v>
      </c>
      <c r="T721" s="56">
        <f t="shared" si="59"/>
        <v>0.96709145280389375</v>
      </c>
    </row>
    <row r="722" spans="1:20" x14ac:dyDescent="0.25">
      <c r="A722">
        <v>0.72708439777390255</v>
      </c>
      <c r="B722">
        <v>-1.545367922517471</v>
      </c>
      <c r="D722">
        <v>0.74347799953767679</v>
      </c>
      <c r="E722">
        <v>2.701825220583487</v>
      </c>
      <c r="J722">
        <v>10</v>
      </c>
      <c r="K722">
        <v>0.14743250176252332</v>
      </c>
      <c r="L722">
        <v>12.837027076876513</v>
      </c>
      <c r="M722">
        <v>20</v>
      </c>
      <c r="N722">
        <v>-7.5141830393476994E-2</v>
      </c>
      <c r="O722">
        <v>171.95512009004187</v>
      </c>
      <c r="P722" s="1">
        <f t="shared" si="55"/>
        <v>6.5997195416756567</v>
      </c>
      <c r="Q722" s="1">
        <f t="shared" si="56"/>
        <v>0.98995793125134846</v>
      </c>
      <c r="R722" s="1">
        <f t="shared" si="57"/>
        <v>0.99496629654041469</v>
      </c>
      <c r="S722" s="1">
        <f t="shared" si="58"/>
        <v>0.22370037349999777</v>
      </c>
      <c r="T722" s="56">
        <f t="shared" si="59"/>
        <v>0.58769268889985282</v>
      </c>
    </row>
    <row r="723" spans="1:20" x14ac:dyDescent="0.25">
      <c r="A723">
        <v>0.7272735226399587</v>
      </c>
      <c r="B723">
        <v>0.93900553110870533</v>
      </c>
      <c r="D723">
        <v>0.74426135861378928</v>
      </c>
      <c r="E723">
        <v>-2.4819057705371961</v>
      </c>
      <c r="J723">
        <v>10</v>
      </c>
      <c r="K723">
        <v>-0.12124257864343235</v>
      </c>
      <c r="L723">
        <v>7.9745405626419545</v>
      </c>
      <c r="M723">
        <v>20</v>
      </c>
      <c r="N723">
        <v>1.0101048781052668</v>
      </c>
      <c r="O723">
        <v>259.71184183965738</v>
      </c>
      <c r="P723" s="1">
        <f t="shared" si="55"/>
        <v>9.560227942939262</v>
      </c>
      <c r="Q723" s="1">
        <f t="shared" si="56"/>
        <v>1.4340341914408892</v>
      </c>
      <c r="R723" s="1">
        <f t="shared" si="57"/>
        <v>1.1975116665155665</v>
      </c>
      <c r="S723" s="1">
        <f t="shared" si="58"/>
        <v>-0.94474858858002841</v>
      </c>
      <c r="T723" s="56">
        <f t="shared" si="59"/>
        <v>0.17643446735531082</v>
      </c>
    </row>
    <row r="724" spans="1:20" x14ac:dyDescent="0.25">
      <c r="A724">
        <v>0.727457960452493</v>
      </c>
      <c r="B724">
        <v>1.2484679245972075</v>
      </c>
      <c r="D724">
        <v>0.74474528391774142</v>
      </c>
      <c r="E724">
        <v>-3.5412601880580041</v>
      </c>
      <c r="J724">
        <v>10</v>
      </c>
      <c r="K724">
        <v>-0.3125221610389417</v>
      </c>
      <c r="L724">
        <v>3.8369977387042384</v>
      </c>
      <c r="M724">
        <v>20</v>
      </c>
      <c r="N724">
        <v>0.47496166303062637</v>
      </c>
      <c r="O724">
        <v>183.43047532449435</v>
      </c>
      <c r="P724" s="1">
        <f t="shared" si="55"/>
        <v>6.6881240379713782</v>
      </c>
      <c r="Q724" s="1">
        <f t="shared" si="56"/>
        <v>1.0032186056957066</v>
      </c>
      <c r="R724" s="1">
        <f t="shared" si="57"/>
        <v>1.0016080099997737</v>
      </c>
      <c r="S724" s="1">
        <f t="shared" si="58"/>
        <v>-0.78621957513074003</v>
      </c>
      <c r="T724" s="56">
        <f t="shared" si="59"/>
        <v>0.21917122144660772</v>
      </c>
    </row>
    <row r="725" spans="1:20" x14ac:dyDescent="0.25">
      <c r="A725">
        <v>0.7285407942459462</v>
      </c>
      <c r="B725">
        <v>-1.854114088928327</v>
      </c>
      <c r="D725">
        <v>0.74521362770306843</v>
      </c>
      <c r="E725">
        <v>-1.2954790270214289</v>
      </c>
      <c r="J725">
        <v>10</v>
      </c>
      <c r="K725">
        <v>-0.15428838651132537</v>
      </c>
      <c r="L725">
        <v>5.1783376741811677</v>
      </c>
      <c r="M725">
        <v>20</v>
      </c>
      <c r="N725">
        <v>0.1048555839133769</v>
      </c>
      <c r="O725">
        <v>219.560098036136</v>
      </c>
      <c r="P725" s="1">
        <f t="shared" si="55"/>
        <v>8.0263727039398987</v>
      </c>
      <c r="Q725" s="1">
        <f t="shared" si="56"/>
        <v>1.2039559055909848</v>
      </c>
      <c r="R725" s="1">
        <f t="shared" si="57"/>
        <v>1.0972492449717086</v>
      </c>
      <c r="S725" s="1">
        <f t="shared" si="58"/>
        <v>-0.23617602984213856</v>
      </c>
      <c r="T725" s="56">
        <f t="shared" si="59"/>
        <v>0.4075076100951705</v>
      </c>
    </row>
    <row r="726" spans="1:20" x14ac:dyDescent="0.25">
      <c r="A726">
        <v>0.72964840641030659</v>
      </c>
      <c r="B726">
        <v>0.70180135480768513</v>
      </c>
      <c r="D726">
        <v>0.74593743085287234</v>
      </c>
      <c r="E726">
        <v>2.1380249074809399</v>
      </c>
      <c r="J726">
        <v>10</v>
      </c>
      <c r="K726">
        <v>-0.45146759930503322</v>
      </c>
      <c r="L726">
        <v>13.177882738404209</v>
      </c>
      <c r="M726">
        <v>20</v>
      </c>
      <c r="N726">
        <v>-0.52177421480337216</v>
      </c>
      <c r="O726">
        <v>198.77394878594322</v>
      </c>
      <c r="P726" s="1">
        <f t="shared" si="55"/>
        <v>7.5697082687266937</v>
      </c>
      <c r="Q726" s="1">
        <f t="shared" si="56"/>
        <v>1.1354562403090041</v>
      </c>
      <c r="R726" s="1">
        <f t="shared" si="57"/>
        <v>1.0655778903060085</v>
      </c>
      <c r="S726" s="1">
        <f t="shared" si="58"/>
        <v>6.5979799447742446E-2</v>
      </c>
      <c r="T726" s="56">
        <f t="shared" si="59"/>
        <v>0.52606861783969827</v>
      </c>
    </row>
    <row r="727" spans="1:20" x14ac:dyDescent="0.25">
      <c r="A727">
        <v>0.72982703850506891</v>
      </c>
      <c r="B727">
        <v>0.48547690312261693</v>
      </c>
      <c r="D727">
        <v>0.74764458603057748</v>
      </c>
      <c r="E727">
        <v>3.4914758055037964</v>
      </c>
      <c r="J727">
        <v>10</v>
      </c>
      <c r="K727">
        <v>-0.34902791412605438</v>
      </c>
      <c r="L727">
        <v>7.0558454799901336</v>
      </c>
      <c r="M727">
        <v>20</v>
      </c>
      <c r="N727">
        <v>8.5329869534689351E-2</v>
      </c>
      <c r="O727">
        <v>189.48614170977794</v>
      </c>
      <c r="P727" s="1">
        <f t="shared" si="55"/>
        <v>7.0193566853488596</v>
      </c>
      <c r="Q727" s="1">
        <f t="shared" si="56"/>
        <v>1.0529035028023288</v>
      </c>
      <c r="R727" s="1">
        <f t="shared" si="57"/>
        <v>1.0261108628224969</v>
      </c>
      <c r="S727" s="1">
        <f t="shared" si="58"/>
        <v>-0.42330492678536402</v>
      </c>
      <c r="T727" s="56">
        <f t="shared" si="59"/>
        <v>0.33765332212504556</v>
      </c>
    </row>
    <row r="728" spans="1:20" x14ac:dyDescent="0.25">
      <c r="A728">
        <v>0.73081109333010053</v>
      </c>
      <c r="B728">
        <v>0.55824330047471449</v>
      </c>
      <c r="D728">
        <v>0.74793201041836688</v>
      </c>
      <c r="E728">
        <v>3.5748309949212853</v>
      </c>
      <c r="J728">
        <v>10</v>
      </c>
      <c r="K728">
        <v>-0.24902749373723054</v>
      </c>
      <c r="L728">
        <v>10.199707683458364</v>
      </c>
      <c r="M728">
        <v>20</v>
      </c>
      <c r="N728">
        <v>-0.61020370253572764</v>
      </c>
      <c r="O728">
        <v>116.25894516341263</v>
      </c>
      <c r="P728" s="1">
        <f t="shared" si="55"/>
        <v>4.5163804588168208</v>
      </c>
      <c r="Q728" s="1">
        <f t="shared" si="56"/>
        <v>0.6774570688225231</v>
      </c>
      <c r="R728" s="1">
        <f t="shared" si="57"/>
        <v>0.8230778024114872</v>
      </c>
      <c r="S728" s="1">
        <f t="shared" si="58"/>
        <v>0.43881174749253132</v>
      </c>
      <c r="T728" s="56">
        <f t="shared" si="59"/>
        <v>0.66791726651076144</v>
      </c>
    </row>
    <row r="729" spans="1:20" x14ac:dyDescent="0.25">
      <c r="A729">
        <v>0.73158264683434715</v>
      </c>
      <c r="B729">
        <v>0.25048848328879103</v>
      </c>
      <c r="D729">
        <v>0.74795385878298171</v>
      </c>
      <c r="E729">
        <v>6.2855935959760245</v>
      </c>
      <c r="J729">
        <v>10</v>
      </c>
      <c r="K729">
        <v>-6.722314083162928E-2</v>
      </c>
      <c r="L729">
        <v>12.546863565824784</v>
      </c>
      <c r="M729">
        <v>20</v>
      </c>
      <c r="N729">
        <v>-0.46923043214519566</v>
      </c>
      <c r="O729">
        <v>286.6469598300198</v>
      </c>
      <c r="P729" s="1">
        <f t="shared" si="55"/>
        <v>10.685493692708734</v>
      </c>
      <c r="Q729" s="1">
        <f t="shared" si="56"/>
        <v>1.6028240539063101</v>
      </c>
      <c r="R729" s="1">
        <f t="shared" si="57"/>
        <v>1.2660268772448355</v>
      </c>
      <c r="S729" s="1">
        <f t="shared" si="58"/>
        <v>0.31753456308007166</v>
      </c>
      <c r="T729" s="56">
        <f t="shared" si="59"/>
        <v>0.62340304208492614</v>
      </c>
    </row>
    <row r="730" spans="1:20" x14ac:dyDescent="0.25">
      <c r="A730">
        <v>0.73226619801826043</v>
      </c>
      <c r="B730">
        <v>0.45048182073514909</v>
      </c>
      <c r="D730">
        <v>0.74864015197428291</v>
      </c>
      <c r="E730">
        <v>-3.0953303883052286</v>
      </c>
      <c r="J730">
        <v>10</v>
      </c>
      <c r="K730">
        <v>0.29111743060639128</v>
      </c>
      <c r="L730">
        <v>7.6441975410629217</v>
      </c>
      <c r="M730">
        <v>20</v>
      </c>
      <c r="N730">
        <v>-0.19873857922902971</v>
      </c>
      <c r="O730">
        <v>123.16255754087319</v>
      </c>
      <c r="P730" s="1">
        <f t="shared" si="55"/>
        <v>4.6716698243548604</v>
      </c>
      <c r="Q730" s="1">
        <f t="shared" si="56"/>
        <v>0.70075047365322907</v>
      </c>
      <c r="R730" s="1">
        <f t="shared" si="57"/>
        <v>0.83710840018078247</v>
      </c>
      <c r="S730" s="1">
        <f t="shared" si="58"/>
        <v>0.58517631614929599</v>
      </c>
      <c r="T730" s="56">
        <f t="shared" si="59"/>
        <v>0.71844207376186187</v>
      </c>
    </row>
    <row r="731" spans="1:20" x14ac:dyDescent="0.25">
      <c r="A731">
        <v>0.73274311548064475</v>
      </c>
      <c r="B731">
        <v>0.37106019590282813</v>
      </c>
      <c r="D731">
        <v>0.75092128639862532</v>
      </c>
      <c r="E731">
        <v>2.3792979357040167</v>
      </c>
      <c r="J731">
        <v>10</v>
      </c>
      <c r="K731">
        <v>5.9092485571454745E-2</v>
      </c>
      <c r="L731">
        <v>5.6345560850222807</v>
      </c>
      <c r="M731">
        <v>20</v>
      </c>
      <c r="N731">
        <v>1.1591048371428769</v>
      </c>
      <c r="O731">
        <v>174.61664344036757</v>
      </c>
      <c r="P731" s="1">
        <f t="shared" si="55"/>
        <v>6.4375428401924939</v>
      </c>
      <c r="Q731" s="1">
        <f t="shared" si="56"/>
        <v>0.96563142602887408</v>
      </c>
      <c r="R731" s="1">
        <f t="shared" si="57"/>
        <v>0.98266547005014582</v>
      </c>
      <c r="S731" s="1">
        <f t="shared" si="58"/>
        <v>-1.1194169176569195</v>
      </c>
      <c r="T731" s="56">
        <f t="shared" si="59"/>
        <v>0.13623675985906344</v>
      </c>
    </row>
    <row r="732" spans="1:20" x14ac:dyDescent="0.25">
      <c r="A732">
        <v>0.7330250163426274</v>
      </c>
      <c r="B732">
        <v>1.3988096725370269</v>
      </c>
      <c r="D732">
        <v>0.7548655208510644</v>
      </c>
      <c r="E732">
        <v>3.4274451047622279</v>
      </c>
      <c r="J732">
        <v>10</v>
      </c>
      <c r="K732">
        <v>-4.596631697495468E-2</v>
      </c>
      <c r="L732">
        <v>25.401193731120642</v>
      </c>
      <c r="M732">
        <v>20</v>
      </c>
      <c r="N732">
        <v>0.74621697990551183</v>
      </c>
      <c r="O732">
        <v>259.53806882879735</v>
      </c>
      <c r="P732" s="1">
        <f t="shared" si="55"/>
        <v>10.176402234282786</v>
      </c>
      <c r="Q732" s="1">
        <f t="shared" si="56"/>
        <v>1.526460335142418</v>
      </c>
      <c r="R732" s="1">
        <f t="shared" si="57"/>
        <v>1.235500034456664</v>
      </c>
      <c r="S732" s="1">
        <f t="shared" si="58"/>
        <v>-0.64118435838720556</v>
      </c>
      <c r="T732" s="56">
        <f t="shared" si="59"/>
        <v>0.26330842203997518</v>
      </c>
    </row>
    <row r="733" spans="1:20" x14ac:dyDescent="0.25">
      <c r="A733">
        <v>0.73329505274335705</v>
      </c>
      <c r="B733">
        <v>0.46969944378361106</v>
      </c>
      <c r="D733">
        <v>0.75487901042533734</v>
      </c>
      <c r="E733">
        <v>1.0426544997699239</v>
      </c>
      <c r="J733">
        <v>10</v>
      </c>
      <c r="K733">
        <v>8.6917566477495711E-2</v>
      </c>
      <c r="L733">
        <v>5.4286943370797269</v>
      </c>
      <c r="M733">
        <v>20</v>
      </c>
      <c r="N733">
        <v>0.14855856647955079</v>
      </c>
      <c r="O733">
        <v>118.86592180666814</v>
      </c>
      <c r="P733" s="1">
        <f t="shared" si="55"/>
        <v>4.4390934337052812</v>
      </c>
      <c r="Q733" s="1">
        <f t="shared" si="56"/>
        <v>0.66586401505579218</v>
      </c>
      <c r="R733" s="1">
        <f t="shared" si="57"/>
        <v>0.81600491117136797</v>
      </c>
      <c r="S733" s="1">
        <f t="shared" si="58"/>
        <v>-7.5539986534603032E-2</v>
      </c>
      <c r="T733" s="56">
        <f t="shared" si="59"/>
        <v>0.47016111634860042</v>
      </c>
    </row>
    <row r="734" spans="1:20" x14ac:dyDescent="0.25">
      <c r="A734">
        <v>0.73380939584297278</v>
      </c>
      <c r="B734">
        <v>-1.2130658433306962</v>
      </c>
      <c r="D734">
        <v>0.75542009663368448</v>
      </c>
      <c r="E734">
        <v>1.7579879988716129</v>
      </c>
      <c r="J734">
        <v>10</v>
      </c>
      <c r="K734">
        <v>-0.40422196434519719</v>
      </c>
      <c r="L734">
        <v>8.0609853522905492</v>
      </c>
      <c r="M734">
        <v>20</v>
      </c>
      <c r="N734">
        <v>1.3406163895979262</v>
      </c>
      <c r="O734">
        <v>149.0868281420243</v>
      </c>
      <c r="P734" s="1">
        <f t="shared" si="55"/>
        <v>5.6124219105112445</v>
      </c>
      <c r="Q734" s="1">
        <f t="shared" si="56"/>
        <v>0.84186328657668663</v>
      </c>
      <c r="R734" s="1">
        <f t="shared" si="57"/>
        <v>0.91753108207661638</v>
      </c>
      <c r="S734" s="1">
        <f t="shared" si="58"/>
        <v>-1.9016667533421223</v>
      </c>
      <c r="T734" s="56">
        <f t="shared" si="59"/>
        <v>3.3774942624794246E-2</v>
      </c>
    </row>
    <row r="735" spans="1:20" x14ac:dyDescent="0.25">
      <c r="A735">
        <v>0.73549252368370077</v>
      </c>
      <c r="B735">
        <v>2.1689174900529906E-2</v>
      </c>
      <c r="D735">
        <v>0.75621601047235687</v>
      </c>
      <c r="E735">
        <v>0.10775306350296887</v>
      </c>
      <c r="J735">
        <v>10</v>
      </c>
      <c r="K735">
        <v>-0.30092610359133687</v>
      </c>
      <c r="L735">
        <v>2.763226384523839</v>
      </c>
      <c r="M735">
        <v>20</v>
      </c>
      <c r="N735">
        <v>-1.13440518475727</v>
      </c>
      <c r="O735">
        <v>216.73012152053855</v>
      </c>
      <c r="P735" s="1">
        <f t="shared" si="55"/>
        <v>7.8390481394665139</v>
      </c>
      <c r="Q735" s="1">
        <f t="shared" si="56"/>
        <v>1.1758572209199771</v>
      </c>
      <c r="R735" s="1">
        <f t="shared" si="57"/>
        <v>1.0843695038684817</v>
      </c>
      <c r="S735" s="1">
        <f t="shared" si="58"/>
        <v>0.76863013778283285</v>
      </c>
      <c r="T735" s="56">
        <f t="shared" si="59"/>
        <v>0.77572606935646271</v>
      </c>
    </row>
    <row r="736" spans="1:20" x14ac:dyDescent="0.25">
      <c r="A736">
        <v>0.73660441449037406</v>
      </c>
      <c r="B736">
        <v>1.5128625818761066</v>
      </c>
      <c r="D736">
        <v>0.75711538316950033</v>
      </c>
      <c r="E736">
        <v>1.7712552528337255</v>
      </c>
      <c r="J736">
        <v>10</v>
      </c>
      <c r="K736">
        <v>0.11778683983720839</v>
      </c>
      <c r="L736">
        <v>10.254230934581708</v>
      </c>
      <c r="M736">
        <v>20</v>
      </c>
      <c r="N736">
        <v>0.40951095684249594</v>
      </c>
      <c r="O736">
        <v>123.54656189634446</v>
      </c>
      <c r="P736" s="1">
        <f t="shared" si="55"/>
        <v>4.7785997439616485</v>
      </c>
      <c r="Q736" s="1">
        <f t="shared" si="56"/>
        <v>0.71678996159424724</v>
      </c>
      <c r="R736" s="1">
        <f t="shared" si="57"/>
        <v>0.84663449114375633</v>
      </c>
      <c r="S736" s="1">
        <f t="shared" si="58"/>
        <v>-0.34456913822538038</v>
      </c>
      <c r="T736" s="56">
        <f t="shared" si="59"/>
        <v>0.36649650931774957</v>
      </c>
    </row>
    <row r="737" spans="1:20" x14ac:dyDescent="0.25">
      <c r="A737">
        <v>0.73793550652612949</v>
      </c>
      <c r="B737">
        <v>2.4673454390722327E-2</v>
      </c>
      <c r="D737">
        <v>0.7577309997624786</v>
      </c>
      <c r="E737">
        <v>0.28053431947228091</v>
      </c>
      <c r="J737">
        <v>10</v>
      </c>
      <c r="K737">
        <v>-1.9145545593346469E-2</v>
      </c>
      <c r="L737">
        <v>5.003655480739722</v>
      </c>
      <c r="M737">
        <v>20</v>
      </c>
      <c r="N737">
        <v>-7.3153618131982512E-2</v>
      </c>
      <c r="O737">
        <v>205.46266970475949</v>
      </c>
      <c r="P737" s="1">
        <f t="shared" si="55"/>
        <v>7.5166544709106864</v>
      </c>
      <c r="Q737" s="1">
        <f t="shared" si="56"/>
        <v>1.127498170636603</v>
      </c>
      <c r="R737" s="1">
        <f t="shared" si="57"/>
        <v>1.0618371676658351</v>
      </c>
      <c r="S737" s="1">
        <f t="shared" si="58"/>
        <v>5.0862857491943268E-2</v>
      </c>
      <c r="T737" s="56">
        <f t="shared" si="59"/>
        <v>0.52010203902369656</v>
      </c>
    </row>
    <row r="738" spans="1:20" x14ac:dyDescent="0.25">
      <c r="A738">
        <v>0.73857508449305576</v>
      </c>
      <c r="B738">
        <v>8.3979330156580545E-2</v>
      </c>
      <c r="D738">
        <v>0.75787393627380362</v>
      </c>
      <c r="E738">
        <v>-5.0040960138630908</v>
      </c>
      <c r="J738">
        <v>10</v>
      </c>
      <c r="K738">
        <v>0.39089786696422379</v>
      </c>
      <c r="L738">
        <v>9.3961163016962352</v>
      </c>
      <c r="M738">
        <v>20</v>
      </c>
      <c r="N738">
        <v>-0.11791167139563186</v>
      </c>
      <c r="O738">
        <v>305.21852905703861</v>
      </c>
      <c r="P738" s="1">
        <f t="shared" si="55"/>
        <v>11.23623733424053</v>
      </c>
      <c r="Q738" s="1">
        <f t="shared" si="56"/>
        <v>1.6854356001360793</v>
      </c>
      <c r="R738" s="1">
        <f t="shared" si="57"/>
        <v>1.2982432746354127</v>
      </c>
      <c r="S738" s="1">
        <f t="shared" si="58"/>
        <v>0.39192156685945112</v>
      </c>
      <c r="T738" s="56">
        <f t="shared" si="59"/>
        <v>0.65095832524558217</v>
      </c>
    </row>
    <row r="739" spans="1:20" x14ac:dyDescent="0.25">
      <c r="A739">
        <v>0.73984336766690151</v>
      </c>
      <c r="B739">
        <v>0.76067408372182399</v>
      </c>
      <c r="D739">
        <v>0.75864229852744458</v>
      </c>
      <c r="E739">
        <v>5.2378478585524135E-2</v>
      </c>
      <c r="J739">
        <v>10</v>
      </c>
      <c r="K739">
        <v>-0.30690284802403767</v>
      </c>
      <c r="L739">
        <v>9.1820819732981054</v>
      </c>
      <c r="M739">
        <v>20</v>
      </c>
      <c r="N739">
        <v>0.36397136341292935</v>
      </c>
      <c r="O739">
        <v>269.18934953234731</v>
      </c>
      <c r="P739" s="1">
        <f t="shared" si="55"/>
        <v>9.9418368394873369</v>
      </c>
      <c r="Q739" s="1">
        <f t="shared" si="56"/>
        <v>1.4912755259231005</v>
      </c>
      <c r="R739" s="1">
        <f t="shared" si="57"/>
        <v>1.2211779255796842</v>
      </c>
      <c r="S739" s="1">
        <f t="shared" si="58"/>
        <v>-0.54936647427401541</v>
      </c>
      <c r="T739" s="56">
        <f t="shared" si="59"/>
        <v>0.29355457880127589</v>
      </c>
    </row>
    <row r="740" spans="1:20" x14ac:dyDescent="0.25">
      <c r="A740">
        <v>0.73995473444028337</v>
      </c>
      <c r="B740">
        <v>0.87102534962468781</v>
      </c>
      <c r="D740">
        <v>0.75905860929701308</v>
      </c>
      <c r="E740">
        <v>1.7790041476928309</v>
      </c>
      <c r="J740">
        <v>10</v>
      </c>
      <c r="K740">
        <v>0.16600995422777487</v>
      </c>
      <c r="L740">
        <v>6.7200865121374918</v>
      </c>
      <c r="M740">
        <v>20</v>
      </c>
      <c r="N740">
        <v>-0.31711914857623924</v>
      </c>
      <c r="O740">
        <v>260.71497621065129</v>
      </c>
      <c r="P740" s="1">
        <f t="shared" si="55"/>
        <v>9.5512522400995987</v>
      </c>
      <c r="Q740" s="1">
        <f t="shared" si="56"/>
        <v>1.4326878360149398</v>
      </c>
      <c r="R740" s="1">
        <f t="shared" si="57"/>
        <v>1.1969493874073958</v>
      </c>
      <c r="S740" s="1">
        <f t="shared" si="58"/>
        <v>0.40363369402817989</v>
      </c>
      <c r="T740" s="56">
        <f t="shared" si="59"/>
        <v>0.65522590297092587</v>
      </c>
    </row>
    <row r="741" spans="1:20" x14ac:dyDescent="0.25">
      <c r="A741">
        <v>0.74011156244293219</v>
      </c>
      <c r="B741">
        <v>1.5550358511973172</v>
      </c>
      <c r="D741">
        <v>0.75991398778273078</v>
      </c>
      <c r="E741">
        <v>0.27106647962682473</v>
      </c>
      <c r="J741">
        <v>10</v>
      </c>
      <c r="K741">
        <v>-0.33450362479925388</v>
      </c>
      <c r="L741">
        <v>6.3439140558490097</v>
      </c>
      <c r="M741">
        <v>20</v>
      </c>
      <c r="N741">
        <v>9.5012918563952553E-2</v>
      </c>
      <c r="O741">
        <v>169.0987920058686</v>
      </c>
      <c r="P741" s="1">
        <f t="shared" si="55"/>
        <v>6.2658109307756291</v>
      </c>
      <c r="Q741" s="1">
        <f t="shared" si="56"/>
        <v>0.93987163961634435</v>
      </c>
      <c r="R741" s="1">
        <f t="shared" si="57"/>
        <v>0.96946977240981802</v>
      </c>
      <c r="S741" s="1">
        <f t="shared" si="58"/>
        <v>-0.44304273901759111</v>
      </c>
      <c r="T741" s="56">
        <f t="shared" si="59"/>
        <v>0.33056951575329296</v>
      </c>
    </row>
    <row r="742" spans="1:20" x14ac:dyDescent="0.25">
      <c r="A742">
        <v>0.74020664142250703</v>
      </c>
      <c r="B742">
        <v>0.74584022513590753</v>
      </c>
      <c r="D742">
        <v>0.76023746427760319</v>
      </c>
      <c r="E742">
        <v>-2.1839962334979646</v>
      </c>
      <c r="J742">
        <v>10</v>
      </c>
      <c r="K742">
        <v>-0.13587430203187978</v>
      </c>
      <c r="L742">
        <v>5.1262881075806437</v>
      </c>
      <c r="M742">
        <v>20</v>
      </c>
      <c r="N742">
        <v>0.45003303853263787</v>
      </c>
      <c r="O742">
        <v>124.55072809588232</v>
      </c>
      <c r="P742" s="1">
        <f t="shared" si="55"/>
        <v>4.631322007266534</v>
      </c>
      <c r="Q742" s="1">
        <f t="shared" si="56"/>
        <v>0.6946983010899801</v>
      </c>
      <c r="R742" s="1">
        <f t="shared" si="57"/>
        <v>0.83348563340346793</v>
      </c>
      <c r="S742" s="1">
        <f t="shared" si="58"/>
        <v>-0.70296033558732707</v>
      </c>
      <c r="T742" s="56">
        <f t="shared" si="59"/>
        <v>0.2439422609312436</v>
      </c>
    </row>
    <row r="743" spans="1:20" x14ac:dyDescent="0.25">
      <c r="A743">
        <v>0.74104672306234309</v>
      </c>
      <c r="B743">
        <v>-0.16146032066899352</v>
      </c>
      <c r="D743">
        <v>0.76052160864137486</v>
      </c>
      <c r="E743">
        <v>-4.2348272052095126</v>
      </c>
      <c r="J743">
        <v>10</v>
      </c>
      <c r="K743">
        <v>-1.3607177606900223E-3</v>
      </c>
      <c r="L743">
        <v>6.0126187545100942</v>
      </c>
      <c r="M743">
        <v>20</v>
      </c>
      <c r="N743">
        <v>-1.5217170846426598</v>
      </c>
      <c r="O743">
        <v>138.42955351296607</v>
      </c>
      <c r="P743" s="1">
        <f t="shared" si="55"/>
        <v>5.15864900955272</v>
      </c>
      <c r="Q743" s="1">
        <f t="shared" si="56"/>
        <v>0.77379735143290795</v>
      </c>
      <c r="R743" s="1">
        <f t="shared" si="57"/>
        <v>0.87965751939769599</v>
      </c>
      <c r="S743" s="1">
        <f t="shared" si="58"/>
        <v>1.7283503333467349</v>
      </c>
      <c r="T743" s="56">
        <f t="shared" si="59"/>
        <v>0.95252996749486141</v>
      </c>
    </row>
    <row r="744" spans="1:20" x14ac:dyDescent="0.25">
      <c r="A744">
        <v>0.74278845458079923</v>
      </c>
      <c r="B744">
        <v>0.71497652243124321</v>
      </c>
      <c r="D744">
        <v>0.76072510339821164</v>
      </c>
      <c r="E744">
        <v>2.9936707016986475</v>
      </c>
      <c r="J744">
        <v>10</v>
      </c>
      <c r="K744">
        <v>-0.37862832868995611</v>
      </c>
      <c r="L744">
        <v>4.7207274446054148</v>
      </c>
      <c r="M744">
        <v>20</v>
      </c>
      <c r="N744">
        <v>0.71239213298213144</v>
      </c>
      <c r="O744">
        <v>128.91742862471287</v>
      </c>
      <c r="P744" s="1">
        <f t="shared" si="55"/>
        <v>4.7727912881899384</v>
      </c>
      <c r="Q744" s="1">
        <f t="shared" si="56"/>
        <v>0.71591869322849078</v>
      </c>
      <c r="R744" s="1">
        <f t="shared" si="57"/>
        <v>0.84611978657190778</v>
      </c>
      <c r="S744" s="1">
        <f t="shared" si="58"/>
        <v>-1.2894397211680935</v>
      </c>
      <c r="T744" s="56">
        <f t="shared" si="59"/>
        <v>0.10389771703294942</v>
      </c>
    </row>
    <row r="745" spans="1:20" x14ac:dyDescent="0.25">
      <c r="A745">
        <v>0.74331212351895459</v>
      </c>
      <c r="B745">
        <v>-0.89749164544628002</v>
      </c>
      <c r="D745">
        <v>0.76151813105606603</v>
      </c>
      <c r="E745">
        <v>3.6076137314466905</v>
      </c>
      <c r="J745">
        <v>10</v>
      </c>
      <c r="K745">
        <v>-0.55845862334535923</v>
      </c>
      <c r="L745">
        <v>5.893211747211315</v>
      </c>
      <c r="M745">
        <v>20</v>
      </c>
      <c r="N745">
        <v>1.1658861433261336</v>
      </c>
      <c r="O745">
        <v>159.74963833517927</v>
      </c>
      <c r="P745" s="1">
        <f t="shared" si="55"/>
        <v>5.9158160743710928</v>
      </c>
      <c r="Q745" s="1">
        <f t="shared" si="56"/>
        <v>0.8873724111556639</v>
      </c>
      <c r="R745" s="1">
        <f t="shared" si="57"/>
        <v>0.94200446450941189</v>
      </c>
      <c r="S745" s="1">
        <f t="shared" si="58"/>
        <v>-1.8305059388115716</v>
      </c>
      <c r="T745" s="56">
        <f t="shared" si="59"/>
        <v>3.8919065749422672E-2</v>
      </c>
    </row>
    <row r="746" spans="1:20" x14ac:dyDescent="0.25">
      <c r="A746">
        <v>0.74373883115218509</v>
      </c>
      <c r="B746">
        <v>0.54160409490577877</v>
      </c>
      <c r="D746">
        <v>0.76275894685767276</v>
      </c>
      <c r="E746">
        <v>6.4046919271731895</v>
      </c>
      <c r="J746">
        <v>10</v>
      </c>
      <c r="K746">
        <v>7.4835384111793246E-2</v>
      </c>
      <c r="L746">
        <v>11.05463235451476</v>
      </c>
      <c r="M746">
        <v>20</v>
      </c>
      <c r="N746">
        <v>0.43021963961109577</v>
      </c>
      <c r="O746">
        <v>149.33732266620657</v>
      </c>
      <c r="P746" s="1">
        <f t="shared" si="55"/>
        <v>5.7282841078829048</v>
      </c>
      <c r="Q746" s="1">
        <f t="shared" si="56"/>
        <v>0.85924261618243569</v>
      </c>
      <c r="R746" s="1">
        <f t="shared" si="57"/>
        <v>0.92695340561564132</v>
      </c>
      <c r="S746" s="1">
        <f t="shared" si="58"/>
        <v>-0.38338955695758198</v>
      </c>
      <c r="T746" s="56">
        <f t="shared" si="59"/>
        <v>0.35216326730346348</v>
      </c>
    </row>
    <row r="747" spans="1:20" x14ac:dyDescent="0.25">
      <c r="A747">
        <v>0.74397562233879377</v>
      </c>
      <c r="B747">
        <v>-0.54275460570352152</v>
      </c>
      <c r="D747">
        <v>0.76348985780059164</v>
      </c>
      <c r="E747">
        <v>3.0993380698873807</v>
      </c>
      <c r="J747">
        <v>10</v>
      </c>
      <c r="K747">
        <v>0.44574676394404378</v>
      </c>
      <c r="L747">
        <v>17.993254851993587</v>
      </c>
      <c r="M747">
        <v>20</v>
      </c>
      <c r="N747">
        <v>0.25929835715032823</v>
      </c>
      <c r="O747">
        <v>203.15546325197121</v>
      </c>
      <c r="P747" s="1">
        <f t="shared" si="55"/>
        <v>7.8981685037130287</v>
      </c>
      <c r="Q747" s="1">
        <f t="shared" si="56"/>
        <v>1.1847252755569542</v>
      </c>
      <c r="R747" s="1">
        <f t="shared" si="57"/>
        <v>1.0884508604236363</v>
      </c>
      <c r="S747" s="1">
        <f t="shared" si="58"/>
        <v>0.17129703652505535</v>
      </c>
      <c r="T747" s="56">
        <f t="shared" si="59"/>
        <v>0.56738892088634274</v>
      </c>
    </row>
    <row r="748" spans="1:20" x14ac:dyDescent="0.25">
      <c r="A748">
        <v>0.74433639243893535</v>
      </c>
      <c r="B748">
        <v>0.47611592890461907</v>
      </c>
      <c r="D748">
        <v>0.76377382497854873</v>
      </c>
      <c r="E748">
        <v>1.1779463841321558</v>
      </c>
      <c r="J748">
        <v>10</v>
      </c>
      <c r="K748">
        <v>-0.13254725672595669</v>
      </c>
      <c r="L748">
        <v>2.4429612184508942</v>
      </c>
      <c r="M748">
        <v>20</v>
      </c>
      <c r="N748">
        <v>7.8366778097915812E-2</v>
      </c>
      <c r="O748">
        <v>93.518524598132643</v>
      </c>
      <c r="P748" s="1">
        <f t="shared" si="55"/>
        <v>3.4271959220208403</v>
      </c>
      <c r="Q748" s="1">
        <f t="shared" si="56"/>
        <v>0.51407938830312605</v>
      </c>
      <c r="R748" s="1">
        <f t="shared" si="57"/>
        <v>0.71699329725118499</v>
      </c>
      <c r="S748" s="1">
        <f t="shared" si="58"/>
        <v>-0.29416458373108439</v>
      </c>
      <c r="T748" s="56">
        <f t="shared" si="59"/>
        <v>0.38540094169016575</v>
      </c>
    </row>
    <row r="749" spans="1:20" x14ac:dyDescent="0.25">
      <c r="A749">
        <v>0.74464337152682003</v>
      </c>
      <c r="B749">
        <v>0.27758005671785213</v>
      </c>
      <c r="D749">
        <v>0.76402083775565977</v>
      </c>
      <c r="E749">
        <v>1.2824746102069184</v>
      </c>
      <c r="J749">
        <v>10</v>
      </c>
      <c r="K749">
        <v>-0.65200561039091554</v>
      </c>
      <c r="L749">
        <v>12.31391537086653</v>
      </c>
      <c r="M749">
        <v>20</v>
      </c>
      <c r="N749">
        <v>0.71969406803873426</v>
      </c>
      <c r="O749">
        <v>222.57748778006848</v>
      </c>
      <c r="P749" s="1">
        <f t="shared" si="55"/>
        <v>8.3889786839619642</v>
      </c>
      <c r="Q749" s="1">
        <f t="shared" si="56"/>
        <v>1.2583468025942945</v>
      </c>
      <c r="R749" s="1">
        <f t="shared" si="57"/>
        <v>1.1217605816725307</v>
      </c>
      <c r="S749" s="1">
        <f t="shared" si="58"/>
        <v>-1.2228096626327012</v>
      </c>
      <c r="T749" s="56">
        <f t="shared" si="59"/>
        <v>0.11579727441976537</v>
      </c>
    </row>
    <row r="750" spans="1:20" x14ac:dyDescent="0.25">
      <c r="A750">
        <v>0.74509343791219318</v>
      </c>
      <c r="B750">
        <v>0.51259576139273122</v>
      </c>
      <c r="D750">
        <v>0.76424106113152646</v>
      </c>
      <c r="E750">
        <v>2.3940385710830014</v>
      </c>
      <c r="J750">
        <v>10</v>
      </c>
      <c r="K750">
        <v>-0.1412111032550456</v>
      </c>
      <c r="L750">
        <v>16.236269325207221</v>
      </c>
      <c r="M750">
        <v>20</v>
      </c>
      <c r="N750">
        <v>-0.51169996936550888</v>
      </c>
      <c r="O750">
        <v>212.21395263927417</v>
      </c>
      <c r="P750" s="1">
        <f t="shared" si="55"/>
        <v>8.1589364987314781</v>
      </c>
      <c r="Q750" s="1">
        <f t="shared" si="56"/>
        <v>1.2238404748097216</v>
      </c>
      <c r="R750" s="1">
        <f t="shared" si="57"/>
        <v>1.1062732369580861</v>
      </c>
      <c r="S750" s="1">
        <f t="shared" si="58"/>
        <v>0.3348981551150913</v>
      </c>
      <c r="T750" s="56">
        <f t="shared" si="59"/>
        <v>0.62990104281513237</v>
      </c>
    </row>
    <row r="751" spans="1:20" x14ac:dyDescent="0.25">
      <c r="A751">
        <v>0.74621323823529406</v>
      </c>
      <c r="B751">
        <v>-0.54497263590747025</v>
      </c>
      <c r="D751">
        <v>0.7642750311113492</v>
      </c>
      <c r="E751">
        <v>1.4738982338258211</v>
      </c>
      <c r="J751">
        <v>10</v>
      </c>
      <c r="K751">
        <v>-0.20197194317006506</v>
      </c>
      <c r="L751">
        <v>2.2343338701287498</v>
      </c>
      <c r="M751">
        <v>20</v>
      </c>
      <c r="N751">
        <v>5.525395977201697E-2</v>
      </c>
      <c r="O751">
        <v>125.15402937933915</v>
      </c>
      <c r="P751" s="1">
        <f t="shared" si="55"/>
        <v>4.5495844017667109</v>
      </c>
      <c r="Q751" s="1">
        <f t="shared" si="56"/>
        <v>0.68243766026500663</v>
      </c>
      <c r="R751" s="1">
        <f t="shared" si="57"/>
        <v>0.82609785150731785</v>
      </c>
      <c r="S751" s="1">
        <f t="shared" si="58"/>
        <v>-0.31137461799802713</v>
      </c>
      <c r="T751" s="56">
        <f t="shared" si="59"/>
        <v>0.37891120595800154</v>
      </c>
    </row>
    <row r="752" spans="1:20" x14ac:dyDescent="0.25">
      <c r="A752">
        <v>0.74683321994394003</v>
      </c>
      <c r="B752">
        <v>-0.48177867029153276</v>
      </c>
      <c r="D752">
        <v>0.76437960440654928</v>
      </c>
      <c r="E752">
        <v>3.3862108887205977</v>
      </c>
      <c r="J752">
        <v>10</v>
      </c>
      <c r="K752">
        <v>0.14222655408957507</v>
      </c>
      <c r="L752">
        <v>17.053471767879572</v>
      </c>
      <c r="M752">
        <v>20</v>
      </c>
      <c r="N752">
        <v>0.87875002577675332</v>
      </c>
      <c r="O752">
        <v>86.671272664981643</v>
      </c>
      <c r="P752" s="1">
        <f t="shared" si="55"/>
        <v>3.7044551583164718</v>
      </c>
      <c r="Q752" s="1">
        <f t="shared" si="56"/>
        <v>0.55566827374747074</v>
      </c>
      <c r="R752" s="1">
        <f t="shared" si="57"/>
        <v>0.74543160232678007</v>
      </c>
      <c r="S752" s="1">
        <f t="shared" si="58"/>
        <v>-0.98804970085545596</v>
      </c>
      <c r="T752" s="56">
        <f t="shared" si="59"/>
        <v>0.16579507835118679</v>
      </c>
    </row>
    <row r="753" spans="1:20" x14ac:dyDescent="0.25">
      <c r="A753">
        <v>0.74686847381204358</v>
      </c>
      <c r="B753">
        <v>-0.11349925443937536</v>
      </c>
      <c r="D753">
        <v>0.76442719960035543</v>
      </c>
      <c r="E753">
        <v>-4.9618454374922294</v>
      </c>
      <c r="J753">
        <v>10</v>
      </c>
      <c r="K753">
        <v>9.7418592304165941E-2</v>
      </c>
      <c r="L753">
        <v>7.0404237744950766</v>
      </c>
      <c r="M753">
        <v>20</v>
      </c>
      <c r="N753">
        <v>-0.82586547364371654</v>
      </c>
      <c r="O753">
        <v>167.28354325643886</v>
      </c>
      <c r="P753" s="1">
        <f t="shared" si="55"/>
        <v>6.2258559653904983</v>
      </c>
      <c r="Q753" s="1">
        <f t="shared" si="56"/>
        <v>0.93387839480857471</v>
      </c>
      <c r="R753" s="1">
        <f t="shared" si="57"/>
        <v>0.96637383801951859</v>
      </c>
      <c r="S753" s="1">
        <f t="shared" si="58"/>
        <v>0.95541086650281837</v>
      </c>
      <c r="T753" s="56">
        <f t="shared" si="59"/>
        <v>0.82622673682988768</v>
      </c>
    </row>
    <row r="754" spans="1:20" x14ac:dyDescent="0.25">
      <c r="A754">
        <v>0.74718359722314753</v>
      </c>
      <c r="B754">
        <v>-0.8930373951443471</v>
      </c>
      <c r="D754">
        <v>0.76453326940576072</v>
      </c>
      <c r="E754">
        <v>0.7136538863505848</v>
      </c>
      <c r="J754">
        <v>10</v>
      </c>
      <c r="K754">
        <v>-0.45271428916748846</v>
      </c>
      <c r="L754">
        <v>9.3173193752001922</v>
      </c>
      <c r="M754">
        <v>20</v>
      </c>
      <c r="N754">
        <v>0.29223064871075621</v>
      </c>
      <c r="O754">
        <v>121.58146186590947</v>
      </c>
      <c r="P754" s="1">
        <f t="shared" si="55"/>
        <v>4.6749564728967741</v>
      </c>
      <c r="Q754" s="1">
        <f t="shared" si="56"/>
        <v>0.70124347093451611</v>
      </c>
      <c r="R754" s="1">
        <f t="shared" si="57"/>
        <v>0.83740281282935525</v>
      </c>
      <c r="S754" s="1">
        <f t="shared" si="58"/>
        <v>-0.88958972487957055</v>
      </c>
      <c r="T754" s="56">
        <f t="shared" si="59"/>
        <v>0.19063294058854691</v>
      </c>
    </row>
    <row r="755" spans="1:20" x14ac:dyDescent="0.25">
      <c r="A755">
        <v>0.74810808021684971</v>
      </c>
      <c r="B755">
        <v>-0.1142689143307507</v>
      </c>
      <c r="D755">
        <v>0.76469535039393621</v>
      </c>
      <c r="E755">
        <v>0.78771176617919991</v>
      </c>
      <c r="J755">
        <v>10</v>
      </c>
      <c r="K755">
        <v>4.1142698137264233E-2</v>
      </c>
      <c r="L755">
        <v>8.0579015060812935</v>
      </c>
      <c r="M755">
        <v>20</v>
      </c>
      <c r="N755">
        <v>0.23794677531441266</v>
      </c>
      <c r="O755">
        <v>189.99736837814368</v>
      </c>
      <c r="P755" s="1">
        <f t="shared" si="55"/>
        <v>7.0734024958651771</v>
      </c>
      <c r="Q755" s="1">
        <f t="shared" si="56"/>
        <v>1.0610103743797765</v>
      </c>
      <c r="R755" s="1">
        <f t="shared" si="57"/>
        <v>1.0300535784024909</v>
      </c>
      <c r="S755" s="1">
        <f t="shared" si="58"/>
        <v>-0.19106198095284682</v>
      </c>
      <c r="T755" s="56">
        <f t="shared" si="59"/>
        <v>0.42492785535758032</v>
      </c>
    </row>
    <row r="756" spans="1:20" x14ac:dyDescent="0.25">
      <c r="A756">
        <v>0.74893555547508617</v>
      </c>
      <c r="B756">
        <v>0.75455773185240105</v>
      </c>
      <c r="D756">
        <v>0.76475294878993627</v>
      </c>
      <c r="E756">
        <v>-1.7795428027511662</v>
      </c>
      <c r="J756">
        <v>10</v>
      </c>
      <c r="K756">
        <v>0.18707055460254196</v>
      </c>
      <c r="L756">
        <v>12.107899421713302</v>
      </c>
      <c r="M756">
        <v>20</v>
      </c>
      <c r="N756">
        <v>0.17632549656809715</v>
      </c>
      <c r="O756">
        <v>303.72751567893903</v>
      </c>
      <c r="P756" s="1">
        <f t="shared" si="55"/>
        <v>11.279836253594725</v>
      </c>
      <c r="Q756" s="1">
        <f t="shared" si="56"/>
        <v>1.6919754380392087</v>
      </c>
      <c r="R756" s="1">
        <f t="shared" si="57"/>
        <v>1.3007595619633971</v>
      </c>
      <c r="S756" s="1">
        <f t="shared" si="58"/>
        <v>8.2606027652227798E-3</v>
      </c>
      <c r="T756" s="56">
        <f t="shared" si="59"/>
        <v>0.5032661782495419</v>
      </c>
    </row>
    <row r="757" spans="1:20" x14ac:dyDescent="0.25">
      <c r="A757">
        <v>0.75037339253413327</v>
      </c>
      <c r="B757">
        <v>0.35846824175678194</v>
      </c>
      <c r="D757">
        <v>0.76601671406560179</v>
      </c>
      <c r="E757">
        <v>2.0600516529611923</v>
      </c>
      <c r="J757">
        <v>10</v>
      </c>
      <c r="K757">
        <v>0.23228585632750764</v>
      </c>
      <c r="L757">
        <v>6.2216535872654024</v>
      </c>
      <c r="M757">
        <v>20</v>
      </c>
      <c r="N757">
        <v>0.85652345319431333</v>
      </c>
      <c r="O757">
        <v>196.53445453120514</v>
      </c>
      <c r="P757" s="1">
        <f t="shared" si="55"/>
        <v>7.2412895756596622</v>
      </c>
      <c r="Q757" s="1">
        <f t="shared" si="56"/>
        <v>1.0861934363489494</v>
      </c>
      <c r="R757" s="1">
        <f t="shared" si="57"/>
        <v>1.0422060431358808</v>
      </c>
      <c r="S757" s="1">
        <f t="shared" si="58"/>
        <v>-0.59895795171993527</v>
      </c>
      <c r="T757" s="56">
        <f t="shared" si="59"/>
        <v>0.27700822196882879</v>
      </c>
    </row>
    <row r="758" spans="1:20" x14ac:dyDescent="0.25">
      <c r="A758">
        <v>0.75105548184684967</v>
      </c>
      <c r="B758">
        <v>-0.22561948753718752</v>
      </c>
      <c r="D758">
        <v>0.76842566612951857</v>
      </c>
      <c r="E758">
        <v>-3.8778118812388129</v>
      </c>
      <c r="J758">
        <v>10</v>
      </c>
      <c r="K758">
        <v>0.48072035951918224</v>
      </c>
      <c r="L758">
        <v>15.675560051715838</v>
      </c>
      <c r="M758">
        <v>20</v>
      </c>
      <c r="N758">
        <v>0.15183121263362409</v>
      </c>
      <c r="O758">
        <v>189.98033650321386</v>
      </c>
      <c r="P758" s="1">
        <f t="shared" si="55"/>
        <v>7.3448534483903467</v>
      </c>
      <c r="Q758" s="1">
        <f t="shared" si="56"/>
        <v>1.101728017258552</v>
      </c>
      <c r="R758" s="1">
        <f t="shared" si="57"/>
        <v>1.0496323247969033</v>
      </c>
      <c r="S758" s="1">
        <f t="shared" si="58"/>
        <v>0.31333747933991646</v>
      </c>
      <c r="T758" s="56">
        <f t="shared" si="59"/>
        <v>0.62182672894759961</v>
      </c>
    </row>
    <row r="759" spans="1:20" x14ac:dyDescent="0.25">
      <c r="A759">
        <v>0.75246111131237114</v>
      </c>
      <c r="B759">
        <v>1.2461373444239143</v>
      </c>
      <c r="D759">
        <v>0.77085546042508413</v>
      </c>
      <c r="E759">
        <v>3.2543978215926472</v>
      </c>
      <c r="J759">
        <v>10</v>
      </c>
      <c r="K759">
        <v>-0.1683699792920379</v>
      </c>
      <c r="L759">
        <v>23.744163188032438</v>
      </c>
      <c r="M759">
        <v>20</v>
      </c>
      <c r="N759">
        <v>0.79993588656179782</v>
      </c>
      <c r="O759">
        <v>215.34387321702661</v>
      </c>
      <c r="P759" s="1">
        <f t="shared" si="55"/>
        <v>8.5388584430378227</v>
      </c>
      <c r="Q759" s="1">
        <f t="shared" si="56"/>
        <v>1.2808287664556735</v>
      </c>
      <c r="R759" s="1">
        <f t="shared" si="57"/>
        <v>1.1317370571186902</v>
      </c>
      <c r="S759" s="1">
        <f t="shared" si="58"/>
        <v>-0.85559261293348743</v>
      </c>
      <c r="T759" s="56">
        <f t="shared" si="59"/>
        <v>0.19974285457359647</v>
      </c>
    </row>
    <row r="760" spans="1:20" x14ac:dyDescent="0.25">
      <c r="A760">
        <v>0.75304018116030502</v>
      </c>
      <c r="B760">
        <v>-0.68226427174522541</v>
      </c>
      <c r="D760">
        <v>0.77088708145299312</v>
      </c>
      <c r="E760">
        <v>7.6190856327684742</v>
      </c>
      <c r="J760">
        <v>10</v>
      </c>
      <c r="K760">
        <v>-0.37884217363171047</v>
      </c>
      <c r="L760">
        <v>5.7741710002017363</v>
      </c>
      <c r="M760">
        <v>20</v>
      </c>
      <c r="N760">
        <v>3.7454352650456713E-2</v>
      </c>
      <c r="O760">
        <v>220.59874181300921</v>
      </c>
      <c r="P760" s="1">
        <f t="shared" si="55"/>
        <v>8.0847468861861049</v>
      </c>
      <c r="Q760" s="1">
        <f t="shared" si="56"/>
        <v>1.2127120329279157</v>
      </c>
      <c r="R760" s="1">
        <f t="shared" si="57"/>
        <v>1.1012320522614276</v>
      </c>
      <c r="S760" s="1">
        <f t="shared" si="58"/>
        <v>-0.37802797823336531</v>
      </c>
      <c r="T760" s="56">
        <f t="shared" si="59"/>
        <v>0.35413030368991505</v>
      </c>
    </row>
    <row r="761" spans="1:20" x14ac:dyDescent="0.25">
      <c r="A761">
        <v>0.7536134227922956</v>
      </c>
      <c r="B761">
        <v>-0.18553464542492293</v>
      </c>
      <c r="D761">
        <v>0.7730327572630955</v>
      </c>
      <c r="E761">
        <v>-7.2142636361149926</v>
      </c>
      <c r="J761">
        <v>10</v>
      </c>
      <c r="K761">
        <v>0.36736764741363004</v>
      </c>
      <c r="L761">
        <v>8.0894278582281451</v>
      </c>
      <c r="M761">
        <v>20</v>
      </c>
      <c r="N761">
        <v>0.1935488819526654</v>
      </c>
      <c r="O761">
        <v>156.81122014209467</v>
      </c>
      <c r="P761" s="1">
        <f t="shared" si="55"/>
        <v>5.8893088571543855</v>
      </c>
      <c r="Q761" s="1">
        <f t="shared" si="56"/>
        <v>0.88339632857315775</v>
      </c>
      <c r="R761" s="1">
        <f t="shared" si="57"/>
        <v>0.93989165789103468</v>
      </c>
      <c r="S761" s="1">
        <f t="shared" si="58"/>
        <v>0.18493489542293196</v>
      </c>
      <c r="T761" s="56">
        <f t="shared" si="59"/>
        <v>0.5726934279629331</v>
      </c>
    </row>
    <row r="762" spans="1:20" x14ac:dyDescent="0.25">
      <c r="A762">
        <v>0.75789977090812477</v>
      </c>
      <c r="B762">
        <v>-0.58463456298341043</v>
      </c>
      <c r="D762">
        <v>0.77313042087802575</v>
      </c>
      <c r="E762">
        <v>2.5744322977061529</v>
      </c>
      <c r="J762">
        <v>10</v>
      </c>
      <c r="K762">
        <v>0.19039396192965796</v>
      </c>
      <c r="L762">
        <v>3.7844492510889318</v>
      </c>
      <c r="M762">
        <v>20</v>
      </c>
      <c r="N762">
        <v>-0.12089680353710719</v>
      </c>
      <c r="O762">
        <v>207.06952362831646</v>
      </c>
      <c r="P762" s="1">
        <f t="shared" si="55"/>
        <v>7.5304990314073361</v>
      </c>
      <c r="Q762" s="1">
        <f t="shared" si="56"/>
        <v>1.1295748547111004</v>
      </c>
      <c r="R762" s="1">
        <f t="shared" si="57"/>
        <v>1.0628145909381845</v>
      </c>
      <c r="S762" s="1">
        <f t="shared" si="58"/>
        <v>0.29289282262485467</v>
      </c>
      <c r="T762" s="56">
        <f t="shared" si="59"/>
        <v>0.61411811805788852</v>
      </c>
    </row>
    <row r="763" spans="1:20" x14ac:dyDescent="0.25">
      <c r="A763">
        <v>0.7585279581677159</v>
      </c>
      <c r="B763">
        <v>-1.3685257727047428</v>
      </c>
      <c r="D763">
        <v>0.77337520805073146</v>
      </c>
      <c r="E763">
        <v>-4.8960344008719403</v>
      </c>
      <c r="J763">
        <v>10</v>
      </c>
      <c r="K763">
        <v>-0.27894725462829228</v>
      </c>
      <c r="L763">
        <v>6.9295514073956559</v>
      </c>
      <c r="M763">
        <v>20</v>
      </c>
      <c r="N763">
        <v>-0.24920325699895329</v>
      </c>
      <c r="O763">
        <v>192.01826641559452</v>
      </c>
      <c r="P763" s="1">
        <f t="shared" si="55"/>
        <v>7.1052792079639344</v>
      </c>
      <c r="Q763" s="1">
        <f t="shared" si="56"/>
        <v>1.0657918811945901</v>
      </c>
      <c r="R763" s="1">
        <f t="shared" si="57"/>
        <v>1.032371968427364</v>
      </c>
      <c r="S763" s="1">
        <f t="shared" si="58"/>
        <v>-2.8811318535361542E-2</v>
      </c>
      <c r="T763" s="56">
        <f t="shared" si="59"/>
        <v>0.48860972609553044</v>
      </c>
    </row>
    <row r="764" spans="1:20" x14ac:dyDescent="0.25">
      <c r="A764">
        <v>0.75930106111266471</v>
      </c>
      <c r="B764">
        <v>-1.0664894034562167</v>
      </c>
      <c r="D764">
        <v>0.77345331210813406</v>
      </c>
      <c r="E764">
        <v>1.6544693119158183</v>
      </c>
      <c r="J764">
        <v>10</v>
      </c>
      <c r="K764">
        <v>2.1380174075602554E-2</v>
      </c>
      <c r="L764">
        <v>9.3689434304402948</v>
      </c>
      <c r="M764">
        <v>20</v>
      </c>
      <c r="N764">
        <v>0.13381093936004618</v>
      </c>
      <c r="O764">
        <v>190.94237943660502</v>
      </c>
      <c r="P764" s="1">
        <f t="shared" si="55"/>
        <v>7.1539758166801892</v>
      </c>
      <c r="Q764" s="1">
        <f t="shared" si="56"/>
        <v>1.0730963725020284</v>
      </c>
      <c r="R764" s="1">
        <f t="shared" si="57"/>
        <v>1.0359036502020968</v>
      </c>
      <c r="S764" s="1">
        <f t="shared" si="58"/>
        <v>-0.10853399856493337</v>
      </c>
      <c r="T764" s="56">
        <f t="shared" si="59"/>
        <v>0.45717308388228106</v>
      </c>
    </row>
    <row r="765" spans="1:20" x14ac:dyDescent="0.25">
      <c r="A765">
        <v>0.75939006618552229</v>
      </c>
      <c r="B765">
        <v>-0.5696335847460432</v>
      </c>
      <c r="D765">
        <v>0.77401594696742759</v>
      </c>
      <c r="E765">
        <v>1.4804465956785862</v>
      </c>
      <c r="J765">
        <v>10</v>
      </c>
      <c r="K765">
        <v>-0.16662102098052856</v>
      </c>
      <c r="L765">
        <v>4.0160722138938194</v>
      </c>
      <c r="M765">
        <v>20</v>
      </c>
      <c r="N765">
        <v>-0.58814544331653451</v>
      </c>
      <c r="O765">
        <v>223.90573729197402</v>
      </c>
      <c r="P765" s="1">
        <f t="shared" si="55"/>
        <v>8.1400646252095648</v>
      </c>
      <c r="Q765" s="1">
        <f t="shared" si="56"/>
        <v>1.2210096937814348</v>
      </c>
      <c r="R765" s="1">
        <f t="shared" si="57"/>
        <v>1.1049930740875413</v>
      </c>
      <c r="S765" s="1">
        <f t="shared" si="58"/>
        <v>0.38147245645325317</v>
      </c>
      <c r="T765" s="56">
        <f t="shared" si="59"/>
        <v>0.64713386931349937</v>
      </c>
    </row>
    <row r="766" spans="1:20" x14ac:dyDescent="0.25">
      <c r="A766">
        <v>0.76046738409766479</v>
      </c>
      <c r="B766">
        <v>-0.56092858358169906</v>
      </c>
      <c r="D766">
        <v>0.77465985153803785</v>
      </c>
      <c r="E766">
        <v>-2.6098784962869104</v>
      </c>
      <c r="J766">
        <v>10</v>
      </c>
      <c r="K766">
        <v>-0.71834074333310127</v>
      </c>
      <c r="L766">
        <v>5.582763550347166</v>
      </c>
      <c r="M766">
        <v>20</v>
      </c>
      <c r="N766">
        <v>-0.55125326866800606</v>
      </c>
      <c r="O766">
        <v>150.92366102426215</v>
      </c>
      <c r="P766" s="1">
        <f t="shared" si="55"/>
        <v>5.5895151633789038</v>
      </c>
      <c r="Q766" s="1">
        <f t="shared" si="56"/>
        <v>0.83842727450683552</v>
      </c>
      <c r="R766" s="1">
        <f t="shared" si="57"/>
        <v>0.91565674491418203</v>
      </c>
      <c r="S766" s="1">
        <f t="shared" si="58"/>
        <v>-0.18247828740753189</v>
      </c>
      <c r="T766" s="56">
        <f t="shared" si="59"/>
        <v>0.42826108878100155</v>
      </c>
    </row>
    <row r="767" spans="1:20" x14ac:dyDescent="0.25">
      <c r="A767">
        <v>0.76488105753350655</v>
      </c>
      <c r="B767">
        <v>0.49349637265549973</v>
      </c>
      <c r="D767">
        <v>0.77681576032833421</v>
      </c>
      <c r="E767">
        <v>-1.7644304114128317</v>
      </c>
      <c r="J767">
        <v>10</v>
      </c>
      <c r="K767">
        <v>-0.29453224215103546</v>
      </c>
      <c r="L767">
        <v>8.8022518612239296</v>
      </c>
      <c r="M767">
        <v>20</v>
      </c>
      <c r="N767">
        <v>-0.66184316324324755</v>
      </c>
      <c r="O767">
        <v>233.52260731021761</v>
      </c>
      <c r="P767" s="1">
        <f t="shared" si="55"/>
        <v>8.6544592561229123</v>
      </c>
      <c r="Q767" s="1">
        <f t="shared" si="56"/>
        <v>1.2981688884184368</v>
      </c>
      <c r="R767" s="1">
        <f t="shared" si="57"/>
        <v>1.1393721465870741</v>
      </c>
      <c r="S767" s="1">
        <f t="shared" si="58"/>
        <v>0.32238011275988404</v>
      </c>
      <c r="T767" s="56">
        <f t="shared" si="59"/>
        <v>0.62522020570191117</v>
      </c>
    </row>
    <row r="768" spans="1:20" x14ac:dyDescent="0.25">
      <c r="A768">
        <v>0.76572325757844362</v>
      </c>
      <c r="B768">
        <v>0.42681449485826306</v>
      </c>
      <c r="D768">
        <v>0.77734058257106964</v>
      </c>
      <c r="E768">
        <v>-0.20083166759832238</v>
      </c>
      <c r="J768">
        <v>10</v>
      </c>
      <c r="K768">
        <v>-0.13777696494798874</v>
      </c>
      <c r="L768">
        <v>6.0570299250644757</v>
      </c>
      <c r="M768">
        <v>20</v>
      </c>
      <c r="N768">
        <v>-0.280155010159433</v>
      </c>
      <c r="O768">
        <v>188.16207869180508</v>
      </c>
      <c r="P768" s="1">
        <f t="shared" si="55"/>
        <v>6.9363967363167705</v>
      </c>
      <c r="Q768" s="1">
        <f t="shared" si="56"/>
        <v>1.0404595104475156</v>
      </c>
      <c r="R768" s="1">
        <f t="shared" si="57"/>
        <v>1.0200291713708562</v>
      </c>
      <c r="S768" s="1">
        <f t="shared" si="58"/>
        <v>0.13958232686629635</v>
      </c>
      <c r="T768" s="56">
        <f t="shared" si="59"/>
        <v>0.55500540313300095</v>
      </c>
    </row>
    <row r="769" spans="1:20" x14ac:dyDescent="0.25">
      <c r="A769">
        <v>0.76617579122366308</v>
      </c>
      <c r="B769">
        <v>0.38140569813549519</v>
      </c>
      <c r="D769">
        <v>0.77742419949871844</v>
      </c>
      <c r="E769">
        <v>1.822994132680833</v>
      </c>
      <c r="J769">
        <v>10</v>
      </c>
      <c r="K769">
        <v>0.37301822430890752</v>
      </c>
      <c r="L769">
        <v>10.990741269570345</v>
      </c>
      <c r="M769">
        <v>20</v>
      </c>
      <c r="N769">
        <v>0.28942235644535685</v>
      </c>
      <c r="O769">
        <v>221.65985911801747</v>
      </c>
      <c r="P769" s="1">
        <f t="shared" si="55"/>
        <v>8.3089500138424217</v>
      </c>
      <c r="Q769" s="1">
        <f t="shared" si="56"/>
        <v>1.2463425020763632</v>
      </c>
      <c r="R769" s="1">
        <f t="shared" si="57"/>
        <v>1.1163971076979566</v>
      </c>
      <c r="S769" s="1">
        <f t="shared" si="58"/>
        <v>7.4880046971751643E-2</v>
      </c>
      <c r="T769" s="56">
        <f t="shared" si="59"/>
        <v>0.52957870876522051</v>
      </c>
    </row>
    <row r="770" spans="1:20" x14ac:dyDescent="0.25">
      <c r="A770">
        <v>0.76621712818035514</v>
      </c>
      <c r="B770">
        <v>2.0872357708867639</v>
      </c>
      <c r="D770">
        <v>0.77747441744005674</v>
      </c>
      <c r="E770">
        <v>-1.233071774322525</v>
      </c>
      <c r="J770">
        <v>10</v>
      </c>
      <c r="K770">
        <v>0.33288210943283048</v>
      </c>
      <c r="L770">
        <v>15.005569133514607</v>
      </c>
      <c r="M770">
        <v>20</v>
      </c>
      <c r="N770">
        <v>-0.28381987590364588</v>
      </c>
      <c r="O770">
        <v>167.37803141283578</v>
      </c>
      <c r="P770" s="1">
        <f t="shared" ref="P770:P833" si="60">(L770+O770)/(J770+M770-2)</f>
        <v>6.5137000195125134</v>
      </c>
      <c r="Q770" s="1">
        <f t="shared" ref="Q770:Q833" si="61">P770*0.15</f>
        <v>0.97705500292687697</v>
      </c>
      <c r="R770" s="1">
        <f t="shared" ref="R770:R833" si="62">SQRT(Q770)</f>
        <v>0.98846092635312444</v>
      </c>
      <c r="S770" s="1">
        <f t="shared" ref="S770:S833" si="63">(K770-N770)/R770</f>
        <v>0.62390122754954669</v>
      </c>
      <c r="T770" s="56">
        <f t="shared" ref="T770:T833" si="64">_xlfn.T.DIST(S770,28,TRUE)</f>
        <v>0.73112864769244224</v>
      </c>
    </row>
    <row r="771" spans="1:20" x14ac:dyDescent="0.25">
      <c r="A771">
        <v>0.76674609912727465</v>
      </c>
      <c r="B771">
        <v>0.26781435735756531</v>
      </c>
      <c r="D771">
        <v>0.77761709249849664</v>
      </c>
      <c r="E771">
        <v>-0.72239845735566632</v>
      </c>
      <c r="J771">
        <v>10</v>
      </c>
      <c r="K771">
        <v>-0.32676234695827588</v>
      </c>
      <c r="L771">
        <v>4.3929582361971704</v>
      </c>
      <c r="M771">
        <v>20</v>
      </c>
      <c r="N771">
        <v>-0.1968330741419777</v>
      </c>
      <c r="O771">
        <v>191.84734878171116</v>
      </c>
      <c r="P771" s="1">
        <f t="shared" si="60"/>
        <v>7.0085823934967255</v>
      </c>
      <c r="Q771" s="1">
        <f t="shared" si="61"/>
        <v>1.0512873590245089</v>
      </c>
      <c r="R771" s="1">
        <f t="shared" si="62"/>
        <v>1.0253230510548901</v>
      </c>
      <c r="S771" s="1">
        <f t="shared" si="63"/>
        <v>-0.12672032749348819</v>
      </c>
      <c r="T771" s="56">
        <f t="shared" si="64"/>
        <v>0.45003369260127002</v>
      </c>
    </row>
    <row r="772" spans="1:20" x14ac:dyDescent="0.25">
      <c r="A772">
        <v>0.76722360819643043</v>
      </c>
      <c r="B772">
        <v>-0.36263145375414751</v>
      </c>
      <c r="D772">
        <v>0.77773443947722831</v>
      </c>
      <c r="E772">
        <v>1.5830239556180459</v>
      </c>
      <c r="J772">
        <v>10</v>
      </c>
      <c r="K772">
        <v>5.5857185543572996E-2</v>
      </c>
      <c r="L772">
        <v>4.2578022180605046</v>
      </c>
      <c r="M772">
        <v>20</v>
      </c>
      <c r="N772">
        <v>1.151315356082705</v>
      </c>
      <c r="O772">
        <v>166.12745067123288</v>
      </c>
      <c r="P772" s="1">
        <f t="shared" si="60"/>
        <v>6.0851876031890493</v>
      </c>
      <c r="Q772" s="1">
        <f t="shared" si="61"/>
        <v>0.91277814047835737</v>
      </c>
      <c r="R772" s="1">
        <f t="shared" si="62"/>
        <v>0.95539423301501947</v>
      </c>
      <c r="S772" s="1">
        <f t="shared" si="63"/>
        <v>-1.1466032897038752</v>
      </c>
      <c r="T772" s="56">
        <f t="shared" si="64"/>
        <v>0.13062496347496774</v>
      </c>
    </row>
    <row r="773" spans="1:20" x14ac:dyDescent="0.25">
      <c r="A773">
        <v>0.77129022617397902</v>
      </c>
      <c r="B773">
        <v>0.61374521465040743</v>
      </c>
      <c r="D773">
        <v>0.780647325063896</v>
      </c>
      <c r="E773">
        <v>-1.5143818961860234</v>
      </c>
      <c r="J773">
        <v>10</v>
      </c>
      <c r="K773">
        <v>0.17247566574951634</v>
      </c>
      <c r="L773">
        <v>5.3764209693114502</v>
      </c>
      <c r="M773">
        <v>20</v>
      </c>
      <c r="N773">
        <v>-0.66714000354295422</v>
      </c>
      <c r="O773">
        <v>165.03762294600892</v>
      </c>
      <c r="P773" s="1">
        <f t="shared" si="60"/>
        <v>6.0862158541185849</v>
      </c>
      <c r="Q773" s="1">
        <f t="shared" si="61"/>
        <v>0.91293237811778771</v>
      </c>
      <c r="R773" s="1">
        <f t="shared" si="62"/>
        <v>0.95547494897448138</v>
      </c>
      <c r="S773" s="1">
        <f t="shared" si="63"/>
        <v>0.87874168777908468</v>
      </c>
      <c r="T773" s="56">
        <f t="shared" si="64"/>
        <v>0.80648981731096381</v>
      </c>
    </row>
    <row r="774" spans="1:20" x14ac:dyDescent="0.25">
      <c r="A774">
        <v>0.77143513286041243</v>
      </c>
      <c r="B774">
        <v>-6.5184622144442983E-2</v>
      </c>
      <c r="D774">
        <v>0.78088933956470874</v>
      </c>
      <c r="E774">
        <v>-1.2877437745828502</v>
      </c>
      <c r="J774">
        <v>10</v>
      </c>
      <c r="K774">
        <v>-0.13607382243208122</v>
      </c>
      <c r="L774">
        <v>9.5476483254448237</v>
      </c>
      <c r="M774">
        <v>20</v>
      </c>
      <c r="N774">
        <v>-0.86398853568425693</v>
      </c>
      <c r="O774">
        <v>213.24929299764153</v>
      </c>
      <c r="P774" s="1">
        <f t="shared" si="60"/>
        <v>7.9570336186816553</v>
      </c>
      <c r="Q774" s="1">
        <f t="shared" si="61"/>
        <v>1.1935550428022483</v>
      </c>
      <c r="R774" s="1">
        <f t="shared" si="62"/>
        <v>1.0924994475066101</v>
      </c>
      <c r="S774" s="1">
        <f t="shared" si="63"/>
        <v>0.66628382734058222</v>
      </c>
      <c r="T774" s="56">
        <f t="shared" si="64"/>
        <v>0.74465870111587784</v>
      </c>
    </row>
    <row r="775" spans="1:20" x14ac:dyDescent="0.25">
      <c r="A775">
        <v>0.77381311259962682</v>
      </c>
      <c r="B775">
        <v>-2.3113534552976489</v>
      </c>
      <c r="D775">
        <v>0.7818898512285547</v>
      </c>
      <c r="E775">
        <v>4.4503469746359769</v>
      </c>
      <c r="J775">
        <v>10</v>
      </c>
      <c r="K775">
        <v>4.1973180486820638E-3</v>
      </c>
      <c r="L775">
        <v>10.852165643802888</v>
      </c>
      <c r="M775">
        <v>20</v>
      </c>
      <c r="N775">
        <v>0.753078946900132</v>
      </c>
      <c r="O775">
        <v>176.7435772024717</v>
      </c>
      <c r="P775" s="1">
        <f t="shared" si="60"/>
        <v>6.6998479587955213</v>
      </c>
      <c r="Q775" s="1">
        <f t="shared" si="61"/>
        <v>1.0049771938193282</v>
      </c>
      <c r="R775" s="1">
        <f t="shared" si="62"/>
        <v>1.0024855080345692</v>
      </c>
      <c r="S775" s="1">
        <f t="shared" si="63"/>
        <v>-0.74702489247916981</v>
      </c>
      <c r="T775" s="56">
        <f t="shared" si="64"/>
        <v>0.2306379856260633</v>
      </c>
    </row>
    <row r="776" spans="1:20" x14ac:dyDescent="0.25">
      <c r="A776">
        <v>0.77426837139589644</v>
      </c>
      <c r="B776">
        <v>-0.5123342816659715</v>
      </c>
      <c r="D776">
        <v>0.78198285994729666</v>
      </c>
      <c r="E776">
        <v>-0.30937758651816694</v>
      </c>
      <c r="J776">
        <v>10</v>
      </c>
      <c r="K776">
        <v>-0.24857217795215547</v>
      </c>
      <c r="L776">
        <v>8.6766760093637192</v>
      </c>
      <c r="M776">
        <v>20</v>
      </c>
      <c r="N776">
        <v>0.37109338904883771</v>
      </c>
      <c r="O776">
        <v>96.91053104385594</v>
      </c>
      <c r="P776" s="1">
        <f t="shared" si="60"/>
        <v>3.7709716804721305</v>
      </c>
      <c r="Q776" s="1">
        <f t="shared" si="61"/>
        <v>0.56564575207081957</v>
      </c>
      <c r="R776" s="1">
        <f t="shared" si="62"/>
        <v>0.75209424414153014</v>
      </c>
      <c r="S776" s="1">
        <f t="shared" si="63"/>
        <v>-0.82392010286995843</v>
      </c>
      <c r="T776" s="56">
        <f t="shared" si="64"/>
        <v>0.20847410585386905</v>
      </c>
    </row>
    <row r="777" spans="1:20" x14ac:dyDescent="0.25">
      <c r="A777">
        <v>0.77570016446060208</v>
      </c>
      <c r="B777">
        <v>0.61892478697700426</v>
      </c>
      <c r="D777">
        <v>0.78319961817055639</v>
      </c>
      <c r="E777">
        <v>0.50743505767059105</v>
      </c>
      <c r="J777">
        <v>10</v>
      </c>
      <c r="K777">
        <v>-0.51144309054507175</v>
      </c>
      <c r="L777">
        <v>11.919802072392105</v>
      </c>
      <c r="M777">
        <v>20</v>
      </c>
      <c r="N777">
        <v>0.5304487979174155</v>
      </c>
      <c r="O777">
        <v>118.64351769053812</v>
      </c>
      <c r="P777" s="1">
        <f t="shared" si="60"/>
        <v>4.6629757058189369</v>
      </c>
      <c r="Q777" s="1">
        <f t="shared" si="61"/>
        <v>0.69944635587284054</v>
      </c>
      <c r="R777" s="1">
        <f t="shared" si="62"/>
        <v>0.8363290954360254</v>
      </c>
      <c r="S777" s="1">
        <f t="shared" si="63"/>
        <v>-1.2457917512953325</v>
      </c>
      <c r="T777" s="56">
        <f t="shared" si="64"/>
        <v>0.11158238182776924</v>
      </c>
    </row>
    <row r="778" spans="1:20" x14ac:dyDescent="0.25">
      <c r="A778">
        <v>0.77741924235892901</v>
      </c>
      <c r="B778">
        <v>1.2339251043158583</v>
      </c>
      <c r="D778">
        <v>0.78382420006313802</v>
      </c>
      <c r="E778">
        <v>-2.3711224946509901</v>
      </c>
      <c r="J778">
        <v>10</v>
      </c>
      <c r="K778">
        <v>-0.44019873257639119</v>
      </c>
      <c r="L778">
        <v>13.731002287685182</v>
      </c>
      <c r="M778">
        <v>20</v>
      </c>
      <c r="N778">
        <v>-0.66052684019268781</v>
      </c>
      <c r="O778">
        <v>204.40925921642457</v>
      </c>
      <c r="P778" s="1">
        <f t="shared" si="60"/>
        <v>7.7907236251467769</v>
      </c>
      <c r="Q778" s="1">
        <f t="shared" si="61"/>
        <v>1.1686085437720164</v>
      </c>
      <c r="R778" s="1">
        <f t="shared" si="62"/>
        <v>1.0810219904201841</v>
      </c>
      <c r="S778" s="1">
        <f t="shared" si="63"/>
        <v>0.20381463982120931</v>
      </c>
      <c r="T778" s="56">
        <f t="shared" si="64"/>
        <v>0.5800137728008945</v>
      </c>
    </row>
    <row r="779" spans="1:20" x14ac:dyDescent="0.25">
      <c r="A779">
        <v>0.77951992818991311</v>
      </c>
      <c r="B779">
        <v>-0.42329702409915626</v>
      </c>
      <c r="D779">
        <v>0.78387348915276256</v>
      </c>
      <c r="E779">
        <v>5.5294760807100829</v>
      </c>
      <c r="J779">
        <v>10</v>
      </c>
      <c r="K779">
        <v>-0.41597797917347634</v>
      </c>
      <c r="L779">
        <v>5.9271362719198333</v>
      </c>
      <c r="M779">
        <v>20</v>
      </c>
      <c r="N779">
        <v>0.87141279095703794</v>
      </c>
      <c r="O779">
        <v>204.2338619415624</v>
      </c>
      <c r="P779" s="1">
        <f t="shared" si="60"/>
        <v>7.5057499361957936</v>
      </c>
      <c r="Q779" s="1">
        <f t="shared" si="61"/>
        <v>1.125862490429369</v>
      </c>
      <c r="R779" s="1">
        <f t="shared" si="62"/>
        <v>1.0610666757698919</v>
      </c>
      <c r="S779" s="1">
        <f t="shared" si="63"/>
        <v>-1.2132986545792757</v>
      </c>
      <c r="T779" s="56">
        <f t="shared" si="64"/>
        <v>0.11757605678601118</v>
      </c>
    </row>
    <row r="780" spans="1:20" x14ac:dyDescent="0.25">
      <c r="A780">
        <v>0.78012169625062</v>
      </c>
      <c r="B780">
        <v>-4.679577614297159E-2</v>
      </c>
      <c r="D780">
        <v>0.78516824473128932</v>
      </c>
      <c r="E780">
        <v>-0.80020800282909477</v>
      </c>
      <c r="J780">
        <v>10</v>
      </c>
      <c r="K780">
        <v>0.16746992059779586</v>
      </c>
      <c r="L780">
        <v>5.2781608561401079</v>
      </c>
      <c r="M780">
        <v>20</v>
      </c>
      <c r="N780">
        <v>0.63590607283003919</v>
      </c>
      <c r="O780">
        <v>151.26422924769437</v>
      </c>
      <c r="P780" s="1">
        <f t="shared" si="60"/>
        <v>5.5907996465655172</v>
      </c>
      <c r="Q780" s="1">
        <f t="shared" si="61"/>
        <v>0.83861994698482756</v>
      </c>
      <c r="R780" s="1">
        <f t="shared" si="62"/>
        <v>0.91576194886270934</v>
      </c>
      <c r="S780" s="1">
        <f t="shared" si="63"/>
        <v>-0.51152611529011138</v>
      </c>
      <c r="T780" s="56">
        <f t="shared" si="64"/>
        <v>0.3064966691138562</v>
      </c>
    </row>
    <row r="781" spans="1:20" x14ac:dyDescent="0.25">
      <c r="A781">
        <v>0.7801747588919824</v>
      </c>
      <c r="B781">
        <v>1.6524018064956181</v>
      </c>
      <c r="D781">
        <v>0.78551590454684894</v>
      </c>
      <c r="E781">
        <v>-3.0512994760556467</v>
      </c>
      <c r="J781">
        <v>10</v>
      </c>
      <c r="K781">
        <v>-0.26413579234940698</v>
      </c>
      <c r="L781">
        <v>8.98684732282182</v>
      </c>
      <c r="M781">
        <v>20</v>
      </c>
      <c r="N781">
        <v>0.94754431870569533</v>
      </c>
      <c r="O781">
        <v>219.97003696412179</v>
      </c>
      <c r="P781" s="1">
        <f t="shared" si="60"/>
        <v>8.1770315816765571</v>
      </c>
      <c r="Q781" s="1">
        <f t="shared" si="61"/>
        <v>1.2265547372514836</v>
      </c>
      <c r="R781" s="1">
        <f t="shared" si="62"/>
        <v>1.1074993170433487</v>
      </c>
      <c r="S781" s="1">
        <f t="shared" si="63"/>
        <v>-1.0940684950396913</v>
      </c>
      <c r="T781" s="56">
        <f t="shared" si="64"/>
        <v>0.14162397786780695</v>
      </c>
    </row>
    <row r="782" spans="1:20" x14ac:dyDescent="0.25">
      <c r="A782">
        <v>0.78045227163412878</v>
      </c>
      <c r="B782">
        <v>7.7454842539737001E-2</v>
      </c>
      <c r="D782">
        <v>0.78581024503266417</v>
      </c>
      <c r="E782">
        <v>6.8569654524708312</v>
      </c>
      <c r="J782">
        <v>10</v>
      </c>
      <c r="K782">
        <v>0.5223323569225613</v>
      </c>
      <c r="L782">
        <v>9.3125616261100834</v>
      </c>
      <c r="M782">
        <v>20</v>
      </c>
      <c r="N782">
        <v>1.2577214613429533</v>
      </c>
      <c r="O782">
        <v>115.78607210555907</v>
      </c>
      <c r="P782" s="1">
        <f t="shared" si="60"/>
        <v>4.4678083475596129</v>
      </c>
      <c r="Q782" s="1">
        <f t="shared" si="61"/>
        <v>0.67017125213394191</v>
      </c>
      <c r="R782" s="1">
        <f t="shared" si="62"/>
        <v>0.81863987939382843</v>
      </c>
      <c r="S782" s="1">
        <f t="shared" si="63"/>
        <v>-0.89830598646735793</v>
      </c>
      <c r="T782" s="56">
        <f t="shared" si="64"/>
        <v>0.18834127552226831</v>
      </c>
    </row>
    <row r="783" spans="1:20" x14ac:dyDescent="0.25">
      <c r="A783">
        <v>0.78059078149627159</v>
      </c>
      <c r="B783">
        <v>0.15642513062630314</v>
      </c>
      <c r="D783">
        <v>0.78596454931438331</v>
      </c>
      <c r="E783">
        <v>-0.20174912037873582</v>
      </c>
      <c r="J783">
        <v>10</v>
      </c>
      <c r="K783">
        <v>2.5478129828115925E-2</v>
      </c>
      <c r="L783">
        <v>4.7613566771356064</v>
      </c>
      <c r="M783">
        <v>20</v>
      </c>
      <c r="N783">
        <v>0.21776196149403404</v>
      </c>
      <c r="O783">
        <v>238.83099391635594</v>
      </c>
      <c r="P783" s="1">
        <f t="shared" si="60"/>
        <v>8.6997268069104123</v>
      </c>
      <c r="Q783" s="1">
        <f t="shared" si="61"/>
        <v>1.3049590210365618</v>
      </c>
      <c r="R783" s="1">
        <f t="shared" si="62"/>
        <v>1.1423480297337418</v>
      </c>
      <c r="S783" s="1">
        <f t="shared" si="63"/>
        <v>-0.16832333637476102</v>
      </c>
      <c r="T783" s="56">
        <f t="shared" si="64"/>
        <v>0.43376945213784174</v>
      </c>
    </row>
    <row r="784" spans="1:20" x14ac:dyDescent="0.25">
      <c r="A784">
        <v>0.78188348145861331</v>
      </c>
      <c r="B784">
        <v>0.13655153452418745</v>
      </c>
      <c r="D784">
        <v>0.78675169071042961</v>
      </c>
      <c r="E784">
        <v>1.6677365658779308</v>
      </c>
      <c r="J784">
        <v>10</v>
      </c>
      <c r="K784">
        <v>0.15911098216747632</v>
      </c>
      <c r="L784">
        <v>7.82127404126458</v>
      </c>
      <c r="M784">
        <v>20</v>
      </c>
      <c r="N784">
        <v>0.20218623944856517</v>
      </c>
      <c r="O784">
        <v>142.98721660707204</v>
      </c>
      <c r="P784" s="1">
        <f t="shared" si="60"/>
        <v>5.3860175231548792</v>
      </c>
      <c r="Q784" s="1">
        <f t="shared" si="61"/>
        <v>0.80790262847323191</v>
      </c>
      <c r="R784" s="1">
        <f t="shared" si="62"/>
        <v>0.89883403833701803</v>
      </c>
      <c r="S784" s="1">
        <f t="shared" si="63"/>
        <v>-4.7923482471563646E-2</v>
      </c>
      <c r="T784" s="56">
        <f t="shared" si="64"/>
        <v>0.48105871294735314</v>
      </c>
    </row>
    <row r="785" spans="1:20" x14ac:dyDescent="0.25">
      <c r="A785">
        <v>0.78245072078809796</v>
      </c>
      <c r="B785">
        <v>-0.20823222257604357</v>
      </c>
      <c r="D785">
        <v>0.7894264532172669</v>
      </c>
      <c r="E785">
        <v>-0.7739838599718496</v>
      </c>
      <c r="J785">
        <v>10</v>
      </c>
      <c r="K785">
        <v>-1.9023104869120289E-2</v>
      </c>
      <c r="L785">
        <v>10.423440036481763</v>
      </c>
      <c r="M785">
        <v>20</v>
      </c>
      <c r="N785">
        <v>-0.5187263275274745</v>
      </c>
      <c r="O785">
        <v>231.33068186493267</v>
      </c>
      <c r="P785" s="1">
        <f t="shared" si="60"/>
        <v>8.6340757821933725</v>
      </c>
      <c r="Q785" s="1">
        <f t="shared" si="61"/>
        <v>1.2951113673290058</v>
      </c>
      <c r="R785" s="1">
        <f t="shared" si="62"/>
        <v>1.1380295986172793</v>
      </c>
      <c r="S785" s="1">
        <f t="shared" si="63"/>
        <v>0.43909510197757606</v>
      </c>
      <c r="T785" s="56">
        <f t="shared" si="64"/>
        <v>0.66801869910468403</v>
      </c>
    </row>
    <row r="786" spans="1:20" x14ac:dyDescent="0.25">
      <c r="A786">
        <v>0.78284009511563135</v>
      </c>
      <c r="B786">
        <v>-0.71408749136026017</v>
      </c>
      <c r="D786">
        <v>0.7903966165086449</v>
      </c>
      <c r="E786">
        <v>-2.3050522520406957</v>
      </c>
      <c r="J786">
        <v>10</v>
      </c>
      <c r="K786">
        <v>0.62429126046481542</v>
      </c>
      <c r="L786">
        <v>11.892887179408408</v>
      </c>
      <c r="M786">
        <v>20</v>
      </c>
      <c r="N786">
        <v>-0.93219773930286465</v>
      </c>
      <c r="O786">
        <v>147.59965521938568</v>
      </c>
      <c r="P786" s="1">
        <f t="shared" si="60"/>
        <v>5.69616222852836</v>
      </c>
      <c r="Q786" s="1">
        <f t="shared" si="61"/>
        <v>0.85442433427925402</v>
      </c>
      <c r="R786" s="1">
        <f t="shared" si="62"/>
        <v>0.92435076366023194</v>
      </c>
      <c r="S786" s="1">
        <f t="shared" si="63"/>
        <v>1.6838726822751955</v>
      </c>
      <c r="T786" s="56">
        <f t="shared" si="64"/>
        <v>0.9483378920172495</v>
      </c>
    </row>
    <row r="787" spans="1:20" x14ac:dyDescent="0.25">
      <c r="A787">
        <v>0.78343324689256866</v>
      </c>
      <c r="B787">
        <v>-1.4226043276721612</v>
      </c>
      <c r="D787">
        <v>0.79110429044524933</v>
      </c>
      <c r="E787">
        <v>-3.2303153182056121</v>
      </c>
      <c r="J787">
        <v>10</v>
      </c>
      <c r="K787">
        <v>-7.6123683356854599E-2</v>
      </c>
      <c r="L787">
        <v>9.6298094415441096</v>
      </c>
      <c r="M787">
        <v>20</v>
      </c>
      <c r="N787">
        <v>-0.11212933145543502</v>
      </c>
      <c r="O787">
        <v>149.13355235386348</v>
      </c>
      <c r="P787" s="1">
        <f t="shared" si="60"/>
        <v>5.6701200641216989</v>
      </c>
      <c r="Q787" s="1">
        <f t="shared" si="61"/>
        <v>0.85051800961825486</v>
      </c>
      <c r="R787" s="1">
        <f t="shared" si="62"/>
        <v>0.92223533310010131</v>
      </c>
      <c r="S787" s="1">
        <f t="shared" si="63"/>
        <v>3.9041713981557348E-2</v>
      </c>
      <c r="T787" s="56">
        <f t="shared" si="64"/>
        <v>0.51543291198426755</v>
      </c>
    </row>
    <row r="788" spans="1:20" x14ac:dyDescent="0.25">
      <c r="A788">
        <v>0.78395577089879998</v>
      </c>
      <c r="B788">
        <v>0.40703753256821074</v>
      </c>
      <c r="D788">
        <v>0.79265270198298599</v>
      </c>
      <c r="E788">
        <v>-0.90020694528902823</v>
      </c>
      <c r="J788">
        <v>10</v>
      </c>
      <c r="K788">
        <v>-0.19997025901830057</v>
      </c>
      <c r="L788">
        <v>2.3939911094438413</v>
      </c>
      <c r="M788">
        <v>20</v>
      </c>
      <c r="N788">
        <v>0.28008309641336382</v>
      </c>
      <c r="O788">
        <v>88.890677750697776</v>
      </c>
      <c r="P788" s="1">
        <f t="shared" si="60"/>
        <v>3.260166745005058</v>
      </c>
      <c r="Q788" s="1">
        <f t="shared" si="61"/>
        <v>0.48902501175075869</v>
      </c>
      <c r="R788" s="1">
        <f t="shared" si="62"/>
        <v>0.69930323304755193</v>
      </c>
      <c r="S788" s="1">
        <f t="shared" si="63"/>
        <v>-0.68647381099555305</v>
      </c>
      <c r="T788" s="56">
        <f t="shared" si="64"/>
        <v>0.24903017503979241</v>
      </c>
    </row>
    <row r="789" spans="1:20" x14ac:dyDescent="0.25">
      <c r="A789">
        <v>0.78483998290101542</v>
      </c>
      <c r="B789">
        <v>0.38931602830416523</v>
      </c>
      <c r="D789">
        <v>0.79351836202909665</v>
      </c>
      <c r="E789">
        <v>-6.1810685599539283</v>
      </c>
      <c r="J789">
        <v>10</v>
      </c>
      <c r="K789">
        <v>0.19830940800602548</v>
      </c>
      <c r="L789">
        <v>9.1675077293470864</v>
      </c>
      <c r="M789">
        <v>20</v>
      </c>
      <c r="N789">
        <v>2.5041284743565484E-2</v>
      </c>
      <c r="O789">
        <v>494.04563908174305</v>
      </c>
      <c r="P789" s="1">
        <f t="shared" si="60"/>
        <v>17.971898100396078</v>
      </c>
      <c r="Q789" s="1">
        <f t="shared" si="61"/>
        <v>2.6957847150594119</v>
      </c>
      <c r="R789" s="1">
        <f t="shared" si="62"/>
        <v>1.6418845011325893</v>
      </c>
      <c r="S789" s="1">
        <f t="shared" si="63"/>
        <v>0.10553003158440061</v>
      </c>
      <c r="T789" s="56">
        <f t="shared" si="64"/>
        <v>0.54164618142392063</v>
      </c>
    </row>
    <row r="790" spans="1:20" x14ac:dyDescent="0.25">
      <c r="A790">
        <v>0.78767603584844581</v>
      </c>
      <c r="B790">
        <v>-1.0308281161997002</v>
      </c>
      <c r="D790">
        <v>0.79352809555614545</v>
      </c>
      <c r="E790">
        <v>3.2140844689365622</v>
      </c>
      <c r="J790">
        <v>10</v>
      </c>
      <c r="K790">
        <v>-0.62215849538915791</v>
      </c>
      <c r="L790">
        <v>10.555108377340416</v>
      </c>
      <c r="M790">
        <v>20</v>
      </c>
      <c r="N790">
        <v>-0.7186904474565381</v>
      </c>
      <c r="O790">
        <v>181.24447639781371</v>
      </c>
      <c r="P790" s="1">
        <f t="shared" si="60"/>
        <v>6.8499851705412187</v>
      </c>
      <c r="Q790" s="1">
        <f t="shared" si="61"/>
        <v>1.0274977755811827</v>
      </c>
      <c r="R790" s="1">
        <f t="shared" si="62"/>
        <v>1.0136556494101845</v>
      </c>
      <c r="S790" s="1">
        <f t="shared" si="63"/>
        <v>9.5231504035467276E-2</v>
      </c>
      <c r="T790" s="56">
        <f t="shared" si="64"/>
        <v>0.53759538280974584</v>
      </c>
    </row>
    <row r="791" spans="1:20" x14ac:dyDescent="0.25">
      <c r="A791">
        <v>0.78844544091234914</v>
      </c>
      <c r="B791">
        <v>0.62430672187474556</v>
      </c>
      <c r="D791">
        <v>0.79381477089703512</v>
      </c>
      <c r="E791">
        <v>0.80540598560219223</v>
      </c>
      <c r="J791">
        <v>10</v>
      </c>
      <c r="K791">
        <v>-0.1088559429263114</v>
      </c>
      <c r="L791">
        <v>13.435305718374932</v>
      </c>
      <c r="M791">
        <v>20</v>
      </c>
      <c r="N791">
        <v>-4.7521044734821771E-2</v>
      </c>
      <c r="O791">
        <v>202.84151362059384</v>
      </c>
      <c r="P791" s="1">
        <f t="shared" si="60"/>
        <v>7.7241721192488848</v>
      </c>
      <c r="Q791" s="1">
        <f t="shared" si="61"/>
        <v>1.1586258178873328</v>
      </c>
      <c r="R791" s="1">
        <f t="shared" si="62"/>
        <v>1.0763948243499375</v>
      </c>
      <c r="S791" s="1">
        <f t="shared" si="63"/>
        <v>-5.6981784754057463E-2</v>
      </c>
      <c r="T791" s="56">
        <f t="shared" si="64"/>
        <v>0.47748220003887842</v>
      </c>
    </row>
    <row r="792" spans="1:20" x14ac:dyDescent="0.25">
      <c r="A792">
        <v>0.79005780197497011</v>
      </c>
      <c r="B792">
        <v>-0.42857436710619368</v>
      </c>
      <c r="D792">
        <v>0.79440439182829292</v>
      </c>
      <c r="E792">
        <v>5.4075946957254928</v>
      </c>
      <c r="J792">
        <v>10</v>
      </c>
      <c r="K792">
        <v>-1.3972680790175218E-2</v>
      </c>
      <c r="L792">
        <v>6.2361887921742181</v>
      </c>
      <c r="M792">
        <v>20</v>
      </c>
      <c r="N792">
        <v>-9.5650992761875386E-2</v>
      </c>
      <c r="O792">
        <v>157.70824944370929</v>
      </c>
      <c r="P792" s="1">
        <f t="shared" si="60"/>
        <v>5.8551585084244113</v>
      </c>
      <c r="Q792" s="1">
        <f t="shared" si="61"/>
        <v>0.87827377626366165</v>
      </c>
      <c r="R792" s="1">
        <f t="shared" si="62"/>
        <v>0.93716261996713335</v>
      </c>
      <c r="S792" s="1">
        <f t="shared" si="63"/>
        <v>8.7154897380098934E-2</v>
      </c>
      <c r="T792" s="56">
        <f t="shared" si="64"/>
        <v>0.5344156478284865</v>
      </c>
    </row>
    <row r="793" spans="1:20" x14ac:dyDescent="0.25">
      <c r="A793">
        <v>0.79009818936345044</v>
      </c>
      <c r="B793">
        <v>0.90472440206212923</v>
      </c>
      <c r="D793">
        <v>0.79487124902485795</v>
      </c>
      <c r="E793">
        <v>-1.2660762001814874</v>
      </c>
      <c r="J793">
        <v>10</v>
      </c>
      <c r="K793">
        <v>-0.17585603018233087</v>
      </c>
      <c r="L793">
        <v>6.118491899873467</v>
      </c>
      <c r="M793">
        <v>20</v>
      </c>
      <c r="N793">
        <v>-0.96191758188979293</v>
      </c>
      <c r="O793">
        <v>176.92555384739222</v>
      </c>
      <c r="P793" s="1">
        <f t="shared" si="60"/>
        <v>6.5372873481166325</v>
      </c>
      <c r="Q793" s="1">
        <f t="shared" si="61"/>
        <v>0.98059310221749485</v>
      </c>
      <c r="R793" s="1">
        <f t="shared" si="62"/>
        <v>0.99024901020778344</v>
      </c>
      <c r="S793" s="1">
        <f t="shared" si="63"/>
        <v>0.79380190598981071</v>
      </c>
      <c r="T793" s="56">
        <f t="shared" si="64"/>
        <v>0.78300654691210236</v>
      </c>
    </row>
    <row r="794" spans="1:20" x14ac:dyDescent="0.25">
      <c r="A794">
        <v>0.79030289697993883</v>
      </c>
      <c r="B794">
        <v>-0.4603248271450866</v>
      </c>
      <c r="D794">
        <v>0.79590268460577684</v>
      </c>
      <c r="E794">
        <v>-1.4252457310703903</v>
      </c>
      <c r="J794">
        <v>10</v>
      </c>
      <c r="K794">
        <v>-0.14214469956641551</v>
      </c>
      <c r="L794">
        <v>19.811604305570988</v>
      </c>
      <c r="M794">
        <v>20</v>
      </c>
      <c r="N794">
        <v>0.6675360248209472</v>
      </c>
      <c r="O794">
        <v>216.94491093776972</v>
      </c>
      <c r="P794" s="1">
        <f t="shared" si="60"/>
        <v>8.4555898301193118</v>
      </c>
      <c r="Q794" s="1">
        <f t="shared" si="61"/>
        <v>1.2683384745178967</v>
      </c>
      <c r="R794" s="1">
        <f t="shared" si="62"/>
        <v>1.1262053429627727</v>
      </c>
      <c r="S794" s="1">
        <f t="shared" si="63"/>
        <v>-0.71894590932883462</v>
      </c>
      <c r="T794" s="56">
        <f t="shared" si="64"/>
        <v>0.23906590615662821</v>
      </c>
    </row>
    <row r="795" spans="1:20" x14ac:dyDescent="0.25">
      <c r="A795">
        <v>0.79039277010174847</v>
      </c>
      <c r="B795">
        <v>0.35414814192336053</v>
      </c>
      <c r="D795">
        <v>0.7975592208145067</v>
      </c>
      <c r="E795">
        <v>-4.6550683271107118</v>
      </c>
      <c r="J795">
        <v>10</v>
      </c>
      <c r="K795">
        <v>-9.905909337248886E-2</v>
      </c>
      <c r="L795">
        <v>5.580100126488686</v>
      </c>
      <c r="M795">
        <v>20</v>
      </c>
      <c r="N795">
        <v>0.77209034202496696</v>
      </c>
      <c r="O795">
        <v>145.13635634874473</v>
      </c>
      <c r="P795" s="1">
        <f t="shared" si="60"/>
        <v>5.3827305884011931</v>
      </c>
      <c r="Q795" s="1">
        <f t="shared" si="61"/>
        <v>0.80740958826017895</v>
      </c>
      <c r="R795" s="1">
        <f t="shared" si="62"/>
        <v>0.89855972993462097</v>
      </c>
      <c r="S795" s="1">
        <f t="shared" si="63"/>
        <v>-0.96949530050811483</v>
      </c>
      <c r="T795" s="56">
        <f t="shared" si="64"/>
        <v>0.17029939150931761</v>
      </c>
    </row>
    <row r="796" spans="1:20" x14ac:dyDescent="0.25">
      <c r="A796">
        <v>0.79331143340548937</v>
      </c>
      <c r="B796">
        <v>-1.1476663530629594</v>
      </c>
      <c r="D796">
        <v>0.79913595405976268</v>
      </c>
      <c r="E796">
        <v>4.6518591682342958</v>
      </c>
      <c r="J796">
        <v>10</v>
      </c>
      <c r="K796">
        <v>4.7072035158635117E-2</v>
      </c>
      <c r="L796">
        <v>6.7094106309687476</v>
      </c>
      <c r="M796">
        <v>20</v>
      </c>
      <c r="N796">
        <v>-5.3066006557855872E-2</v>
      </c>
      <c r="O796">
        <v>156.37161795827507</v>
      </c>
      <c r="P796" s="1">
        <f t="shared" si="60"/>
        <v>5.8243224496158508</v>
      </c>
      <c r="Q796" s="1">
        <f t="shared" si="61"/>
        <v>0.87364836744237762</v>
      </c>
      <c r="R796" s="1">
        <f t="shared" si="62"/>
        <v>0.93469158947878506</v>
      </c>
      <c r="S796" s="1">
        <f t="shared" si="63"/>
        <v>0.10713484837531412</v>
      </c>
      <c r="T796" s="56">
        <f t="shared" si="64"/>
        <v>0.54227701718527554</v>
      </c>
    </row>
    <row r="797" spans="1:20" x14ac:dyDescent="0.25">
      <c r="A797">
        <v>0.79406793440843093</v>
      </c>
      <c r="B797">
        <v>-2.2566837287740782E-3</v>
      </c>
      <c r="D797">
        <v>0.80022295059950843</v>
      </c>
      <c r="E797">
        <v>-2.6243803893066797</v>
      </c>
      <c r="J797">
        <v>10</v>
      </c>
      <c r="K797">
        <v>4.6911281970096752E-2</v>
      </c>
      <c r="L797">
        <v>8.8809067065948604</v>
      </c>
      <c r="M797">
        <v>20</v>
      </c>
      <c r="N797">
        <v>8.6113967654455337E-2</v>
      </c>
      <c r="O797">
        <v>177.83096987777327</v>
      </c>
      <c r="P797" s="1">
        <f t="shared" si="60"/>
        <v>6.6682813065845759</v>
      </c>
      <c r="Q797" s="1">
        <f t="shared" si="61"/>
        <v>1.0002421959876864</v>
      </c>
      <c r="R797" s="1">
        <f t="shared" si="62"/>
        <v>1.000121090662369</v>
      </c>
      <c r="S797" s="1">
        <f t="shared" si="63"/>
        <v>-3.9197939179939786E-2</v>
      </c>
      <c r="T797" s="56">
        <f t="shared" si="64"/>
        <v>0.4845053659899845</v>
      </c>
    </row>
    <row r="798" spans="1:20" x14ac:dyDescent="0.25">
      <c r="A798">
        <v>0.79455049457353155</v>
      </c>
      <c r="B798">
        <v>0.10595726962492336</v>
      </c>
      <c r="D798">
        <v>0.80097948803861374</v>
      </c>
      <c r="E798">
        <v>3.2620239346670132</v>
      </c>
      <c r="J798">
        <v>10</v>
      </c>
      <c r="K798">
        <v>-3.7001768760092091E-2</v>
      </c>
      <c r="L798">
        <v>8.263534823308829</v>
      </c>
      <c r="M798">
        <v>20</v>
      </c>
      <c r="N798">
        <v>0.4515444481967279</v>
      </c>
      <c r="O798">
        <v>168.19149722620352</v>
      </c>
      <c r="P798" s="1">
        <f t="shared" si="60"/>
        <v>6.3019654303397266</v>
      </c>
      <c r="Q798" s="1">
        <f t="shared" si="61"/>
        <v>0.94529481455095898</v>
      </c>
      <c r="R798" s="1">
        <f t="shared" si="62"/>
        <v>0.97226272917918588</v>
      </c>
      <c r="S798" s="1">
        <f t="shared" si="63"/>
        <v>-0.50248374466566847</v>
      </c>
      <c r="T798" s="56">
        <f t="shared" si="64"/>
        <v>0.30962826810885802</v>
      </c>
    </row>
    <row r="799" spans="1:20" x14ac:dyDescent="0.25">
      <c r="A799">
        <v>0.79590744248822709</v>
      </c>
      <c r="B799">
        <v>0.72588363764225505</v>
      </c>
      <c r="D799">
        <v>0.80197622512083355</v>
      </c>
      <c r="E799">
        <v>6.2182273234157037</v>
      </c>
      <c r="J799">
        <v>10</v>
      </c>
      <c r="K799">
        <v>0.12868827070633415</v>
      </c>
      <c r="L799">
        <v>7.5661053771227298</v>
      </c>
      <c r="M799">
        <v>20</v>
      </c>
      <c r="N799">
        <v>7.4409111903150915E-2</v>
      </c>
      <c r="O799">
        <v>182.49566788126882</v>
      </c>
      <c r="P799" s="1">
        <f t="shared" si="60"/>
        <v>6.7879204735139842</v>
      </c>
      <c r="Q799" s="1">
        <f t="shared" si="61"/>
        <v>1.0181880710270976</v>
      </c>
      <c r="R799" s="1">
        <f t="shared" si="62"/>
        <v>1.0090530565966775</v>
      </c>
      <c r="S799" s="1">
        <f t="shared" si="63"/>
        <v>5.3792175196669394E-2</v>
      </c>
      <c r="T799" s="56">
        <f t="shared" si="64"/>
        <v>0.52125864061317229</v>
      </c>
    </row>
    <row r="800" spans="1:20" x14ac:dyDescent="0.25">
      <c r="A800">
        <v>0.79804647020185226</v>
      </c>
      <c r="B800">
        <v>-0.53074018069310114</v>
      </c>
      <c r="D800">
        <v>0.80223813301100289</v>
      </c>
      <c r="E800">
        <v>-0.36122560572948714</v>
      </c>
      <c r="J800">
        <v>10</v>
      </c>
      <c r="K800">
        <v>0.18059313333651517</v>
      </c>
      <c r="L800">
        <v>10.844486370875218</v>
      </c>
      <c r="M800">
        <v>20</v>
      </c>
      <c r="N800">
        <v>0.46291250669128203</v>
      </c>
      <c r="O800">
        <v>164.15332108440919</v>
      </c>
      <c r="P800" s="1">
        <f t="shared" si="60"/>
        <v>6.2499216948315857</v>
      </c>
      <c r="Q800" s="1">
        <f t="shared" si="61"/>
        <v>0.9374882542247378</v>
      </c>
      <c r="R800" s="1">
        <f t="shared" si="62"/>
        <v>0.96823977104059189</v>
      </c>
      <c r="S800" s="1">
        <f t="shared" si="63"/>
        <v>-0.29158002160079738</v>
      </c>
      <c r="T800" s="56">
        <f t="shared" si="64"/>
        <v>0.38637853626250851</v>
      </c>
    </row>
    <row r="801" spans="1:20" x14ac:dyDescent="0.25">
      <c r="A801">
        <v>0.79849422809047077</v>
      </c>
      <c r="B801">
        <v>0.92284153652144596</v>
      </c>
      <c r="D801">
        <v>0.80233933606230312</v>
      </c>
      <c r="E801">
        <v>0.7176920428264566</v>
      </c>
      <c r="J801">
        <v>10</v>
      </c>
      <c r="K801">
        <v>0.14966667549742851</v>
      </c>
      <c r="L801">
        <v>8.7517142106733274</v>
      </c>
      <c r="M801">
        <v>20</v>
      </c>
      <c r="N801">
        <v>-0.35731807543015748</v>
      </c>
      <c r="O801">
        <v>227.74392894623332</v>
      </c>
      <c r="P801" s="1">
        <f t="shared" si="60"/>
        <v>8.4462729698895238</v>
      </c>
      <c r="Q801" s="1">
        <f t="shared" si="61"/>
        <v>1.2669409454834286</v>
      </c>
      <c r="R801" s="1">
        <f t="shared" si="62"/>
        <v>1.1255847127086565</v>
      </c>
      <c r="S801" s="1">
        <f t="shared" si="63"/>
        <v>0.45041900907445309</v>
      </c>
      <c r="T801" s="56">
        <f t="shared" si="64"/>
        <v>0.67206163071893543</v>
      </c>
    </row>
    <row r="802" spans="1:20" x14ac:dyDescent="0.25">
      <c r="A802">
        <v>0.79987459003547601</v>
      </c>
      <c r="B802">
        <v>-2.1469168132171035</v>
      </c>
      <c r="D802">
        <v>0.80244008888804386</v>
      </c>
      <c r="E802">
        <v>0.97172073424189875</v>
      </c>
      <c r="J802">
        <v>10</v>
      </c>
      <c r="K802">
        <v>1.1736119631677866E-2</v>
      </c>
      <c r="L802">
        <v>5.5335995512430305</v>
      </c>
      <c r="M802">
        <v>20</v>
      </c>
      <c r="N802">
        <v>1.3677629340236308E-3</v>
      </c>
      <c r="O802">
        <v>143.07867996309261</v>
      </c>
      <c r="P802" s="1">
        <f t="shared" si="60"/>
        <v>5.3075814112262734</v>
      </c>
      <c r="Q802" s="1">
        <f t="shared" si="61"/>
        <v>0.79613721168394103</v>
      </c>
      <c r="R802" s="1">
        <f t="shared" si="62"/>
        <v>0.89226521375874623</v>
      </c>
      <c r="S802" s="1">
        <f t="shared" si="63"/>
        <v>1.1620263277973837E-2</v>
      </c>
      <c r="T802" s="56">
        <f t="shared" si="64"/>
        <v>0.50459450897989422</v>
      </c>
    </row>
    <row r="803" spans="1:20" x14ac:dyDescent="0.25">
      <c r="A803">
        <v>0.801821615265775</v>
      </c>
      <c r="B803">
        <v>-0.74907802627421916</v>
      </c>
      <c r="D803">
        <v>0.80282974789957584</v>
      </c>
      <c r="E803">
        <v>1.8502039404211246</v>
      </c>
      <c r="J803">
        <v>10</v>
      </c>
      <c r="K803">
        <v>-0.10821986506925896</v>
      </c>
      <c r="L803">
        <v>5.3228387943557962</v>
      </c>
      <c r="M803">
        <v>20</v>
      </c>
      <c r="N803">
        <v>0.41351568938807759</v>
      </c>
      <c r="O803">
        <v>178.97916048953107</v>
      </c>
      <c r="P803" s="1">
        <f t="shared" si="60"/>
        <v>6.5822142601388167</v>
      </c>
      <c r="Q803" s="1">
        <f t="shared" si="61"/>
        <v>0.98733213902082251</v>
      </c>
      <c r="R803" s="1">
        <f t="shared" si="62"/>
        <v>0.99364588210328864</v>
      </c>
      <c r="S803" s="1">
        <f t="shared" si="63"/>
        <v>-0.52507192336263575</v>
      </c>
      <c r="T803" s="56">
        <f t="shared" si="64"/>
        <v>0.30183321911927552</v>
      </c>
    </row>
    <row r="804" spans="1:20" x14ac:dyDescent="0.25">
      <c r="A804">
        <v>0.80211038537841672</v>
      </c>
      <c r="B804">
        <v>-0.24938344722613692</v>
      </c>
      <c r="D804">
        <v>0.80606196467622326</v>
      </c>
      <c r="E804">
        <v>1.2027414834392403</v>
      </c>
      <c r="J804">
        <v>10</v>
      </c>
      <c r="K804">
        <v>-0.14841134543530643</v>
      </c>
      <c r="L804">
        <v>6.2872572179804429</v>
      </c>
      <c r="M804">
        <v>20</v>
      </c>
      <c r="N804">
        <v>0.22444436012847291</v>
      </c>
      <c r="O804">
        <v>141.5254072221104</v>
      </c>
      <c r="P804" s="1">
        <f t="shared" si="60"/>
        <v>5.279023730003245</v>
      </c>
      <c r="Q804" s="1">
        <f t="shared" si="61"/>
        <v>0.79185355950048675</v>
      </c>
      <c r="R804" s="1">
        <f t="shared" si="62"/>
        <v>0.88986153951077507</v>
      </c>
      <c r="S804" s="1">
        <f t="shared" si="63"/>
        <v>-0.41900418099737924</v>
      </c>
      <c r="T804" s="56">
        <f t="shared" si="64"/>
        <v>0.33920503497368482</v>
      </c>
    </row>
    <row r="805" spans="1:20" x14ac:dyDescent="0.25">
      <c r="A805">
        <v>0.80261302929647516</v>
      </c>
      <c r="B805">
        <v>-0.83005716078332625</v>
      </c>
      <c r="D805">
        <v>0.80677475103952012</v>
      </c>
      <c r="E805">
        <v>-1.6802021070816409</v>
      </c>
      <c r="J805">
        <v>10</v>
      </c>
      <c r="K805">
        <v>0.1537615617053234</v>
      </c>
      <c r="L805">
        <v>4.8859434194827651</v>
      </c>
      <c r="M805">
        <v>20</v>
      </c>
      <c r="N805">
        <v>1.2955600789155142</v>
      </c>
      <c r="O805">
        <v>164.00938748335568</v>
      </c>
      <c r="P805" s="1">
        <f t="shared" si="60"/>
        <v>6.0319761036728021</v>
      </c>
      <c r="Q805" s="1">
        <f t="shared" si="61"/>
        <v>0.90479641555092027</v>
      </c>
      <c r="R805" s="1">
        <f t="shared" si="62"/>
        <v>0.95120787189284772</v>
      </c>
      <c r="S805" s="1">
        <f t="shared" si="63"/>
        <v>-1.2003669765033367</v>
      </c>
      <c r="T805" s="56">
        <f t="shared" si="64"/>
        <v>0.12002718638911133</v>
      </c>
    </row>
    <row r="806" spans="1:20" x14ac:dyDescent="0.25">
      <c r="A806">
        <v>0.80277537622700557</v>
      </c>
      <c r="B806">
        <v>-0.39245378502528183</v>
      </c>
      <c r="D806">
        <v>0.80770571080656761</v>
      </c>
      <c r="E806">
        <v>-1.631853368735392</v>
      </c>
      <c r="J806">
        <v>10</v>
      </c>
      <c r="K806">
        <v>-0.51930794597865315</v>
      </c>
      <c r="L806">
        <v>11.07373932615973</v>
      </c>
      <c r="M806">
        <v>20</v>
      </c>
      <c r="N806">
        <v>0.99557160751828633</v>
      </c>
      <c r="O806">
        <v>89.883013596446645</v>
      </c>
      <c r="P806" s="1">
        <f t="shared" si="60"/>
        <v>3.6055983186645131</v>
      </c>
      <c r="Q806" s="1">
        <f t="shared" si="61"/>
        <v>0.54083974779967692</v>
      </c>
      <c r="R806" s="1">
        <f t="shared" si="62"/>
        <v>0.7354180768785038</v>
      </c>
      <c r="S806" s="1">
        <f t="shared" si="63"/>
        <v>-2.0598889272981635</v>
      </c>
      <c r="T806" s="56">
        <f t="shared" si="64"/>
        <v>2.4406919774236993E-2</v>
      </c>
    </row>
    <row r="807" spans="1:20" x14ac:dyDescent="0.25">
      <c r="A807">
        <v>0.80375327122646478</v>
      </c>
      <c r="B807">
        <v>1.6265903468593024</v>
      </c>
      <c r="D807">
        <v>0.80800323564152421</v>
      </c>
      <c r="E807">
        <v>-5.425278462780625</v>
      </c>
      <c r="J807">
        <v>10</v>
      </c>
      <c r="K807">
        <v>7.8279072113218717E-3</v>
      </c>
      <c r="L807">
        <v>4.7145010819311359</v>
      </c>
      <c r="M807">
        <v>20</v>
      </c>
      <c r="N807">
        <v>0.3882552130107797</v>
      </c>
      <c r="O807">
        <v>220.08246486071457</v>
      </c>
      <c r="P807" s="1">
        <f t="shared" si="60"/>
        <v>8.0284630693802033</v>
      </c>
      <c r="Q807" s="1">
        <f t="shared" si="61"/>
        <v>1.2042694604070305</v>
      </c>
      <c r="R807" s="1">
        <f t="shared" si="62"/>
        <v>1.0973921178899686</v>
      </c>
      <c r="S807" s="1">
        <f t="shared" si="63"/>
        <v>-0.3466648790324206</v>
      </c>
      <c r="T807" s="56">
        <f t="shared" si="64"/>
        <v>0.3657174634195528</v>
      </c>
    </row>
    <row r="808" spans="1:20" x14ac:dyDescent="0.25">
      <c r="A808">
        <v>0.80384827094618871</v>
      </c>
      <c r="B808">
        <v>-1.1204542715859134</v>
      </c>
      <c r="D808">
        <v>0.80827482260014283</v>
      </c>
      <c r="E808">
        <v>-1.3707749565128324</v>
      </c>
      <c r="J808">
        <v>10</v>
      </c>
      <c r="K808">
        <v>-0.39376675431412878</v>
      </c>
      <c r="L808">
        <v>5.1109538146841329</v>
      </c>
      <c r="M808">
        <v>20</v>
      </c>
      <c r="N808">
        <v>0.24902459131226351</v>
      </c>
      <c r="O808">
        <v>137.35785116551511</v>
      </c>
      <c r="P808" s="1">
        <f t="shared" si="60"/>
        <v>5.0881716064356874</v>
      </c>
      <c r="Q808" s="1">
        <f t="shared" si="61"/>
        <v>0.76322574096535312</v>
      </c>
      <c r="R808" s="1">
        <f t="shared" si="62"/>
        <v>0.87362791906243076</v>
      </c>
      <c r="S808" s="1">
        <f t="shared" si="63"/>
        <v>-0.73577243996074426</v>
      </c>
      <c r="T808" s="56">
        <f t="shared" si="64"/>
        <v>0.23399423856712054</v>
      </c>
    </row>
    <row r="809" spans="1:20" x14ac:dyDescent="0.25">
      <c r="A809">
        <v>0.80392019233902956</v>
      </c>
      <c r="B809">
        <v>-0.73437149694655091</v>
      </c>
      <c r="D809">
        <v>0.80845141960430977</v>
      </c>
      <c r="E809">
        <v>3.7407773982067738</v>
      </c>
      <c r="J809">
        <v>10</v>
      </c>
      <c r="K809">
        <v>-9.5873474492691457E-2</v>
      </c>
      <c r="L809">
        <v>11.873879341551204</v>
      </c>
      <c r="M809">
        <v>20</v>
      </c>
      <c r="N809">
        <v>0.67641689952324668</v>
      </c>
      <c r="O809">
        <v>165.67026884425132</v>
      </c>
      <c r="P809" s="1">
        <f t="shared" si="60"/>
        <v>6.3408624352072334</v>
      </c>
      <c r="Q809" s="1">
        <f t="shared" si="61"/>
        <v>0.95112936528108494</v>
      </c>
      <c r="R809" s="1">
        <f t="shared" si="62"/>
        <v>0.97525861456389351</v>
      </c>
      <c r="S809" s="1">
        <f t="shared" si="63"/>
        <v>-0.79188264782596496</v>
      </c>
      <c r="T809" s="56">
        <f t="shared" si="64"/>
        <v>0.21754344554389854</v>
      </c>
    </row>
    <row r="810" spans="1:20" x14ac:dyDescent="0.25">
      <c r="A810">
        <v>0.80529186772084771</v>
      </c>
      <c r="B810">
        <v>-0.79430947153014131</v>
      </c>
      <c r="D810">
        <v>0.80901162448066799</v>
      </c>
      <c r="E810">
        <v>3.7147681234728225</v>
      </c>
      <c r="J810">
        <v>10</v>
      </c>
      <c r="K810">
        <v>-0.20291611235734308</v>
      </c>
      <c r="L810">
        <v>9.0844690924246869</v>
      </c>
      <c r="M810">
        <v>20</v>
      </c>
      <c r="N810">
        <v>-0.49879458060786419</v>
      </c>
      <c r="O810">
        <v>126.44376464392825</v>
      </c>
      <c r="P810" s="1">
        <f t="shared" si="60"/>
        <v>4.8402940620126049</v>
      </c>
      <c r="Q810" s="1">
        <f t="shared" si="61"/>
        <v>0.72604410930189067</v>
      </c>
      <c r="R810" s="1">
        <f t="shared" si="62"/>
        <v>0.85208221980152288</v>
      </c>
      <c r="S810" s="1">
        <f t="shared" si="63"/>
        <v>0.3472416879200233</v>
      </c>
      <c r="T810" s="56">
        <f t="shared" si="64"/>
        <v>0.63449685042794524</v>
      </c>
    </row>
    <row r="811" spans="1:20" x14ac:dyDescent="0.25">
      <c r="A811">
        <v>0.80671653201968307</v>
      </c>
      <c r="B811">
        <v>0.77629465522477403</v>
      </c>
      <c r="D811">
        <v>0.80929825895253726</v>
      </c>
      <c r="E811">
        <v>8.5079166149171215</v>
      </c>
      <c r="J811">
        <v>10</v>
      </c>
      <c r="K811">
        <v>0.5168220695850323</v>
      </c>
      <c r="L811">
        <v>7.179116351524697</v>
      </c>
      <c r="M811">
        <v>20</v>
      </c>
      <c r="N811">
        <v>-0.39169441720332543</v>
      </c>
      <c r="O811">
        <v>172.16215539501133</v>
      </c>
      <c r="P811" s="1">
        <f t="shared" si="60"/>
        <v>6.4050454195191433</v>
      </c>
      <c r="Q811" s="1">
        <f t="shared" si="61"/>
        <v>0.96075681292787141</v>
      </c>
      <c r="R811" s="1">
        <f t="shared" si="62"/>
        <v>0.98018203050651331</v>
      </c>
      <c r="S811" s="1">
        <f t="shared" si="63"/>
        <v>0.92688547485294936</v>
      </c>
      <c r="T811" s="56">
        <f t="shared" si="64"/>
        <v>0.81904647061120595</v>
      </c>
    </row>
    <row r="812" spans="1:20" x14ac:dyDescent="0.25">
      <c r="A812">
        <v>0.80714232035468791</v>
      </c>
      <c r="B812">
        <v>3.1366653274744749</v>
      </c>
      <c r="D812">
        <v>0.81138734379421307</v>
      </c>
      <c r="E812">
        <v>2.8121651178025786</v>
      </c>
      <c r="J812">
        <v>10</v>
      </c>
      <c r="K812">
        <v>-0.20380628029670333</v>
      </c>
      <c r="L812">
        <v>12.256744421697476</v>
      </c>
      <c r="M812">
        <v>20</v>
      </c>
      <c r="N812">
        <v>1.3565104916324344</v>
      </c>
      <c r="O812">
        <v>365.16582922644199</v>
      </c>
      <c r="P812" s="1">
        <f t="shared" si="60"/>
        <v>13.479377630290696</v>
      </c>
      <c r="Q812" s="1">
        <f t="shared" si="61"/>
        <v>2.0219066445436042</v>
      </c>
      <c r="R812" s="1">
        <f t="shared" si="62"/>
        <v>1.4219376373609371</v>
      </c>
      <c r="S812" s="1">
        <f t="shared" si="63"/>
        <v>-1.0973173020618732</v>
      </c>
      <c r="T812" s="56">
        <f t="shared" si="64"/>
        <v>0.14092513385531225</v>
      </c>
    </row>
    <row r="813" spans="1:20" x14ac:dyDescent="0.25">
      <c r="A813">
        <v>0.80744599541507067</v>
      </c>
      <c r="B813">
        <v>-0.2167610091419192</v>
      </c>
      <c r="D813">
        <v>0.81147625348189734</v>
      </c>
      <c r="E813">
        <v>0.52965173949814925</v>
      </c>
      <c r="J813">
        <v>10</v>
      </c>
      <c r="K813">
        <v>-0.14265958725445671</v>
      </c>
      <c r="L813">
        <v>5.4734427226814564</v>
      </c>
      <c r="M813">
        <v>20</v>
      </c>
      <c r="N813">
        <v>0.65368504579055298</v>
      </c>
      <c r="O813">
        <v>172.40980559280618</v>
      </c>
      <c r="P813" s="1">
        <f t="shared" si="60"/>
        <v>6.352973154124558</v>
      </c>
      <c r="Q813" s="1">
        <f t="shared" si="61"/>
        <v>0.95294597311868368</v>
      </c>
      <c r="R813" s="1">
        <f t="shared" si="62"/>
        <v>0.97618951700921464</v>
      </c>
      <c r="S813" s="1">
        <f t="shared" si="63"/>
        <v>-0.81576847442984035</v>
      </c>
      <c r="T813" s="56">
        <f t="shared" si="64"/>
        <v>0.21075915823763397</v>
      </c>
    </row>
    <row r="814" spans="1:20" x14ac:dyDescent="0.25">
      <c r="A814">
        <v>0.8099519112577398</v>
      </c>
      <c r="B814">
        <v>1.3008661881031003</v>
      </c>
      <c r="D814">
        <v>0.81175025017977376</v>
      </c>
      <c r="E814">
        <v>-1.4760637475319527</v>
      </c>
      <c r="J814">
        <v>10</v>
      </c>
      <c r="K814">
        <v>4.3674276639649179E-2</v>
      </c>
      <c r="L814">
        <v>11.262915496804887</v>
      </c>
      <c r="M814">
        <v>20</v>
      </c>
      <c r="N814">
        <v>0.37571390635093849</v>
      </c>
      <c r="O814">
        <v>366.77850296343013</v>
      </c>
      <c r="P814" s="1">
        <f t="shared" si="60"/>
        <v>13.50147923072268</v>
      </c>
      <c r="Q814" s="1">
        <f t="shared" si="61"/>
        <v>2.0252218846084018</v>
      </c>
      <c r="R814" s="1">
        <f t="shared" si="62"/>
        <v>1.4231029072447297</v>
      </c>
      <c r="S814" s="1">
        <f t="shared" si="63"/>
        <v>-0.23332088496267037</v>
      </c>
      <c r="T814" s="56">
        <f t="shared" si="64"/>
        <v>0.40860479489264828</v>
      </c>
    </row>
    <row r="815" spans="1:20" x14ac:dyDescent="0.25">
      <c r="A815">
        <v>0.81072386291485177</v>
      </c>
      <c r="B815">
        <v>-0.37589870771626011</v>
      </c>
      <c r="D815">
        <v>0.81181249876084438</v>
      </c>
      <c r="E815">
        <v>0.36036635378877691</v>
      </c>
      <c r="J815">
        <v>10</v>
      </c>
      <c r="K815">
        <v>0.53677069900004426</v>
      </c>
      <c r="L815">
        <v>14.611855683808013</v>
      </c>
      <c r="M815">
        <v>20</v>
      </c>
      <c r="N815">
        <v>6.9107667286516516E-2</v>
      </c>
      <c r="O815">
        <v>198.64870351347159</v>
      </c>
      <c r="P815" s="1">
        <f t="shared" si="60"/>
        <v>7.6164485427599855</v>
      </c>
      <c r="Q815" s="1">
        <f t="shared" si="61"/>
        <v>1.1424672814139978</v>
      </c>
      <c r="R815" s="1">
        <f t="shared" si="62"/>
        <v>1.068862611103035</v>
      </c>
      <c r="S815" s="1">
        <f t="shared" si="63"/>
        <v>0.4375333432525188</v>
      </c>
      <c r="T815" s="56">
        <f t="shared" si="64"/>
        <v>0.66745947407590434</v>
      </c>
    </row>
    <row r="816" spans="1:20" x14ac:dyDescent="0.25">
      <c r="A816">
        <v>0.81293272790143689</v>
      </c>
      <c r="B816">
        <v>-0.55886971495056059</v>
      </c>
      <c r="D816">
        <v>0.81284986370345191</v>
      </c>
      <c r="E816">
        <v>1.3866037954812782</v>
      </c>
      <c r="J816">
        <v>10</v>
      </c>
      <c r="K816">
        <v>0.31861634397500893</v>
      </c>
      <c r="L816">
        <v>3.3100190211697527</v>
      </c>
      <c r="M816">
        <v>20</v>
      </c>
      <c r="N816">
        <v>0.43433078303678485</v>
      </c>
      <c r="O816">
        <v>289.42341931431508</v>
      </c>
      <c r="P816" s="1">
        <f t="shared" si="60"/>
        <v>10.454765654838743</v>
      </c>
      <c r="Q816" s="1">
        <f t="shared" si="61"/>
        <v>1.5682148482258114</v>
      </c>
      <c r="R816" s="1">
        <f t="shared" si="62"/>
        <v>1.2522838528967031</v>
      </c>
      <c r="S816" s="1">
        <f t="shared" si="63"/>
        <v>-9.2402723866568004E-2</v>
      </c>
      <c r="T816" s="56">
        <f t="shared" si="64"/>
        <v>0.46351802203735171</v>
      </c>
    </row>
    <row r="817" spans="1:20" x14ac:dyDescent="0.25">
      <c r="A817">
        <v>0.8136510716133537</v>
      </c>
      <c r="B817">
        <v>0.36901155908708461</v>
      </c>
      <c r="D817">
        <v>0.81389759769147163</v>
      </c>
      <c r="E817">
        <v>3.668540781518459</v>
      </c>
      <c r="J817">
        <v>10</v>
      </c>
      <c r="K817">
        <v>7.3850515036610886E-2</v>
      </c>
      <c r="L817">
        <v>6.1635907477564613</v>
      </c>
      <c r="M817">
        <v>20</v>
      </c>
      <c r="N817">
        <v>0.10690484600672789</v>
      </c>
      <c r="O817">
        <v>128.90855060662122</v>
      </c>
      <c r="P817" s="1">
        <f t="shared" si="60"/>
        <v>4.8240050483706316</v>
      </c>
      <c r="Q817" s="1">
        <f t="shared" si="61"/>
        <v>0.7236007572555947</v>
      </c>
      <c r="R817" s="1">
        <f t="shared" si="62"/>
        <v>0.85064725783111461</v>
      </c>
      <c r="S817" s="1">
        <f t="shared" si="63"/>
        <v>-3.8857858725595905E-2</v>
      </c>
      <c r="T817" s="56">
        <f t="shared" si="64"/>
        <v>0.48463972672551159</v>
      </c>
    </row>
    <row r="818" spans="1:20" x14ac:dyDescent="0.25">
      <c r="A818">
        <v>0.81462792134862638</v>
      </c>
      <c r="B818">
        <v>-0.4009780241176486</v>
      </c>
      <c r="D818">
        <v>0.81484062024032455</v>
      </c>
      <c r="E818">
        <v>0.18966215634463879</v>
      </c>
      <c r="J818">
        <v>10</v>
      </c>
      <c r="K818">
        <v>-0.97296299372828798</v>
      </c>
      <c r="L818">
        <v>3.9398211074504337</v>
      </c>
      <c r="M818">
        <v>20</v>
      </c>
      <c r="N818">
        <v>-0.84954462295172561</v>
      </c>
      <c r="O818">
        <v>98.477172243880275</v>
      </c>
      <c r="P818" s="1">
        <f t="shared" si="60"/>
        <v>3.657749762547525</v>
      </c>
      <c r="Q818" s="1">
        <f t="shared" si="61"/>
        <v>0.54866246438212873</v>
      </c>
      <c r="R818" s="1">
        <f t="shared" si="62"/>
        <v>0.74071753346476732</v>
      </c>
      <c r="S818" s="1">
        <f t="shared" si="63"/>
        <v>-0.16662002072404411</v>
      </c>
      <c r="T818" s="56">
        <f t="shared" si="64"/>
        <v>0.43443323145158697</v>
      </c>
    </row>
    <row r="819" spans="1:20" x14ac:dyDescent="0.25">
      <c r="A819">
        <v>0.81549823703398172</v>
      </c>
      <c r="B819">
        <v>-0.35830566957884002</v>
      </c>
      <c r="D819">
        <v>0.81499629498495496</v>
      </c>
      <c r="E819">
        <v>-2.3165937398061942</v>
      </c>
      <c r="J819">
        <v>10</v>
      </c>
      <c r="K819">
        <v>0.18176172034145566</v>
      </c>
      <c r="L819">
        <v>9.4470896494218231</v>
      </c>
      <c r="M819">
        <v>20</v>
      </c>
      <c r="N819">
        <v>0.36304436093814729</v>
      </c>
      <c r="O819">
        <v>155.6332378402565</v>
      </c>
      <c r="P819" s="1">
        <f t="shared" si="60"/>
        <v>5.895725981774226</v>
      </c>
      <c r="Q819" s="1">
        <f t="shared" si="61"/>
        <v>0.88435889726613393</v>
      </c>
      <c r="R819" s="1">
        <f t="shared" si="62"/>
        <v>0.94040358212106678</v>
      </c>
      <c r="S819" s="1">
        <f t="shared" si="63"/>
        <v>-0.19277110811063825</v>
      </c>
      <c r="T819" s="56">
        <f t="shared" si="64"/>
        <v>0.4242648310879068</v>
      </c>
    </row>
    <row r="820" spans="1:20" x14ac:dyDescent="0.25">
      <c r="A820">
        <v>0.81552690796630545</v>
      </c>
      <c r="B820">
        <v>1.2706209417956416</v>
      </c>
      <c r="D820">
        <v>0.81602662822873673</v>
      </c>
      <c r="E820">
        <v>3.4926412126878859E-2</v>
      </c>
      <c r="J820">
        <v>10</v>
      </c>
      <c r="K820">
        <v>-0.29322552563826321</v>
      </c>
      <c r="L820">
        <v>10.412350725961744</v>
      </c>
      <c r="M820">
        <v>20</v>
      </c>
      <c r="N820">
        <v>0.4145226705531968</v>
      </c>
      <c r="O820">
        <v>181.91087238543668</v>
      </c>
      <c r="P820" s="1">
        <f t="shared" si="60"/>
        <v>6.868686539692801</v>
      </c>
      <c r="Q820" s="1">
        <f t="shared" si="61"/>
        <v>1.0303029809539201</v>
      </c>
      <c r="R820" s="1">
        <f t="shared" si="62"/>
        <v>1.0150384135361183</v>
      </c>
      <c r="S820" s="1">
        <f t="shared" si="63"/>
        <v>-0.69726247475290848</v>
      </c>
      <c r="T820" s="56">
        <f t="shared" si="64"/>
        <v>0.24569396719121045</v>
      </c>
    </row>
    <row r="821" spans="1:20" x14ac:dyDescent="0.25">
      <c r="A821">
        <v>0.81664874261475073</v>
      </c>
      <c r="B821">
        <v>1.0258963811793365</v>
      </c>
      <c r="D821">
        <v>0.82131784421639309</v>
      </c>
      <c r="E821">
        <v>-1.009342898896648</v>
      </c>
      <c r="J821">
        <v>10</v>
      </c>
      <c r="K821">
        <v>3.9915789784572553E-2</v>
      </c>
      <c r="L821">
        <v>7.2106723323222095</v>
      </c>
      <c r="M821">
        <v>20</v>
      </c>
      <c r="N821">
        <v>-0.38358195183718635</v>
      </c>
      <c r="O821">
        <v>166.2818384557859</v>
      </c>
      <c r="P821" s="1">
        <f t="shared" si="60"/>
        <v>6.1961610995752903</v>
      </c>
      <c r="Q821" s="1">
        <f t="shared" si="61"/>
        <v>0.92942416493629354</v>
      </c>
      <c r="R821" s="1">
        <f t="shared" si="62"/>
        <v>0.96406647329750739</v>
      </c>
      <c r="S821" s="1">
        <f t="shared" si="63"/>
        <v>0.43928271893246207</v>
      </c>
      <c r="T821" s="56">
        <f t="shared" si="64"/>
        <v>0.66808585332861625</v>
      </c>
    </row>
    <row r="822" spans="1:20" x14ac:dyDescent="0.25">
      <c r="A822">
        <v>0.81794361105167157</v>
      </c>
      <c r="B822">
        <v>7.9987785284174606E-2</v>
      </c>
      <c r="D822">
        <v>0.82217726959867288</v>
      </c>
      <c r="E822">
        <v>-4.8422286943150539</v>
      </c>
      <c r="J822">
        <v>10</v>
      </c>
      <c r="K822">
        <v>-0.29237048693175893</v>
      </c>
      <c r="L822">
        <v>10.376765418404272</v>
      </c>
      <c r="M822">
        <v>20</v>
      </c>
      <c r="N822">
        <v>-0.25894377472468477</v>
      </c>
      <c r="O822">
        <v>219.68736187110005</v>
      </c>
      <c r="P822" s="1">
        <f t="shared" si="60"/>
        <v>8.2165759746251545</v>
      </c>
      <c r="Q822" s="1">
        <f t="shared" si="61"/>
        <v>1.2324863961937731</v>
      </c>
      <c r="R822" s="1">
        <f t="shared" si="62"/>
        <v>1.1101740386956331</v>
      </c>
      <c r="S822" s="1">
        <f t="shared" si="63"/>
        <v>-3.0109434234606953E-2</v>
      </c>
      <c r="T822" s="56">
        <f t="shared" si="64"/>
        <v>0.48809668584694921</v>
      </c>
    </row>
    <row r="823" spans="1:20" x14ac:dyDescent="0.25">
      <c r="A823">
        <v>0.81841412410353587</v>
      </c>
      <c r="B823">
        <v>6.0049387684557587E-2</v>
      </c>
      <c r="D823">
        <v>0.82388557213162883</v>
      </c>
      <c r="E823">
        <v>-6.0377412899015326</v>
      </c>
      <c r="J823">
        <v>10</v>
      </c>
      <c r="K823">
        <v>-0.32371576708101202</v>
      </c>
      <c r="L823">
        <v>14.253961617486741</v>
      </c>
      <c r="M823">
        <v>20</v>
      </c>
      <c r="N823">
        <v>-0.85407168967321923</v>
      </c>
      <c r="O823">
        <v>124.90734692393443</v>
      </c>
      <c r="P823" s="1">
        <f t="shared" si="60"/>
        <v>4.9700467336221843</v>
      </c>
      <c r="Q823" s="1">
        <f t="shared" si="61"/>
        <v>0.74550701004332764</v>
      </c>
      <c r="R823" s="1">
        <f t="shared" si="62"/>
        <v>0.86342747816092091</v>
      </c>
      <c r="S823" s="1">
        <f t="shared" si="63"/>
        <v>0.61424489723427866</v>
      </c>
      <c r="T823" s="56">
        <f t="shared" si="64"/>
        <v>0.72799366804478094</v>
      </c>
    </row>
    <row r="824" spans="1:20" x14ac:dyDescent="0.25">
      <c r="A824">
        <v>0.81994685999590722</v>
      </c>
      <c r="B824">
        <v>0.21167352315387689</v>
      </c>
      <c r="D824">
        <v>0.82420398296699293</v>
      </c>
      <c r="E824">
        <v>-3.5376654102492466</v>
      </c>
      <c r="J824">
        <v>10</v>
      </c>
      <c r="K824">
        <v>-0.1875808948170743</v>
      </c>
      <c r="L824">
        <v>8.7755872461601996</v>
      </c>
      <c r="M824">
        <v>20</v>
      </c>
      <c r="N824">
        <v>0.576631631474811</v>
      </c>
      <c r="O824">
        <v>147.33465254919082</v>
      </c>
      <c r="P824" s="1">
        <f t="shared" si="60"/>
        <v>5.5753657069768225</v>
      </c>
      <c r="Q824" s="1">
        <f t="shared" si="61"/>
        <v>0.83630485604652338</v>
      </c>
      <c r="R824" s="1">
        <f t="shared" si="62"/>
        <v>0.91449705086813893</v>
      </c>
      <c r="S824" s="1">
        <f t="shared" si="63"/>
        <v>-0.83566428734396969</v>
      </c>
      <c r="T824" s="56">
        <f t="shared" si="64"/>
        <v>0.20520919640981067</v>
      </c>
    </row>
    <row r="825" spans="1:20" x14ac:dyDescent="0.25">
      <c r="A825">
        <v>0.82021584828924077</v>
      </c>
      <c r="B825">
        <v>-1.0807843864313327</v>
      </c>
      <c r="D825">
        <v>0.82522572748090872</v>
      </c>
      <c r="E825">
        <v>-4.5449467086200457</v>
      </c>
      <c r="J825">
        <v>10</v>
      </c>
      <c r="K825">
        <v>-4.9080313146987464E-2</v>
      </c>
      <c r="L825">
        <v>5.7606125108410318</v>
      </c>
      <c r="M825">
        <v>20</v>
      </c>
      <c r="N825">
        <v>0.75689302661885449</v>
      </c>
      <c r="O825">
        <v>124.29574483893751</v>
      </c>
      <c r="P825" s="1">
        <f t="shared" si="60"/>
        <v>4.6448699053492337</v>
      </c>
      <c r="Q825" s="1">
        <f t="shared" si="61"/>
        <v>0.69673048580238506</v>
      </c>
      <c r="R825" s="1">
        <f t="shared" si="62"/>
        <v>0.83470383118947344</v>
      </c>
      <c r="S825" s="1">
        <f t="shared" si="63"/>
        <v>-0.96558001730662979</v>
      </c>
      <c r="T825" s="56">
        <f t="shared" si="64"/>
        <v>0.17126034331499035</v>
      </c>
    </row>
    <row r="826" spans="1:20" x14ac:dyDescent="0.25">
      <c r="A826">
        <v>0.82148863381955028</v>
      </c>
      <c r="B826">
        <v>-1.2713076102954801</v>
      </c>
      <c r="D826">
        <v>0.82896441743911164</v>
      </c>
      <c r="E826">
        <v>1.8283146766862046</v>
      </c>
      <c r="J826">
        <v>10</v>
      </c>
      <c r="K826">
        <v>0.42766100705193821</v>
      </c>
      <c r="L826">
        <v>4.2656477830930779</v>
      </c>
      <c r="M826">
        <v>20</v>
      </c>
      <c r="N826">
        <v>-1.0118780016910023</v>
      </c>
      <c r="O826">
        <v>170.76177431191826</v>
      </c>
      <c r="P826" s="1">
        <f t="shared" si="60"/>
        <v>6.2509793605361192</v>
      </c>
      <c r="Q826" s="1">
        <f t="shared" si="61"/>
        <v>0.93764690408041784</v>
      </c>
      <c r="R826" s="1">
        <f t="shared" si="62"/>
        <v>0.96832169452120498</v>
      </c>
      <c r="S826" s="1">
        <f t="shared" si="63"/>
        <v>1.4866330238059295</v>
      </c>
      <c r="T826" s="56">
        <f t="shared" si="64"/>
        <v>0.92585674840820387</v>
      </c>
    </row>
    <row r="827" spans="1:20" x14ac:dyDescent="0.25">
      <c r="A827">
        <v>0.82432049374011607</v>
      </c>
      <c r="B827">
        <v>0.6644154382229317</v>
      </c>
      <c r="D827">
        <v>0.82913122210725343</v>
      </c>
      <c r="E827">
        <v>-5.7579430858822889E-2</v>
      </c>
      <c r="J827">
        <v>10</v>
      </c>
      <c r="K827">
        <v>-6.6427332967577968E-2</v>
      </c>
      <c r="L827">
        <v>9.6674481133399564</v>
      </c>
      <c r="M827">
        <v>20</v>
      </c>
      <c r="N827">
        <v>0.27481473466650641</v>
      </c>
      <c r="O827">
        <v>134.1878812507311</v>
      </c>
      <c r="P827" s="1">
        <f t="shared" si="60"/>
        <v>5.1376903344311087</v>
      </c>
      <c r="Q827" s="1">
        <f t="shared" si="61"/>
        <v>0.7706535501646663</v>
      </c>
      <c r="R827" s="1">
        <f t="shared" si="62"/>
        <v>0.87786875452123614</v>
      </c>
      <c r="S827" s="1">
        <f t="shared" si="63"/>
        <v>-0.38871649762747029</v>
      </c>
      <c r="T827" s="56">
        <f t="shared" si="64"/>
        <v>0.3502130599593849</v>
      </c>
    </row>
    <row r="828" spans="1:20" x14ac:dyDescent="0.25">
      <c r="A828">
        <v>0.82508032843068235</v>
      </c>
      <c r="B828">
        <v>-0.10341864253859967</v>
      </c>
      <c r="D828">
        <v>0.83377414815576312</v>
      </c>
      <c r="E828">
        <v>2.9238965419153828</v>
      </c>
      <c r="J828">
        <v>10</v>
      </c>
      <c r="K828">
        <v>-4.9129880608234089E-2</v>
      </c>
      <c r="L828">
        <v>6.2202841839184533</v>
      </c>
      <c r="M828">
        <v>20</v>
      </c>
      <c r="N828">
        <v>-0.72744819931358506</v>
      </c>
      <c r="O828">
        <v>137.53786480297546</v>
      </c>
      <c r="P828" s="1">
        <f t="shared" si="60"/>
        <v>5.1342196066747832</v>
      </c>
      <c r="Q828" s="1">
        <f t="shared" si="61"/>
        <v>0.77013294100121743</v>
      </c>
      <c r="R828" s="1">
        <f t="shared" si="62"/>
        <v>0.87757218563558492</v>
      </c>
      <c r="S828" s="1">
        <f t="shared" si="63"/>
        <v>0.77294874405582537</v>
      </c>
      <c r="T828" s="56">
        <f t="shared" si="64"/>
        <v>0.77698544804802472</v>
      </c>
    </row>
    <row r="829" spans="1:20" x14ac:dyDescent="0.25">
      <c r="A829">
        <v>0.82633850575900991</v>
      </c>
      <c r="B829">
        <v>0.43579689190664794</v>
      </c>
      <c r="D829">
        <v>0.83578771490146309</v>
      </c>
      <c r="E829">
        <v>2.8085294127322413</v>
      </c>
      <c r="J829">
        <v>10</v>
      </c>
      <c r="K829">
        <v>9.2908635451749433E-2</v>
      </c>
      <c r="L829">
        <v>6.1665940180641785</v>
      </c>
      <c r="M829">
        <v>20</v>
      </c>
      <c r="N829">
        <v>-1.135986852887072</v>
      </c>
      <c r="O829">
        <v>224.15647426173155</v>
      </c>
      <c r="P829" s="1">
        <f t="shared" si="60"/>
        <v>8.2258238671355617</v>
      </c>
      <c r="Q829" s="1">
        <f t="shared" si="61"/>
        <v>1.2338735800703342</v>
      </c>
      <c r="R829" s="1">
        <f t="shared" si="62"/>
        <v>1.1107986226451374</v>
      </c>
      <c r="S829" s="1">
        <f t="shared" si="63"/>
        <v>1.1063170796993436</v>
      </c>
      <c r="T829" s="56">
        <f t="shared" si="64"/>
        <v>0.86099789946471916</v>
      </c>
    </row>
    <row r="830" spans="1:20" x14ac:dyDescent="0.25">
      <c r="A830">
        <v>0.8271929093794953</v>
      </c>
      <c r="B830">
        <v>-0.6296136234595906</v>
      </c>
      <c r="D830">
        <v>0.83666670196574355</v>
      </c>
      <c r="E830">
        <v>4.2146878024595935</v>
      </c>
      <c r="J830">
        <v>10</v>
      </c>
      <c r="K830">
        <v>-0.204953153115639</v>
      </c>
      <c r="L830">
        <v>6.2720302953418301</v>
      </c>
      <c r="M830">
        <v>20</v>
      </c>
      <c r="N830">
        <v>-0.41969139260800148</v>
      </c>
      <c r="O830">
        <v>195.58303024961063</v>
      </c>
      <c r="P830" s="1">
        <f t="shared" si="60"/>
        <v>7.2091093051768738</v>
      </c>
      <c r="Q830" s="1">
        <f t="shared" si="61"/>
        <v>1.0813663957765309</v>
      </c>
      <c r="R830" s="1">
        <f t="shared" si="62"/>
        <v>1.0398876842123532</v>
      </c>
      <c r="S830" s="1">
        <f t="shared" si="63"/>
        <v>0.20650137774735991</v>
      </c>
      <c r="T830" s="56">
        <f t="shared" si="64"/>
        <v>0.5810532128385173</v>
      </c>
    </row>
    <row r="831" spans="1:20" x14ac:dyDescent="0.25">
      <c r="A831">
        <v>0.82857322695679181</v>
      </c>
      <c r="B831">
        <v>-1.7534148355480283</v>
      </c>
      <c r="D831">
        <v>0.83724369075157912</v>
      </c>
      <c r="E831">
        <v>-4.0260913499423623</v>
      </c>
      <c r="J831">
        <v>10</v>
      </c>
      <c r="K831">
        <v>0.59822457387781469</v>
      </c>
      <c r="L831">
        <v>7.1168777606534972</v>
      </c>
      <c r="M831">
        <v>20</v>
      </c>
      <c r="N831">
        <v>0.25007232920870592</v>
      </c>
      <c r="O831">
        <v>219.67364083676296</v>
      </c>
      <c r="P831" s="1">
        <f t="shared" si="60"/>
        <v>8.0996613784791585</v>
      </c>
      <c r="Q831" s="1">
        <f t="shared" si="61"/>
        <v>1.2149492067718737</v>
      </c>
      <c r="R831" s="1">
        <f t="shared" si="62"/>
        <v>1.1022473437354583</v>
      </c>
      <c r="S831" s="1">
        <f t="shared" si="63"/>
        <v>0.31585673274497456</v>
      </c>
      <c r="T831" s="56">
        <f t="shared" si="64"/>
        <v>0.6227731520944837</v>
      </c>
    </row>
    <row r="832" spans="1:20" x14ac:dyDescent="0.25">
      <c r="A832">
        <v>0.82898059677236635</v>
      </c>
      <c r="B832">
        <v>-6.6027041611960158E-2</v>
      </c>
      <c r="D832">
        <v>0.83760324855703583</v>
      </c>
      <c r="E832">
        <v>-1.1913396099316742</v>
      </c>
      <c r="J832">
        <v>10</v>
      </c>
      <c r="K832">
        <v>1.7196271073771641E-2</v>
      </c>
      <c r="L832">
        <v>4.33089654642251</v>
      </c>
      <c r="M832">
        <v>20</v>
      </c>
      <c r="N832">
        <v>0.7416940059101762</v>
      </c>
      <c r="O832">
        <v>132.92091186284983</v>
      </c>
      <c r="P832" s="1">
        <f t="shared" si="60"/>
        <v>4.9018503003311551</v>
      </c>
      <c r="Q832" s="1">
        <f t="shared" si="61"/>
        <v>0.73527754504967324</v>
      </c>
      <c r="R832" s="1">
        <f t="shared" si="62"/>
        <v>0.85748326225628058</v>
      </c>
      <c r="S832" s="1">
        <f t="shared" si="63"/>
        <v>-0.84491180962535228</v>
      </c>
      <c r="T832" s="56">
        <f t="shared" si="64"/>
        <v>0.20266103207083763</v>
      </c>
    </row>
    <row r="833" spans="1:20" x14ac:dyDescent="0.25">
      <c r="A833">
        <v>0.82936429806612721</v>
      </c>
      <c r="B833">
        <v>-0.18016862668446265</v>
      </c>
      <c r="D833">
        <v>0.83769282981867865</v>
      </c>
      <c r="E833">
        <v>0.95809195613583142</v>
      </c>
      <c r="J833">
        <v>10</v>
      </c>
      <c r="K833">
        <v>-0.55351972605421906</v>
      </c>
      <c r="L833">
        <v>15.997117754791173</v>
      </c>
      <c r="M833">
        <v>20</v>
      </c>
      <c r="N833">
        <v>-1.2444299420621974</v>
      </c>
      <c r="O833">
        <v>120.49514363346952</v>
      </c>
      <c r="P833" s="1">
        <f t="shared" si="60"/>
        <v>4.8747236210093101</v>
      </c>
      <c r="Q833" s="1">
        <f t="shared" si="61"/>
        <v>0.7312085431513965</v>
      </c>
      <c r="R833" s="1">
        <f t="shared" si="62"/>
        <v>0.85510732843976756</v>
      </c>
      <c r="S833" s="1">
        <f t="shared" si="63"/>
        <v>0.80798069789510052</v>
      </c>
      <c r="T833" s="56">
        <f t="shared" si="64"/>
        <v>0.78704337624928433</v>
      </c>
    </row>
    <row r="834" spans="1:20" x14ac:dyDescent="0.25">
      <c r="A834">
        <v>0.82944275028284176</v>
      </c>
      <c r="B834">
        <v>-0.81888060776691418</v>
      </c>
      <c r="D834">
        <v>0.837785133450061</v>
      </c>
      <c r="E834">
        <v>2.8020083357205294</v>
      </c>
      <c r="J834">
        <v>10</v>
      </c>
      <c r="K834">
        <v>0.52540883643814595</v>
      </c>
      <c r="L834">
        <v>6.6892682111539772</v>
      </c>
      <c r="M834">
        <v>20</v>
      </c>
      <c r="N834">
        <v>-0.38736226656510553</v>
      </c>
      <c r="O834">
        <v>284.32921532395642</v>
      </c>
      <c r="P834" s="1">
        <f t="shared" ref="P834:P897" si="65">(L834+O834)/(J834+M834-2)</f>
        <v>10.393517269111086</v>
      </c>
      <c r="Q834" s="1">
        <f t="shared" ref="Q834:Q897" si="66">P834*0.15</f>
        <v>1.5590275903666628</v>
      </c>
      <c r="R834" s="1">
        <f t="shared" ref="R834:R897" si="67">SQRT(Q834)</f>
        <v>1.2486102635997602</v>
      </c>
      <c r="S834" s="1">
        <f t="shared" ref="S834:S897" si="68">(K834-N834)/R834</f>
        <v>0.73102963319532555</v>
      </c>
      <c r="T834" s="56">
        <f t="shared" ref="T834:T897" si="69">_xlfn.T.DIST(S834,28,TRUE)</f>
        <v>0.76458262722113246</v>
      </c>
    </row>
    <row r="835" spans="1:20" x14ac:dyDescent="0.25">
      <c r="A835">
        <v>0.83075599698021863</v>
      </c>
      <c r="B835">
        <v>4.7408548198291101E-2</v>
      </c>
      <c r="D835">
        <v>0.83806477319018313</v>
      </c>
      <c r="E835">
        <v>-3.4555175750483613</v>
      </c>
      <c r="J835">
        <v>10</v>
      </c>
      <c r="K835">
        <v>-1.7870547708298545E-2</v>
      </c>
      <c r="L835">
        <v>4.7919729402353592</v>
      </c>
      <c r="M835">
        <v>20</v>
      </c>
      <c r="N835">
        <v>-0.25135159717137867</v>
      </c>
      <c r="O835">
        <v>242.26791065418399</v>
      </c>
      <c r="P835" s="1">
        <f t="shared" si="65"/>
        <v>8.8235672712292619</v>
      </c>
      <c r="Q835" s="1">
        <f t="shared" si="66"/>
        <v>1.3235350906843892</v>
      </c>
      <c r="R835" s="1">
        <f t="shared" si="67"/>
        <v>1.150449951403532</v>
      </c>
      <c r="S835" s="1">
        <f t="shared" si="68"/>
        <v>0.20294759383338379</v>
      </c>
      <c r="T835" s="56">
        <f t="shared" si="69"/>
        <v>0.57967820567821382</v>
      </c>
    </row>
    <row r="836" spans="1:20" x14ac:dyDescent="0.25">
      <c r="A836">
        <v>0.83085998055361154</v>
      </c>
      <c r="B836">
        <v>0.98183363661519252</v>
      </c>
      <c r="D836">
        <v>0.83866583098184622</v>
      </c>
      <c r="E836">
        <v>0.93841276452621969</v>
      </c>
      <c r="J836">
        <v>10</v>
      </c>
      <c r="K836">
        <v>6.9776433520019054E-3</v>
      </c>
      <c r="L836">
        <v>11.320492332490744</v>
      </c>
      <c r="M836">
        <v>20</v>
      </c>
      <c r="N836">
        <v>8.3191079056632589E-2</v>
      </c>
      <c r="O836">
        <v>189.91403234169391</v>
      </c>
      <c r="P836" s="1">
        <f t="shared" si="65"/>
        <v>7.1869473097923091</v>
      </c>
      <c r="Q836" s="1">
        <f t="shared" si="66"/>
        <v>1.0780420964688464</v>
      </c>
      <c r="R836" s="1">
        <f t="shared" si="67"/>
        <v>1.0382880604479887</v>
      </c>
      <c r="S836" s="1">
        <f t="shared" si="68"/>
        <v>-7.3402978044211517E-2</v>
      </c>
      <c r="T836" s="56">
        <f t="shared" si="69"/>
        <v>0.47100365966151403</v>
      </c>
    </row>
    <row r="837" spans="1:20" x14ac:dyDescent="0.25">
      <c r="A837">
        <v>0.83134275561769233</v>
      </c>
      <c r="B837">
        <v>9.7037400337285362E-2</v>
      </c>
      <c r="D837">
        <v>0.83951149251323376</v>
      </c>
      <c r="E837">
        <v>-0.69773637164871616</v>
      </c>
      <c r="J837">
        <v>10</v>
      </c>
      <c r="K837">
        <v>0.38330563256749883</v>
      </c>
      <c r="L837">
        <v>10.917066075399994</v>
      </c>
      <c r="M837">
        <v>20</v>
      </c>
      <c r="N837">
        <v>-0.14272058365349949</v>
      </c>
      <c r="O837">
        <v>345.14545318660538</v>
      </c>
      <c r="P837" s="1">
        <f t="shared" si="65"/>
        <v>12.71651854507162</v>
      </c>
      <c r="Q837" s="1">
        <f t="shared" si="66"/>
        <v>1.9074777817607429</v>
      </c>
      <c r="R837" s="1">
        <f t="shared" si="67"/>
        <v>1.381114688127218</v>
      </c>
      <c r="S837" s="1">
        <f t="shared" si="68"/>
        <v>0.38087077108294765</v>
      </c>
      <c r="T837" s="56">
        <f t="shared" si="69"/>
        <v>0.64691316505957563</v>
      </c>
    </row>
    <row r="838" spans="1:20" x14ac:dyDescent="0.25">
      <c r="A838">
        <v>0.83276190240569847</v>
      </c>
      <c r="B838">
        <v>-0.10249550541630015</v>
      </c>
      <c r="D838">
        <v>0.84032813954400098</v>
      </c>
      <c r="E838">
        <v>-4.5019867263818014</v>
      </c>
      <c r="J838">
        <v>10</v>
      </c>
      <c r="K838">
        <v>-0.41307282572233817</v>
      </c>
      <c r="L838">
        <v>4.0119440719354831</v>
      </c>
      <c r="M838">
        <v>20</v>
      </c>
      <c r="N838">
        <v>1.1530789799962804</v>
      </c>
      <c r="O838">
        <v>257.06262169868654</v>
      </c>
      <c r="P838" s="1">
        <f t="shared" si="65"/>
        <v>9.3240916346650717</v>
      </c>
      <c r="Q838" s="1">
        <f t="shared" si="66"/>
        <v>1.3986137451997607</v>
      </c>
      <c r="R838" s="1">
        <f t="shared" si="67"/>
        <v>1.1826300119647568</v>
      </c>
      <c r="S838" s="1">
        <f t="shared" si="68"/>
        <v>-1.3242956714050405</v>
      </c>
      <c r="T838" s="56">
        <f t="shared" si="69"/>
        <v>9.8056888879959891E-2</v>
      </c>
    </row>
    <row r="839" spans="1:20" x14ac:dyDescent="0.25">
      <c r="A839">
        <v>0.8332890564152946</v>
      </c>
      <c r="B839">
        <v>0.31137460609897971</v>
      </c>
      <c r="D839">
        <v>0.84167485290619681</v>
      </c>
      <c r="E839">
        <v>-6.5150974251082516E-2</v>
      </c>
      <c r="J839">
        <v>10</v>
      </c>
      <c r="K839">
        <v>0.17999263945966959</v>
      </c>
      <c r="L839">
        <v>4.1101478886145024</v>
      </c>
      <c r="M839">
        <v>20</v>
      </c>
      <c r="N839">
        <v>0.78936846762189816</v>
      </c>
      <c r="O839">
        <v>193.52089320675972</v>
      </c>
      <c r="P839" s="1">
        <f t="shared" si="65"/>
        <v>7.058251467691937</v>
      </c>
      <c r="Q839" s="1">
        <f t="shared" si="66"/>
        <v>1.0587377201537904</v>
      </c>
      <c r="R839" s="1">
        <f t="shared" si="67"/>
        <v>1.028949814205625</v>
      </c>
      <c r="S839" s="1">
        <f t="shared" si="68"/>
        <v>-0.59223085494473993</v>
      </c>
      <c r="T839" s="56">
        <f t="shared" si="69"/>
        <v>0.27922428084134543</v>
      </c>
    </row>
    <row r="840" spans="1:20" x14ac:dyDescent="0.25">
      <c r="A840">
        <v>0.8333450056511289</v>
      </c>
      <c r="B840">
        <v>-0.45353090172284283</v>
      </c>
      <c r="D840">
        <v>0.84291961636038371</v>
      </c>
      <c r="E840">
        <v>5.2975003620758798</v>
      </c>
      <c r="J840">
        <v>10</v>
      </c>
      <c r="K840">
        <v>-0.20709182990685804</v>
      </c>
      <c r="L840">
        <v>12.67080673957056</v>
      </c>
      <c r="M840">
        <v>20</v>
      </c>
      <c r="N840">
        <v>-0.33529852657920856</v>
      </c>
      <c r="O840">
        <v>310.24435930865525</v>
      </c>
      <c r="P840" s="1">
        <f t="shared" si="65"/>
        <v>11.532684501722349</v>
      </c>
      <c r="Q840" s="1">
        <f t="shared" si="66"/>
        <v>1.7299026752583522</v>
      </c>
      <c r="R840" s="1">
        <f t="shared" si="67"/>
        <v>1.3152576459608027</v>
      </c>
      <c r="S840" s="1">
        <f t="shared" si="68"/>
        <v>9.7476488402160055E-2</v>
      </c>
      <c r="T840" s="56">
        <f t="shared" si="69"/>
        <v>0.53847878570375185</v>
      </c>
    </row>
    <row r="841" spans="1:20" x14ac:dyDescent="0.25">
      <c r="A841">
        <v>0.83388178584993067</v>
      </c>
      <c r="B841">
        <v>0.20549691726046149</v>
      </c>
      <c r="D841">
        <v>0.84309737307651822</v>
      </c>
      <c r="E841">
        <v>-3.8917544350169919</v>
      </c>
      <c r="J841">
        <v>10</v>
      </c>
      <c r="K841">
        <v>0.14331601505546132</v>
      </c>
      <c r="L841">
        <v>13.454811732386421</v>
      </c>
      <c r="M841">
        <v>20</v>
      </c>
      <c r="N841">
        <v>0.58345318279862113</v>
      </c>
      <c r="O841">
        <v>151.07435992808982</v>
      </c>
      <c r="P841" s="1">
        <f t="shared" si="65"/>
        <v>5.8760418450170082</v>
      </c>
      <c r="Q841" s="1">
        <f t="shared" si="66"/>
        <v>0.88140627675255123</v>
      </c>
      <c r="R841" s="1">
        <f t="shared" si="67"/>
        <v>0.93883240077904817</v>
      </c>
      <c r="S841" s="1">
        <f t="shared" si="68"/>
        <v>-0.46881335516108263</v>
      </c>
      <c r="T841" s="56">
        <f t="shared" si="69"/>
        <v>0.3214163644218283</v>
      </c>
    </row>
    <row r="842" spans="1:20" x14ac:dyDescent="0.25">
      <c r="A842">
        <v>0.83421594151541389</v>
      </c>
      <c r="B842">
        <v>-0.89087279775412753</v>
      </c>
      <c r="D842">
        <v>0.84319774980234086</v>
      </c>
      <c r="E842">
        <v>0.30827277100797801</v>
      </c>
      <c r="J842">
        <v>10</v>
      </c>
      <c r="K842">
        <v>0.29371346954576438</v>
      </c>
      <c r="L842">
        <v>11.400077552184644</v>
      </c>
      <c r="M842">
        <v>20</v>
      </c>
      <c r="N842">
        <v>-0.51254528784738795</v>
      </c>
      <c r="O842">
        <v>333.27800663850644</v>
      </c>
      <c r="P842" s="1">
        <f t="shared" si="65"/>
        <v>12.309931578238968</v>
      </c>
      <c r="Q842" s="1">
        <f t="shared" si="66"/>
        <v>1.8464897367358453</v>
      </c>
      <c r="R842" s="1">
        <f t="shared" si="67"/>
        <v>1.3588560397392526</v>
      </c>
      <c r="S842" s="1">
        <f t="shared" si="68"/>
        <v>0.59333640489824313</v>
      </c>
      <c r="T842" s="56">
        <f t="shared" si="69"/>
        <v>0.7211405355694902</v>
      </c>
    </row>
    <row r="843" spans="1:20" x14ac:dyDescent="0.25">
      <c r="A843">
        <v>0.83465923930495778</v>
      </c>
      <c r="B843">
        <v>0.36802930480916984</v>
      </c>
      <c r="D843">
        <v>0.84418267255658808</v>
      </c>
      <c r="E843">
        <v>-2.5784327169731114</v>
      </c>
      <c r="J843">
        <v>10</v>
      </c>
      <c r="K843">
        <v>-0.13465728443406988</v>
      </c>
      <c r="L843">
        <v>10.518811801077788</v>
      </c>
      <c r="M843">
        <v>20</v>
      </c>
      <c r="N843">
        <v>-0.89018999801737664</v>
      </c>
      <c r="O843">
        <v>121.31768687853028</v>
      </c>
      <c r="P843" s="1">
        <f t="shared" si="65"/>
        <v>4.7084463814145741</v>
      </c>
      <c r="Q843" s="1">
        <f t="shared" si="66"/>
        <v>0.70626695721218613</v>
      </c>
      <c r="R843" s="1">
        <f t="shared" si="67"/>
        <v>0.84039690457080229</v>
      </c>
      <c r="S843" s="1">
        <f t="shared" si="68"/>
        <v>0.89901891531735667</v>
      </c>
      <c r="T843" s="56">
        <f t="shared" si="69"/>
        <v>0.81184537084315656</v>
      </c>
    </row>
    <row r="844" spans="1:20" x14ac:dyDescent="0.25">
      <c r="A844">
        <v>0.83698804653487757</v>
      </c>
      <c r="B844">
        <v>-0.75242382990836632</v>
      </c>
      <c r="D844">
        <v>0.84525898259435883</v>
      </c>
      <c r="E844">
        <v>-1.1660124562240526</v>
      </c>
      <c r="J844">
        <v>10</v>
      </c>
      <c r="K844">
        <v>-0.63574498199159279</v>
      </c>
      <c r="L844">
        <v>6.6121590312200738</v>
      </c>
      <c r="M844">
        <v>20</v>
      </c>
      <c r="N844">
        <v>1.6913149318042997</v>
      </c>
      <c r="O844">
        <v>193.74949368750043</v>
      </c>
      <c r="P844" s="1">
        <f t="shared" si="65"/>
        <v>7.155773311382875</v>
      </c>
      <c r="Q844" s="1">
        <f t="shared" si="66"/>
        <v>1.0733659967074312</v>
      </c>
      <c r="R844" s="1">
        <f t="shared" si="67"/>
        <v>1.0360337816439342</v>
      </c>
      <c r="S844" s="1">
        <f t="shared" si="68"/>
        <v>-2.2461235869195435</v>
      </c>
      <c r="T844" s="56">
        <f t="shared" si="69"/>
        <v>1.6384931075019048E-2</v>
      </c>
    </row>
    <row r="845" spans="1:20" x14ac:dyDescent="0.25">
      <c r="A845">
        <v>0.83742426022778194</v>
      </c>
      <c r="B845">
        <v>-4.8021320253610611E-2</v>
      </c>
      <c r="D845">
        <v>0.84539535588554926</v>
      </c>
      <c r="E845">
        <v>-0.95282917186523264</v>
      </c>
      <c r="J845">
        <v>10</v>
      </c>
      <c r="K845">
        <v>-0.13936232790001668</v>
      </c>
      <c r="L845">
        <v>4.2587192759875547</v>
      </c>
      <c r="M845">
        <v>20</v>
      </c>
      <c r="N845">
        <v>1.0013486610205291</v>
      </c>
      <c r="O845">
        <v>150.08033480385427</v>
      </c>
      <c r="P845" s="1">
        <f t="shared" si="65"/>
        <v>5.5121090742800645</v>
      </c>
      <c r="Q845" s="1">
        <f t="shared" si="66"/>
        <v>0.82681636114200963</v>
      </c>
      <c r="R845" s="1">
        <f t="shared" si="67"/>
        <v>0.90929443039205382</v>
      </c>
      <c r="S845" s="1">
        <f t="shared" si="68"/>
        <v>-1.2545012383158596</v>
      </c>
      <c r="T845" s="56">
        <f t="shared" si="69"/>
        <v>0.11001565478357292</v>
      </c>
    </row>
    <row r="846" spans="1:20" x14ac:dyDescent="0.25">
      <c r="A846">
        <v>0.83755685992316642</v>
      </c>
      <c r="B846">
        <v>0.13902308637625538</v>
      </c>
      <c r="D846">
        <v>0.84626694593287066</v>
      </c>
      <c r="E846">
        <v>4.7087480618301925</v>
      </c>
      <c r="J846">
        <v>10</v>
      </c>
      <c r="K846">
        <v>-0.36251060464564944</v>
      </c>
      <c r="L846">
        <v>5.5009628246473525</v>
      </c>
      <c r="M846">
        <v>20</v>
      </c>
      <c r="N846">
        <v>0.70517461040253693</v>
      </c>
      <c r="O846">
        <v>209.53646208455228</v>
      </c>
      <c r="P846" s="1">
        <f t="shared" si="65"/>
        <v>7.679908032471416</v>
      </c>
      <c r="Q846" s="1">
        <f t="shared" si="66"/>
        <v>1.1519862048707123</v>
      </c>
      <c r="R846" s="1">
        <f t="shared" si="67"/>
        <v>1.0733062027542337</v>
      </c>
      <c r="S846" s="1">
        <f t="shared" si="68"/>
        <v>-0.99476292255497711</v>
      </c>
      <c r="T846" s="56">
        <f t="shared" si="69"/>
        <v>0.16418553741137382</v>
      </c>
    </row>
    <row r="847" spans="1:20" x14ac:dyDescent="0.25">
      <c r="A847">
        <v>0.83863734973620763</v>
      </c>
      <c r="B847">
        <v>1.6237254385487176</v>
      </c>
      <c r="D847">
        <v>0.84646467356748323</v>
      </c>
      <c r="E847">
        <v>-4.7213159211878519</v>
      </c>
      <c r="J847">
        <v>10</v>
      </c>
      <c r="K847">
        <v>0.48073570724227466</v>
      </c>
      <c r="L847">
        <v>10.14739754109914</v>
      </c>
      <c r="M847">
        <v>20</v>
      </c>
      <c r="N847">
        <v>-0.22599119006372348</v>
      </c>
      <c r="O847">
        <v>231.99068038064996</v>
      </c>
      <c r="P847" s="1">
        <f t="shared" si="65"/>
        <v>8.6477884972053243</v>
      </c>
      <c r="Q847" s="1">
        <f t="shared" si="66"/>
        <v>1.2971682745807986</v>
      </c>
      <c r="R847" s="1">
        <f t="shared" si="67"/>
        <v>1.1389329543835311</v>
      </c>
      <c r="S847" s="1">
        <f t="shared" si="68"/>
        <v>0.62051668150082406</v>
      </c>
      <c r="T847" s="56">
        <f t="shared" si="69"/>
        <v>0.73003201709039434</v>
      </c>
    </row>
    <row r="848" spans="1:20" x14ac:dyDescent="0.25">
      <c r="A848">
        <v>0.84025654240932235</v>
      </c>
      <c r="B848">
        <v>-0.46449599722109269</v>
      </c>
      <c r="D848">
        <v>0.84793890252968251</v>
      </c>
      <c r="E848">
        <v>2.1380249074809399</v>
      </c>
      <c r="J848">
        <v>10</v>
      </c>
      <c r="K848">
        <v>0.12418945516401436</v>
      </c>
      <c r="L848">
        <v>6.5763496708016245</v>
      </c>
      <c r="M848">
        <v>20</v>
      </c>
      <c r="N848">
        <v>-2.2664213474854478E-2</v>
      </c>
      <c r="O848">
        <v>101.78817555566668</v>
      </c>
      <c r="P848" s="1">
        <f t="shared" si="65"/>
        <v>3.870161615231011</v>
      </c>
      <c r="Q848" s="1">
        <f t="shared" si="66"/>
        <v>0.5805242422846516</v>
      </c>
      <c r="R848" s="1">
        <f t="shared" si="67"/>
        <v>0.76192141476969366</v>
      </c>
      <c r="S848" s="1">
        <f t="shared" si="68"/>
        <v>0.1927412273656311</v>
      </c>
      <c r="T848" s="56">
        <f t="shared" si="69"/>
        <v>0.57572357916440509</v>
      </c>
    </row>
    <row r="849" spans="1:20" x14ac:dyDescent="0.25">
      <c r="A849">
        <v>0.84037121314623819</v>
      </c>
      <c r="B849">
        <v>-1.2740588317683432</v>
      </c>
      <c r="D849">
        <v>0.84943154423024636</v>
      </c>
      <c r="E849">
        <v>-4.1894593357483245</v>
      </c>
      <c r="J849">
        <v>10</v>
      </c>
      <c r="K849">
        <v>-0.10243297765555326</v>
      </c>
      <c r="L849">
        <v>4.5944450270881303</v>
      </c>
      <c r="M849">
        <v>20</v>
      </c>
      <c r="N849">
        <v>-0.24441067466796085</v>
      </c>
      <c r="O849">
        <v>193.66178733726662</v>
      </c>
      <c r="P849" s="1">
        <f t="shared" si="65"/>
        <v>7.0805797272983844</v>
      </c>
      <c r="Q849" s="1">
        <f t="shared" si="66"/>
        <v>1.0620869590947577</v>
      </c>
      <c r="R849" s="1">
        <f t="shared" si="67"/>
        <v>1.0305760326607434</v>
      </c>
      <c r="S849" s="1">
        <f t="shared" si="68"/>
        <v>0.13776537830580948</v>
      </c>
      <c r="T849" s="56">
        <f t="shared" si="69"/>
        <v>0.55429410389679179</v>
      </c>
    </row>
    <row r="850" spans="1:20" x14ac:dyDescent="0.25">
      <c r="A850">
        <v>0.84041774421599724</v>
      </c>
      <c r="B850">
        <v>-0.27416263037594035</v>
      </c>
      <c r="D850">
        <v>0.85172793630818744</v>
      </c>
      <c r="E850">
        <v>-0.48675292759980948</v>
      </c>
      <c r="J850">
        <v>10</v>
      </c>
      <c r="K850">
        <v>-1.2837290341849439E-2</v>
      </c>
      <c r="L850">
        <v>13.352737810508406</v>
      </c>
      <c r="M850">
        <v>20</v>
      </c>
      <c r="N850">
        <v>0.59815903000526305</v>
      </c>
      <c r="O850">
        <v>202.61097162614524</v>
      </c>
      <c r="P850" s="1">
        <f t="shared" si="65"/>
        <v>7.7129896227376307</v>
      </c>
      <c r="Q850" s="1">
        <f t="shared" si="66"/>
        <v>1.1569484434106445</v>
      </c>
      <c r="R850" s="1">
        <f t="shared" si="67"/>
        <v>1.0756153789392584</v>
      </c>
      <c r="S850" s="1">
        <f t="shared" si="68"/>
        <v>-0.56804349613303207</v>
      </c>
      <c r="T850" s="56">
        <f t="shared" si="69"/>
        <v>0.2872664493782614</v>
      </c>
    </row>
    <row r="851" spans="1:20" x14ac:dyDescent="0.25">
      <c r="A851">
        <v>0.84092502875933417</v>
      </c>
      <c r="B851">
        <v>-1.0010921869252343</v>
      </c>
      <c r="D851">
        <v>0.85183467889500297</v>
      </c>
      <c r="E851">
        <v>-1.2350567465091444</v>
      </c>
      <c r="J851">
        <v>10</v>
      </c>
      <c r="K851">
        <v>0.1294869207413285</v>
      </c>
      <c r="L851">
        <v>5.0096379815518572</v>
      </c>
      <c r="M851">
        <v>20</v>
      </c>
      <c r="N851">
        <v>0.312041319148193</v>
      </c>
      <c r="O851">
        <v>201.36578447134488</v>
      </c>
      <c r="P851" s="1">
        <f t="shared" si="65"/>
        <v>7.370550801889169</v>
      </c>
      <c r="Q851" s="1">
        <f t="shared" si="66"/>
        <v>1.1055826202833754</v>
      </c>
      <c r="R851" s="1">
        <f t="shared" si="67"/>
        <v>1.0514668897703701</v>
      </c>
      <c r="S851" s="1">
        <f t="shared" si="68"/>
        <v>-0.17361877980459522</v>
      </c>
      <c r="T851" s="56">
        <f t="shared" si="69"/>
        <v>0.43170709266598284</v>
      </c>
    </row>
    <row r="852" spans="1:20" x14ac:dyDescent="0.25">
      <c r="A852">
        <v>0.84096704362413122</v>
      </c>
      <c r="B852">
        <v>1.087391865439713</v>
      </c>
      <c r="D852">
        <v>0.8518697381063739</v>
      </c>
      <c r="E852">
        <v>3.055655039361227</v>
      </c>
      <c r="J852">
        <v>10</v>
      </c>
      <c r="K852">
        <v>0.14359375200001523</v>
      </c>
      <c r="L852">
        <v>8.9373355966806223</v>
      </c>
      <c r="M852">
        <v>20</v>
      </c>
      <c r="N852">
        <v>-0.89987117121381743</v>
      </c>
      <c r="O852">
        <v>126.97520348568536</v>
      </c>
      <c r="P852" s="1">
        <f t="shared" si="65"/>
        <v>4.8540192529416419</v>
      </c>
      <c r="Q852" s="1">
        <f t="shared" si="66"/>
        <v>0.72810288794124622</v>
      </c>
      <c r="R852" s="1">
        <f t="shared" si="67"/>
        <v>0.85328945144144741</v>
      </c>
      <c r="S852" s="1">
        <f t="shared" si="68"/>
        <v>1.2228733420425215</v>
      </c>
      <c r="T852" s="56">
        <f t="shared" si="69"/>
        <v>0.88421456687139277</v>
      </c>
    </row>
    <row r="853" spans="1:20" x14ac:dyDescent="0.25">
      <c r="A853">
        <v>0.84114216209065895</v>
      </c>
      <c r="B853">
        <v>1.0611006473482121</v>
      </c>
      <c r="D853">
        <v>0.85302952555892786</v>
      </c>
      <c r="E853">
        <v>0.73218029342569935</v>
      </c>
      <c r="J853">
        <v>10</v>
      </c>
      <c r="K853">
        <v>0.22677636479784269</v>
      </c>
      <c r="L853">
        <v>4.7309581130736147</v>
      </c>
      <c r="M853">
        <v>20</v>
      </c>
      <c r="N853">
        <v>-0.25360600716339832</v>
      </c>
      <c r="O853">
        <v>270.1411066433289</v>
      </c>
      <c r="P853" s="1">
        <f t="shared" si="65"/>
        <v>9.8168594555858029</v>
      </c>
      <c r="Q853" s="1">
        <f t="shared" si="66"/>
        <v>1.4725289183378705</v>
      </c>
      <c r="R853" s="1">
        <f t="shared" si="67"/>
        <v>1.2134780254861934</v>
      </c>
      <c r="S853" s="1">
        <f t="shared" si="68"/>
        <v>0.39587232885306717</v>
      </c>
      <c r="T853" s="56">
        <f t="shared" si="69"/>
        <v>0.65240016005526236</v>
      </c>
    </row>
    <row r="854" spans="1:20" x14ac:dyDescent="0.25">
      <c r="A854">
        <v>0.84133851136115267</v>
      </c>
      <c r="B854">
        <v>-0.81995040090987459</v>
      </c>
      <c r="D854">
        <v>0.85319754570905271</v>
      </c>
      <c r="E854">
        <v>-4.6003212935374904</v>
      </c>
      <c r="J854">
        <v>10</v>
      </c>
      <c r="K854">
        <v>-0.31514593956671888</v>
      </c>
      <c r="L854">
        <v>5.7295293521416388</v>
      </c>
      <c r="M854">
        <v>20</v>
      </c>
      <c r="N854">
        <v>-0.5478696073168976</v>
      </c>
      <c r="O854">
        <v>138.49451262738702</v>
      </c>
      <c r="P854" s="1">
        <f t="shared" si="65"/>
        <v>5.1508586421260238</v>
      </c>
      <c r="Q854" s="1">
        <f t="shared" si="66"/>
        <v>0.77262879631890358</v>
      </c>
      <c r="R854" s="1">
        <f t="shared" si="67"/>
        <v>0.87899305817446793</v>
      </c>
      <c r="S854" s="1">
        <f t="shared" si="68"/>
        <v>0.26476166743968332</v>
      </c>
      <c r="T854" s="56">
        <f t="shared" si="69"/>
        <v>0.60343380578894923</v>
      </c>
    </row>
    <row r="855" spans="1:20" x14ac:dyDescent="0.25">
      <c r="A855">
        <v>0.84155711697425983</v>
      </c>
      <c r="B855">
        <v>-0.44456214709498454</v>
      </c>
      <c r="D855">
        <v>0.8548812937607092</v>
      </c>
      <c r="E855">
        <v>3.6880289792406984</v>
      </c>
      <c r="J855">
        <v>10</v>
      </c>
      <c r="K855">
        <v>0.1086424390450702</v>
      </c>
      <c r="L855">
        <v>5.0869804988938698</v>
      </c>
      <c r="M855">
        <v>20</v>
      </c>
      <c r="N855">
        <v>0.26670619149626873</v>
      </c>
      <c r="O855">
        <v>253.87279862519949</v>
      </c>
      <c r="P855" s="1">
        <f t="shared" si="65"/>
        <v>9.2485635401461916</v>
      </c>
      <c r="Q855" s="1">
        <f t="shared" si="66"/>
        <v>1.3872845310219286</v>
      </c>
      <c r="R855" s="1">
        <f t="shared" si="67"/>
        <v>1.1778304339003678</v>
      </c>
      <c r="S855" s="1">
        <f t="shared" si="68"/>
        <v>-0.13419907305992493</v>
      </c>
      <c r="T855" s="56">
        <f t="shared" si="69"/>
        <v>0.4471025673803205</v>
      </c>
    </row>
    <row r="856" spans="1:20" x14ac:dyDescent="0.25">
      <c r="A856">
        <v>0.84222776642253039</v>
      </c>
      <c r="B856">
        <v>0.18701484805205837</v>
      </c>
      <c r="D856">
        <v>0.85600249764837821</v>
      </c>
      <c r="E856">
        <v>-1.8741905057595432</v>
      </c>
      <c r="J856">
        <v>10</v>
      </c>
      <c r="K856">
        <v>0.12810994576284429</v>
      </c>
      <c r="L856">
        <v>15.787235381951804</v>
      </c>
      <c r="M856">
        <v>20</v>
      </c>
      <c r="N856">
        <v>-0.28789026259801176</v>
      </c>
      <c r="O856">
        <v>188.88618280543483</v>
      </c>
      <c r="P856" s="1">
        <f t="shared" si="65"/>
        <v>7.3097649352638081</v>
      </c>
      <c r="Q856" s="1">
        <f t="shared" si="66"/>
        <v>1.0964647402895711</v>
      </c>
      <c r="R856" s="1">
        <f t="shared" si="67"/>
        <v>1.0471221229109673</v>
      </c>
      <c r="S856" s="1">
        <f t="shared" si="68"/>
        <v>0.39727955245982988</v>
      </c>
      <c r="T856" s="56">
        <f t="shared" si="69"/>
        <v>0.65291316828794788</v>
      </c>
    </row>
    <row r="857" spans="1:20" x14ac:dyDescent="0.25">
      <c r="A857">
        <v>0.84318451777396353</v>
      </c>
      <c r="B857">
        <v>-0.40188979255617596</v>
      </c>
      <c r="D857">
        <v>0.85770405716388776</v>
      </c>
      <c r="E857">
        <v>-1.3521291782581102</v>
      </c>
      <c r="J857">
        <v>10</v>
      </c>
      <c r="K857">
        <v>5.9340209190850146E-2</v>
      </c>
      <c r="L857">
        <v>8.2362602530496982</v>
      </c>
      <c r="M857">
        <v>20</v>
      </c>
      <c r="N857">
        <v>0.10638319395184226</v>
      </c>
      <c r="O857">
        <v>315.5403620411613</v>
      </c>
      <c r="P857" s="1">
        <f t="shared" si="65"/>
        <v>11.56345079622182</v>
      </c>
      <c r="Q857" s="1">
        <f t="shared" si="66"/>
        <v>1.734517619433273</v>
      </c>
      <c r="R857" s="1">
        <f t="shared" si="67"/>
        <v>1.3170108653436663</v>
      </c>
      <c r="S857" s="1">
        <f t="shared" si="68"/>
        <v>-3.5719511508142739E-2</v>
      </c>
      <c r="T857" s="56">
        <f t="shared" si="69"/>
        <v>0.48587972579490446</v>
      </c>
    </row>
    <row r="858" spans="1:20" x14ac:dyDescent="0.25">
      <c r="A858">
        <v>0.84361799712813257</v>
      </c>
      <c r="B858">
        <v>-0.73017190516111441</v>
      </c>
      <c r="D858">
        <v>0.85965035176100768</v>
      </c>
      <c r="E858">
        <v>1.1040590345601231</v>
      </c>
      <c r="J858">
        <v>10</v>
      </c>
      <c r="K858">
        <v>-0.17327113255305449</v>
      </c>
      <c r="L858">
        <v>4.843917974105918</v>
      </c>
      <c r="M858">
        <v>20</v>
      </c>
      <c r="N858">
        <v>-0.53385253181659209</v>
      </c>
      <c r="O858">
        <v>56.270168754277442</v>
      </c>
      <c r="P858" s="1">
        <f t="shared" si="65"/>
        <v>2.1826459545851202</v>
      </c>
      <c r="Q858" s="1">
        <f t="shared" si="66"/>
        <v>0.32739689318776805</v>
      </c>
      <c r="R858" s="1">
        <f t="shared" si="67"/>
        <v>0.57218606518139536</v>
      </c>
      <c r="S858" s="1">
        <f t="shared" si="68"/>
        <v>0.63018207049349495</v>
      </c>
      <c r="T858" s="56">
        <f t="shared" si="69"/>
        <v>0.73315744398064664</v>
      </c>
    </row>
    <row r="859" spans="1:20" x14ac:dyDescent="0.25">
      <c r="A859">
        <v>0.84446150204564774</v>
      </c>
      <c r="B859">
        <v>1.25382484839065</v>
      </c>
      <c r="D859">
        <v>0.86014928292697312</v>
      </c>
      <c r="E859">
        <v>2.0783734237284079</v>
      </c>
      <c r="J859">
        <v>10</v>
      </c>
      <c r="K859">
        <v>-5.6308977036678698E-2</v>
      </c>
      <c r="L859">
        <v>15.678568165569677</v>
      </c>
      <c r="M859">
        <v>20</v>
      </c>
      <c r="N859">
        <v>0.65800560037132527</v>
      </c>
      <c r="O859">
        <v>132.38097440505572</v>
      </c>
      <c r="P859" s="1">
        <f t="shared" si="65"/>
        <v>5.2878408060937643</v>
      </c>
      <c r="Q859" s="1">
        <f t="shared" si="66"/>
        <v>0.79317612091406464</v>
      </c>
      <c r="R859" s="1">
        <f t="shared" si="67"/>
        <v>0.89060435711603425</v>
      </c>
      <c r="S859" s="1">
        <f t="shared" si="68"/>
        <v>-0.80205601028172158</v>
      </c>
      <c r="T859" s="56">
        <f t="shared" si="69"/>
        <v>0.21463778945355033</v>
      </c>
    </row>
    <row r="860" spans="1:20" x14ac:dyDescent="0.25">
      <c r="A860">
        <v>0.84864954234512613</v>
      </c>
      <c r="B860">
        <v>0.78761559052509256</v>
      </c>
      <c r="D860">
        <v>0.86130515836745258</v>
      </c>
      <c r="E860">
        <v>1.1592153407491423</v>
      </c>
      <c r="J860">
        <v>10</v>
      </c>
      <c r="K860">
        <v>0.28078670766262803</v>
      </c>
      <c r="L860">
        <v>9.498452869585849</v>
      </c>
      <c r="M860">
        <v>20</v>
      </c>
      <c r="N860">
        <v>-1.4707038110373105</v>
      </c>
      <c r="O860">
        <v>191.53444678656456</v>
      </c>
      <c r="P860" s="1">
        <f t="shared" si="65"/>
        <v>7.1797464162910867</v>
      </c>
      <c r="Q860" s="1">
        <f t="shared" si="66"/>
        <v>1.076961962443663</v>
      </c>
      <c r="R860" s="1">
        <f t="shared" si="67"/>
        <v>1.0377677786690349</v>
      </c>
      <c r="S860" s="1">
        <f t="shared" si="68"/>
        <v>1.6877480248483647</v>
      </c>
      <c r="T860" s="56">
        <f t="shared" si="69"/>
        <v>0.94871509701107415</v>
      </c>
    </row>
    <row r="861" spans="1:20" x14ac:dyDescent="0.25">
      <c r="A861">
        <v>0.84939621146511279</v>
      </c>
      <c r="B861">
        <v>0.49600430429563858</v>
      </c>
      <c r="D861">
        <v>0.86158163555854184</v>
      </c>
      <c r="E861">
        <v>1.141531353141545</v>
      </c>
      <c r="J861">
        <v>10</v>
      </c>
      <c r="K861">
        <v>0.23640359358978458</v>
      </c>
      <c r="L861">
        <v>9.8160646762333599</v>
      </c>
      <c r="M861">
        <v>20</v>
      </c>
      <c r="N861">
        <v>1.00671115546902</v>
      </c>
      <c r="O861">
        <v>206.50380338438765</v>
      </c>
      <c r="P861" s="1">
        <f t="shared" si="65"/>
        <v>7.7257095735936074</v>
      </c>
      <c r="Q861" s="1">
        <f t="shared" si="66"/>
        <v>1.158856436039041</v>
      </c>
      <c r="R861" s="1">
        <f t="shared" si="67"/>
        <v>1.0765019442801955</v>
      </c>
      <c r="S861" s="1">
        <f t="shared" si="68"/>
        <v>-0.71556541627456383</v>
      </c>
      <c r="T861" s="56">
        <f t="shared" si="69"/>
        <v>0.24009241081902194</v>
      </c>
    </row>
    <row r="862" spans="1:20" x14ac:dyDescent="0.25">
      <c r="A862">
        <v>0.84953274693117153</v>
      </c>
      <c r="B862">
        <v>-0.21981691133987624</v>
      </c>
      <c r="D862">
        <v>0.86204797018274948</v>
      </c>
      <c r="E862">
        <v>-2.9823779675552942</v>
      </c>
      <c r="J862">
        <v>10</v>
      </c>
      <c r="K862">
        <v>-0.3495213150017662</v>
      </c>
      <c r="L862">
        <v>7.5010408514633315</v>
      </c>
      <c r="M862">
        <v>20</v>
      </c>
      <c r="N862">
        <v>0.49982906716650177</v>
      </c>
      <c r="O862">
        <v>200.03278338704717</v>
      </c>
      <c r="P862" s="1">
        <f t="shared" si="65"/>
        <v>7.411922294232518</v>
      </c>
      <c r="Q862" s="1">
        <f t="shared" si="66"/>
        <v>1.1117883441348777</v>
      </c>
      <c r="R862" s="1">
        <f t="shared" si="67"/>
        <v>1.0544137442839399</v>
      </c>
      <c r="S862" s="1">
        <f t="shared" si="68"/>
        <v>-0.80551907329799466</v>
      </c>
      <c r="T862" s="56">
        <f t="shared" si="69"/>
        <v>0.21365413884678464</v>
      </c>
    </row>
    <row r="863" spans="1:20" x14ac:dyDescent="0.25">
      <c r="A863">
        <v>0.85055453667782233</v>
      </c>
      <c r="B863">
        <v>0.36753817767021246</v>
      </c>
      <c r="D863">
        <v>0.86298688224092746</v>
      </c>
      <c r="E863">
        <v>2.7810672202122078</v>
      </c>
      <c r="J863">
        <v>10</v>
      </c>
      <c r="K863">
        <v>0.18068192275677575</v>
      </c>
      <c r="L863">
        <v>4.9445536281824083</v>
      </c>
      <c r="M863">
        <v>20</v>
      </c>
      <c r="N863">
        <v>1.5505914916502661E-2</v>
      </c>
      <c r="O863">
        <v>149.9267249994096</v>
      </c>
      <c r="P863" s="1">
        <f t="shared" si="65"/>
        <v>5.531117093842572</v>
      </c>
      <c r="Q863" s="1">
        <f t="shared" si="66"/>
        <v>0.82966756407638576</v>
      </c>
      <c r="R863" s="1">
        <f t="shared" si="67"/>
        <v>0.91086089172627549</v>
      </c>
      <c r="S863" s="1">
        <f t="shared" si="68"/>
        <v>0.18134054205272701</v>
      </c>
      <c r="T863" s="56">
        <f t="shared" si="69"/>
        <v>0.57129668911654452</v>
      </c>
    </row>
    <row r="864" spans="1:20" x14ac:dyDescent="0.25">
      <c r="A864">
        <v>0.85208653247069233</v>
      </c>
      <c r="B864">
        <v>-3.1484432838624343E-2</v>
      </c>
      <c r="D864">
        <v>0.86644355436054754</v>
      </c>
      <c r="E864">
        <v>-1.8409848541978135</v>
      </c>
      <c r="J864">
        <v>10</v>
      </c>
      <c r="K864">
        <v>8.3781060311594047E-2</v>
      </c>
      <c r="L864">
        <v>6.7546748710902538</v>
      </c>
      <c r="M864">
        <v>20</v>
      </c>
      <c r="N864">
        <v>-2.1463540633703815E-3</v>
      </c>
      <c r="O864">
        <v>233.20003389140271</v>
      </c>
      <c r="P864" s="1">
        <f t="shared" si="65"/>
        <v>8.569811027231891</v>
      </c>
      <c r="Q864" s="1">
        <f t="shared" si="66"/>
        <v>1.2854716540847837</v>
      </c>
      <c r="R864" s="1">
        <f t="shared" si="67"/>
        <v>1.1337864234875914</v>
      </c>
      <c r="S864" s="1">
        <f t="shared" si="68"/>
        <v>7.5788007860110751E-2</v>
      </c>
      <c r="T864" s="56">
        <f t="shared" si="69"/>
        <v>0.52993666023044395</v>
      </c>
    </row>
    <row r="865" spans="1:20" x14ac:dyDescent="0.25">
      <c r="A865">
        <v>0.85273473616290418</v>
      </c>
      <c r="B865">
        <v>-1.54909685079474E-2</v>
      </c>
      <c r="D865">
        <v>0.86821714848786768</v>
      </c>
      <c r="E865">
        <v>2.4817661562792637</v>
      </c>
      <c r="J865">
        <v>10</v>
      </c>
      <c r="K865">
        <v>0.48480330860911636</v>
      </c>
      <c r="L865">
        <v>5.6718010813302246</v>
      </c>
      <c r="M865">
        <v>20</v>
      </c>
      <c r="N865">
        <v>-0.85333636320683581</v>
      </c>
      <c r="O865">
        <v>126.20844167433194</v>
      </c>
      <c r="P865" s="1">
        <f t="shared" si="65"/>
        <v>4.7100086698450765</v>
      </c>
      <c r="Q865" s="1">
        <f t="shared" si="66"/>
        <v>0.70650130047676141</v>
      </c>
      <c r="R865" s="1">
        <f t="shared" si="67"/>
        <v>0.84053631716705812</v>
      </c>
      <c r="S865" s="1">
        <f t="shared" si="68"/>
        <v>1.5920069656549944</v>
      </c>
      <c r="T865" s="56">
        <f t="shared" si="69"/>
        <v>0.93869431914109691</v>
      </c>
    </row>
    <row r="866" spans="1:20" x14ac:dyDescent="0.25">
      <c r="A866">
        <v>0.85516949712655788</v>
      </c>
      <c r="B866">
        <v>0.74644731284934096</v>
      </c>
      <c r="D866">
        <v>0.86915219684337552</v>
      </c>
      <c r="E866">
        <v>3.2624468497033376</v>
      </c>
      <c r="J866">
        <v>10</v>
      </c>
      <c r="K866">
        <v>1.3977683011034969E-2</v>
      </c>
      <c r="L866">
        <v>13.44936599517229</v>
      </c>
      <c r="M866">
        <v>20</v>
      </c>
      <c r="N866">
        <v>-6.9046055841681664E-2</v>
      </c>
      <c r="O866">
        <v>207.63244100575335</v>
      </c>
      <c r="P866" s="1">
        <f t="shared" si="65"/>
        <v>7.8957788214616302</v>
      </c>
      <c r="Q866" s="1">
        <f t="shared" si="66"/>
        <v>1.1843668232192446</v>
      </c>
      <c r="R866" s="1">
        <f t="shared" si="67"/>
        <v>1.0882861862668498</v>
      </c>
      <c r="S866" s="1">
        <f t="shared" si="68"/>
        <v>7.6288516660781222E-2</v>
      </c>
      <c r="T866" s="56">
        <f t="shared" si="69"/>
        <v>0.5301339682612769</v>
      </c>
    </row>
    <row r="867" spans="1:20" x14ac:dyDescent="0.25">
      <c r="A867">
        <v>0.85778733794638329</v>
      </c>
      <c r="B867">
        <v>-3.6995970731368288E-2</v>
      </c>
      <c r="D867">
        <v>0.87229679549691319</v>
      </c>
      <c r="E867">
        <v>3.7691604541123525</v>
      </c>
      <c r="J867">
        <v>10</v>
      </c>
      <c r="K867">
        <v>0.13362489426071988</v>
      </c>
      <c r="L867">
        <v>12.1901977519295</v>
      </c>
      <c r="M867">
        <v>20</v>
      </c>
      <c r="N867">
        <v>-0.54496360121447651</v>
      </c>
      <c r="O867">
        <v>129.39365756149883</v>
      </c>
      <c r="P867" s="1">
        <f t="shared" si="65"/>
        <v>5.0565662611938693</v>
      </c>
      <c r="Q867" s="1">
        <f t="shared" si="66"/>
        <v>0.75848493917908033</v>
      </c>
      <c r="R867" s="1">
        <f t="shared" si="67"/>
        <v>0.87091040823903365</v>
      </c>
      <c r="S867" s="1">
        <f t="shared" si="68"/>
        <v>0.77917141540114443</v>
      </c>
      <c r="T867" s="56">
        <f t="shared" si="69"/>
        <v>0.77879259811543589</v>
      </c>
    </row>
    <row r="868" spans="1:20" x14ac:dyDescent="0.25">
      <c r="A868">
        <v>0.86014940235988113</v>
      </c>
      <c r="B868">
        <v>0.67802375269820914</v>
      </c>
      <c r="D868">
        <v>0.8737003570961831</v>
      </c>
      <c r="E868">
        <v>-3.972381140329162</v>
      </c>
      <c r="J868">
        <v>10</v>
      </c>
      <c r="K868">
        <v>0.38103280530776829</v>
      </c>
      <c r="L868">
        <v>8.784176264789485</v>
      </c>
      <c r="M868">
        <v>20</v>
      </c>
      <c r="N868">
        <v>-0.7214653157916473</v>
      </c>
      <c r="O868">
        <v>152.83886529119164</v>
      </c>
      <c r="P868" s="1">
        <f t="shared" si="65"/>
        <v>5.772251484142183</v>
      </c>
      <c r="Q868" s="1">
        <f t="shared" si="66"/>
        <v>0.86583772262132741</v>
      </c>
      <c r="R868" s="1">
        <f t="shared" si="67"/>
        <v>0.93050401537087812</v>
      </c>
      <c r="S868" s="1">
        <f t="shared" si="68"/>
        <v>1.184839724372371</v>
      </c>
      <c r="T868" s="56">
        <f t="shared" si="69"/>
        <v>0.87697979172160778</v>
      </c>
    </row>
    <row r="869" spans="1:20" x14ac:dyDescent="0.25">
      <c r="A869">
        <v>0.86211068763582233</v>
      </c>
      <c r="B869">
        <v>0.28928639039804693</v>
      </c>
      <c r="D869">
        <v>0.87381247638099468</v>
      </c>
      <c r="E869">
        <v>4.3955726562217023</v>
      </c>
      <c r="J869">
        <v>10</v>
      </c>
      <c r="K869">
        <v>-0.58268062730348902</v>
      </c>
      <c r="L869">
        <v>10.946511748038747</v>
      </c>
      <c r="M869">
        <v>20</v>
      </c>
      <c r="N869">
        <v>-0.61989988239474769</v>
      </c>
      <c r="O869">
        <v>101.80806986036771</v>
      </c>
      <c r="P869" s="1">
        <f t="shared" si="65"/>
        <v>4.0269493431573737</v>
      </c>
      <c r="Q869" s="1">
        <f t="shared" si="66"/>
        <v>0.60404240147360599</v>
      </c>
      <c r="R869" s="1">
        <f t="shared" si="67"/>
        <v>0.77720164788400059</v>
      </c>
      <c r="S869" s="1">
        <f t="shared" si="68"/>
        <v>4.7888801050012371E-2</v>
      </c>
      <c r="T869" s="56">
        <f t="shared" si="69"/>
        <v>0.51892759041330161</v>
      </c>
    </row>
    <row r="870" spans="1:20" x14ac:dyDescent="0.25">
      <c r="A870">
        <v>0.86402291404509657</v>
      </c>
      <c r="B870">
        <v>0.10280359674652573</v>
      </c>
      <c r="D870">
        <v>0.87485194189907478</v>
      </c>
      <c r="E870">
        <v>-4.5185291810412309E-2</v>
      </c>
      <c r="J870">
        <v>10</v>
      </c>
      <c r="K870">
        <v>-5.2874838729621843E-2</v>
      </c>
      <c r="L870">
        <v>3.3603595229875096</v>
      </c>
      <c r="M870">
        <v>20</v>
      </c>
      <c r="N870">
        <v>-0.17765660572877096</v>
      </c>
      <c r="O870">
        <v>157.1300936924398</v>
      </c>
      <c r="P870" s="1">
        <f t="shared" si="65"/>
        <v>5.7318019005509759</v>
      </c>
      <c r="Q870" s="1">
        <f t="shared" si="66"/>
        <v>0.85977028508264641</v>
      </c>
      <c r="R870" s="1">
        <f t="shared" si="67"/>
        <v>0.92723798729487261</v>
      </c>
      <c r="S870" s="1">
        <f t="shared" si="68"/>
        <v>0.13457361401163889</v>
      </c>
      <c r="T870" s="56">
        <f t="shared" si="69"/>
        <v>0.5530441468388978</v>
      </c>
    </row>
    <row r="871" spans="1:20" x14ac:dyDescent="0.25">
      <c r="A871">
        <v>0.86419716214857334</v>
      </c>
      <c r="B871">
        <v>1.0334338185202796</v>
      </c>
      <c r="D871">
        <v>0.87655791030285657</v>
      </c>
      <c r="E871">
        <v>1.6431256392479554</v>
      </c>
      <c r="J871">
        <v>10</v>
      </c>
      <c r="K871">
        <v>-0.261475179286208</v>
      </c>
      <c r="L871">
        <v>6.2018596819328762</v>
      </c>
      <c r="M871">
        <v>20</v>
      </c>
      <c r="N871">
        <v>-7.4587777589840698E-2</v>
      </c>
      <c r="O871">
        <v>239.43441613261271</v>
      </c>
      <c r="P871" s="1">
        <f t="shared" si="65"/>
        <v>8.7727241362337711</v>
      </c>
      <c r="Q871" s="1">
        <f t="shared" si="66"/>
        <v>1.3159086204350656</v>
      </c>
      <c r="R871" s="1">
        <f t="shared" si="67"/>
        <v>1.1471306030418096</v>
      </c>
      <c r="S871" s="1">
        <f t="shared" si="68"/>
        <v>-0.1629172835253492</v>
      </c>
      <c r="T871" s="56">
        <f t="shared" si="69"/>
        <v>0.43587685196777615</v>
      </c>
    </row>
    <row r="872" spans="1:20" x14ac:dyDescent="0.25">
      <c r="A872">
        <v>0.86474340186238607</v>
      </c>
      <c r="B872">
        <v>-0.73047203841269948</v>
      </c>
      <c r="D872">
        <v>0.87750981443473275</v>
      </c>
      <c r="E872">
        <v>0.20302149664530589</v>
      </c>
      <c r="J872">
        <v>10</v>
      </c>
      <c r="K872">
        <v>0.25929477942554513</v>
      </c>
      <c r="L872">
        <v>6.4241349637711478</v>
      </c>
      <c r="M872">
        <v>20</v>
      </c>
      <c r="N872">
        <v>-1.2051737064666668</v>
      </c>
      <c r="O872">
        <v>255.17739966546173</v>
      </c>
      <c r="P872" s="1">
        <f t="shared" si="65"/>
        <v>9.3429119510440319</v>
      </c>
      <c r="Q872" s="1">
        <f t="shared" si="66"/>
        <v>1.4014367926566047</v>
      </c>
      <c r="R872" s="1">
        <f t="shared" si="67"/>
        <v>1.1838229566352414</v>
      </c>
      <c r="S872" s="1">
        <f t="shared" si="68"/>
        <v>1.2370671456267788</v>
      </c>
      <c r="T872" s="56">
        <f t="shared" si="69"/>
        <v>0.88683135693999726</v>
      </c>
    </row>
    <row r="873" spans="1:20" x14ac:dyDescent="0.25">
      <c r="A873">
        <v>0.86578721223628241</v>
      </c>
      <c r="B873">
        <v>1.8266564438818023</v>
      </c>
      <c r="D873">
        <v>0.87986436643609101</v>
      </c>
      <c r="E873">
        <v>0.69183965592856111</v>
      </c>
      <c r="J873">
        <v>10</v>
      </c>
      <c r="K873">
        <v>0.10316750831407262</v>
      </c>
      <c r="L873">
        <v>7.3471958979576186</v>
      </c>
      <c r="M873">
        <v>20</v>
      </c>
      <c r="N873">
        <v>0.15626721619810269</v>
      </c>
      <c r="O873">
        <v>122.5298560773401</v>
      </c>
      <c r="P873" s="1">
        <f t="shared" si="65"/>
        <v>4.6384661419749182</v>
      </c>
      <c r="Q873" s="1">
        <f t="shared" si="66"/>
        <v>0.69576992129623771</v>
      </c>
      <c r="R873" s="1">
        <f t="shared" si="67"/>
        <v>0.83412824031814059</v>
      </c>
      <c r="S873" s="1">
        <f t="shared" si="68"/>
        <v>-6.3658925950975567E-2</v>
      </c>
      <c r="T873" s="56">
        <f t="shared" si="69"/>
        <v>0.47484705379308295</v>
      </c>
    </row>
    <row r="874" spans="1:20" x14ac:dyDescent="0.25">
      <c r="A874">
        <v>0.86630954137560212</v>
      </c>
      <c r="B874">
        <v>-1.2217333278385922</v>
      </c>
      <c r="D874">
        <v>0.87999682629021492</v>
      </c>
      <c r="E874">
        <v>-1.4410368328299228</v>
      </c>
      <c r="J874">
        <v>10</v>
      </c>
      <c r="K874">
        <v>0.7271787580975797</v>
      </c>
      <c r="L874">
        <v>8.9901184032905803</v>
      </c>
      <c r="M874">
        <v>20</v>
      </c>
      <c r="N874">
        <v>-0.4250237032010773</v>
      </c>
      <c r="O874">
        <v>86.872028909004797</v>
      </c>
      <c r="P874" s="1">
        <f t="shared" si="65"/>
        <v>3.4236481182962635</v>
      </c>
      <c r="Q874" s="1">
        <f t="shared" si="66"/>
        <v>0.51354721774443945</v>
      </c>
      <c r="R874" s="1">
        <f t="shared" si="67"/>
        <v>0.71662208851279452</v>
      </c>
      <c r="S874" s="1">
        <f t="shared" si="68"/>
        <v>1.607824374615388</v>
      </c>
      <c r="T874" s="56">
        <f t="shared" si="69"/>
        <v>0.94045345324871654</v>
      </c>
    </row>
    <row r="875" spans="1:20" x14ac:dyDescent="0.25">
      <c r="A875">
        <v>0.86736032958976617</v>
      </c>
      <c r="B875">
        <v>-0.10103462955157738</v>
      </c>
      <c r="D875">
        <v>0.88082175759724035</v>
      </c>
      <c r="E875">
        <v>-0.32803359658828413</v>
      </c>
      <c r="J875">
        <v>10</v>
      </c>
      <c r="K875">
        <v>7.7299205258896109E-2</v>
      </c>
      <c r="L875">
        <v>7.6299402264513123</v>
      </c>
      <c r="M875">
        <v>20</v>
      </c>
      <c r="N875">
        <v>1.2185441812562203</v>
      </c>
      <c r="O875">
        <v>230.7692871816175</v>
      </c>
      <c r="P875" s="1">
        <f t="shared" si="65"/>
        <v>8.5142581217167432</v>
      </c>
      <c r="Q875" s="1">
        <f t="shared" si="66"/>
        <v>1.2771387182575114</v>
      </c>
      <c r="R875" s="1">
        <f t="shared" si="67"/>
        <v>1.130105622611228</v>
      </c>
      <c r="S875" s="1">
        <f t="shared" si="68"/>
        <v>-1.0098569135160638</v>
      </c>
      <c r="T875" s="56">
        <f t="shared" si="69"/>
        <v>0.16060577774229917</v>
      </c>
    </row>
    <row r="876" spans="1:20" x14ac:dyDescent="0.25">
      <c r="A876">
        <v>0.86774369987385136</v>
      </c>
      <c r="B876">
        <v>0.81035295806941576</v>
      </c>
      <c r="D876">
        <v>0.88128480736931492</v>
      </c>
      <c r="E876">
        <v>7.267984298096053</v>
      </c>
      <c r="J876">
        <v>10</v>
      </c>
      <c r="K876">
        <v>0.16137312286446104</v>
      </c>
      <c r="L876">
        <v>5.0269479274402631</v>
      </c>
      <c r="M876">
        <v>20</v>
      </c>
      <c r="N876">
        <v>-1.2362901918550051</v>
      </c>
      <c r="O876">
        <v>139.34111153324537</v>
      </c>
      <c r="P876" s="1">
        <f t="shared" si="65"/>
        <v>5.1560021235959157</v>
      </c>
      <c r="Q876" s="1">
        <f t="shared" si="66"/>
        <v>0.77340031853938729</v>
      </c>
      <c r="R876" s="1">
        <f t="shared" si="67"/>
        <v>0.87943181574206608</v>
      </c>
      <c r="S876" s="1">
        <f t="shared" si="68"/>
        <v>1.5892799074367299</v>
      </c>
      <c r="T876" s="56">
        <f t="shared" si="69"/>
        <v>0.93838674456412896</v>
      </c>
    </row>
    <row r="877" spans="1:20" x14ac:dyDescent="0.25">
      <c r="A877">
        <v>0.86787336773471169</v>
      </c>
      <c r="B877">
        <v>1.1363590601831675</v>
      </c>
      <c r="D877">
        <v>0.88182939685768291</v>
      </c>
      <c r="E877">
        <v>-0.11747988878596516</v>
      </c>
      <c r="J877">
        <v>10</v>
      </c>
      <c r="K877">
        <v>0.20232528186170384</v>
      </c>
      <c r="L877">
        <v>8.6803691543555885</v>
      </c>
      <c r="M877">
        <v>20</v>
      </c>
      <c r="N877">
        <v>-1.4499605106266245</v>
      </c>
      <c r="O877">
        <v>154.36681053751394</v>
      </c>
      <c r="P877" s="1">
        <f t="shared" si="65"/>
        <v>5.8231135604239119</v>
      </c>
      <c r="Q877" s="1">
        <f t="shared" si="66"/>
        <v>0.87346703406358672</v>
      </c>
      <c r="R877" s="1">
        <f t="shared" si="67"/>
        <v>0.93459458272749829</v>
      </c>
      <c r="S877" s="1">
        <f t="shared" si="68"/>
        <v>1.7679171514843766</v>
      </c>
      <c r="T877" s="56">
        <f t="shared" si="69"/>
        <v>0.95601418957130468</v>
      </c>
    </row>
    <row r="878" spans="1:20" x14ac:dyDescent="0.25">
      <c r="A878">
        <v>0.8683205194013961</v>
      </c>
      <c r="B878">
        <v>-0.2875322024920024</v>
      </c>
      <c r="D878">
        <v>0.88194757992749828</v>
      </c>
      <c r="E878">
        <v>5.5879474950870645</v>
      </c>
      <c r="J878">
        <v>10</v>
      </c>
      <c r="K878">
        <v>0.21958112483844161</v>
      </c>
      <c r="L878">
        <v>8.1708337881486397</v>
      </c>
      <c r="M878">
        <v>20</v>
      </c>
      <c r="N878">
        <v>0.44232080767869775</v>
      </c>
      <c r="O878">
        <v>140.71946741303736</v>
      </c>
      <c r="P878" s="1">
        <f t="shared" si="65"/>
        <v>5.3175107571852136</v>
      </c>
      <c r="Q878" s="1">
        <f t="shared" si="66"/>
        <v>0.79762661357778197</v>
      </c>
      <c r="R878" s="1">
        <f t="shared" si="67"/>
        <v>0.8930994421551175</v>
      </c>
      <c r="S878" s="1">
        <f t="shared" si="68"/>
        <v>-0.24940076359556129</v>
      </c>
      <c r="T878" s="56">
        <f t="shared" si="69"/>
        <v>0.40243567222251203</v>
      </c>
    </row>
    <row r="879" spans="1:20" x14ac:dyDescent="0.25">
      <c r="A879">
        <v>0.8685061714365131</v>
      </c>
      <c r="B879">
        <v>0.53611984185408801</v>
      </c>
      <c r="D879">
        <v>0.88204543827280524</v>
      </c>
      <c r="E879">
        <v>-4.0321417634459067</v>
      </c>
      <c r="J879">
        <v>10</v>
      </c>
      <c r="K879">
        <v>-0.67338760345592164</v>
      </c>
      <c r="L879">
        <v>5.1488005654110953</v>
      </c>
      <c r="M879">
        <v>20</v>
      </c>
      <c r="N879">
        <v>9.2284949460008647E-4</v>
      </c>
      <c r="O879">
        <v>198.09478403280997</v>
      </c>
      <c r="P879" s="1">
        <f t="shared" si="65"/>
        <v>7.2586994499364668</v>
      </c>
      <c r="Q879" s="1">
        <f t="shared" si="66"/>
        <v>1.0888049174904699</v>
      </c>
      <c r="R879" s="1">
        <f t="shared" si="67"/>
        <v>1.0434581532052303</v>
      </c>
      <c r="S879" s="1">
        <f t="shared" si="68"/>
        <v>-0.64622663676470071</v>
      </c>
      <c r="T879" s="56">
        <f t="shared" si="69"/>
        <v>0.26169720979635458</v>
      </c>
    </row>
    <row r="880" spans="1:20" x14ac:dyDescent="0.25">
      <c r="A880">
        <v>0.86892246268533768</v>
      </c>
      <c r="B880">
        <v>-1.8299124349141493</v>
      </c>
      <c r="D880">
        <v>0.88246294202201492</v>
      </c>
      <c r="E880">
        <v>3.8564241970107105</v>
      </c>
      <c r="J880">
        <v>10</v>
      </c>
      <c r="K880">
        <v>0.51867641559510957</v>
      </c>
      <c r="L880">
        <v>5.7370586361242948</v>
      </c>
      <c r="M880">
        <v>20</v>
      </c>
      <c r="N880">
        <v>-0.49397369025427906</v>
      </c>
      <c r="O880">
        <v>154.23193530971554</v>
      </c>
      <c r="P880" s="1">
        <f t="shared" si="65"/>
        <v>5.7131783552085649</v>
      </c>
      <c r="Q880" s="1">
        <f t="shared" si="66"/>
        <v>0.85697675328128475</v>
      </c>
      <c r="R880" s="1">
        <f t="shared" si="67"/>
        <v>0.92573038908814309</v>
      </c>
      <c r="S880" s="1">
        <f t="shared" si="68"/>
        <v>1.0938931224315349</v>
      </c>
      <c r="T880" s="56">
        <f t="shared" si="69"/>
        <v>0.85833822780916602</v>
      </c>
    </row>
    <row r="881" spans="1:20" x14ac:dyDescent="0.25">
      <c r="A881">
        <v>0.87260746903875641</v>
      </c>
      <c r="B881">
        <v>3.45578882843256</v>
      </c>
      <c r="D881">
        <v>0.88424551947759422</v>
      </c>
      <c r="E881">
        <v>1.6100359482607018</v>
      </c>
      <c r="J881">
        <v>10</v>
      </c>
      <c r="K881">
        <v>0.32424941309727728</v>
      </c>
      <c r="L881">
        <v>10.787600446656521</v>
      </c>
      <c r="M881">
        <v>20</v>
      </c>
      <c r="N881">
        <v>0.81481158190399583</v>
      </c>
      <c r="O881">
        <v>148.7056176917819</v>
      </c>
      <c r="P881" s="1">
        <f t="shared" si="65"/>
        <v>5.6961863620870856</v>
      </c>
      <c r="Q881" s="1">
        <f t="shared" si="66"/>
        <v>0.85442795431306284</v>
      </c>
      <c r="R881" s="1">
        <f t="shared" si="67"/>
        <v>0.92435272180757</v>
      </c>
      <c r="S881" s="1">
        <f t="shared" si="68"/>
        <v>-0.53070884872543589</v>
      </c>
      <c r="T881" s="56">
        <f t="shared" si="69"/>
        <v>0.29990253258340738</v>
      </c>
    </row>
    <row r="882" spans="1:20" x14ac:dyDescent="0.25">
      <c r="A882">
        <v>0.87292052548338628</v>
      </c>
      <c r="B882">
        <v>8.9880813902709633E-3</v>
      </c>
      <c r="D882">
        <v>0.88454855832869816</v>
      </c>
      <c r="E882">
        <v>-3.3581652621705871</v>
      </c>
      <c r="J882">
        <v>10</v>
      </c>
      <c r="K882">
        <v>-0.25795122837735107</v>
      </c>
      <c r="L882">
        <v>16.817454550375029</v>
      </c>
      <c r="M882">
        <v>20</v>
      </c>
      <c r="N882">
        <v>-1.2537645977772627</v>
      </c>
      <c r="O882">
        <v>216.19977293375433</v>
      </c>
      <c r="P882" s="1">
        <f t="shared" si="65"/>
        <v>8.3220438387189066</v>
      </c>
      <c r="Q882" s="1">
        <f t="shared" si="66"/>
        <v>1.248306575807836</v>
      </c>
      <c r="R882" s="1">
        <f t="shared" si="67"/>
        <v>1.1172764097607342</v>
      </c>
      <c r="S882" s="1">
        <f t="shared" si="68"/>
        <v>0.89128648980708902</v>
      </c>
      <c r="T882" s="56">
        <f t="shared" si="69"/>
        <v>0.80981457928367639</v>
      </c>
    </row>
    <row r="883" spans="1:20" x14ac:dyDescent="0.25">
      <c r="A883">
        <v>0.87460744906091525</v>
      </c>
      <c r="B883">
        <v>-1.1201677807548549</v>
      </c>
      <c r="D883">
        <v>0.88548061918831056</v>
      </c>
      <c r="E883">
        <v>1.694097132940442</v>
      </c>
      <c r="J883">
        <v>10</v>
      </c>
      <c r="K883">
        <v>0.67905466494266875</v>
      </c>
      <c r="L883">
        <v>8.0329102280739182</v>
      </c>
      <c r="M883">
        <v>20</v>
      </c>
      <c r="N883">
        <v>-0.52444471862145292</v>
      </c>
      <c r="O883">
        <v>196.12854957120831</v>
      </c>
      <c r="P883" s="1">
        <f t="shared" si="65"/>
        <v>7.2914807071172225</v>
      </c>
      <c r="Q883" s="1">
        <f t="shared" si="66"/>
        <v>1.0937221060675832</v>
      </c>
      <c r="R883" s="1">
        <f t="shared" si="67"/>
        <v>1.0458116972321467</v>
      </c>
      <c r="S883" s="1">
        <f t="shared" si="68"/>
        <v>1.1507801899226338</v>
      </c>
      <c r="T883" s="56">
        <f t="shared" si="69"/>
        <v>0.87022208913727872</v>
      </c>
    </row>
    <row r="884" spans="1:20" x14ac:dyDescent="0.25">
      <c r="A884">
        <v>0.87861742163838319</v>
      </c>
      <c r="B884">
        <v>0.37171503208810464</v>
      </c>
      <c r="D884">
        <v>0.88573289086216023</v>
      </c>
      <c r="E884">
        <v>7.3143685278864723</v>
      </c>
      <c r="J884">
        <v>10</v>
      </c>
      <c r="K884">
        <v>-0.11362430996086914</v>
      </c>
      <c r="L884">
        <v>7.9342138127823576</v>
      </c>
      <c r="M884">
        <v>20</v>
      </c>
      <c r="N884">
        <v>-0.20718119117191236</v>
      </c>
      <c r="O884">
        <v>150.01000788166365</v>
      </c>
      <c r="P884" s="1">
        <f t="shared" si="65"/>
        <v>5.640865060515929</v>
      </c>
      <c r="Q884" s="1">
        <f t="shared" si="66"/>
        <v>0.8461297590773893</v>
      </c>
      <c r="R884" s="1">
        <f t="shared" si="67"/>
        <v>0.91985311820822202</v>
      </c>
      <c r="S884" s="1">
        <f t="shared" si="68"/>
        <v>0.10170850036719152</v>
      </c>
      <c r="T884" s="56">
        <f t="shared" si="69"/>
        <v>0.54014353744223853</v>
      </c>
    </row>
    <row r="885" spans="1:20" x14ac:dyDescent="0.25">
      <c r="A885">
        <v>0.87912873187110185</v>
      </c>
      <c r="B885">
        <v>-0.68680947151733562</v>
      </c>
      <c r="D885">
        <v>0.88686147376638025</v>
      </c>
      <c r="E885">
        <v>3.1029396689064015</v>
      </c>
      <c r="J885">
        <v>10</v>
      </c>
      <c r="K885">
        <v>7.1992985795077402E-2</v>
      </c>
      <c r="L885">
        <v>7.9378644617979353</v>
      </c>
      <c r="M885">
        <v>20</v>
      </c>
      <c r="N885">
        <v>-0.71880657856127073</v>
      </c>
      <c r="O885">
        <v>95.381366184963639</v>
      </c>
      <c r="P885" s="1">
        <f t="shared" si="65"/>
        <v>3.6899725230986276</v>
      </c>
      <c r="Q885" s="1">
        <f t="shared" si="66"/>
        <v>0.55349587846479409</v>
      </c>
      <c r="R885" s="1">
        <f t="shared" si="67"/>
        <v>0.7439730361140745</v>
      </c>
      <c r="S885" s="1">
        <f t="shared" si="68"/>
        <v>1.0629411631459902</v>
      </c>
      <c r="T885" s="56">
        <f t="shared" si="69"/>
        <v>0.85155473110758606</v>
      </c>
    </row>
    <row r="886" spans="1:20" x14ac:dyDescent="0.25">
      <c r="A886">
        <v>0.87999538202347194</v>
      </c>
      <c r="B886">
        <v>-0.42765122998389415</v>
      </c>
      <c r="D886">
        <v>0.88825353172467725</v>
      </c>
      <c r="E886">
        <v>3.2850386980953772</v>
      </c>
      <c r="J886">
        <v>10</v>
      </c>
      <c r="K886">
        <v>-0.7224695082186372</v>
      </c>
      <c r="L886">
        <v>13.889724945446076</v>
      </c>
      <c r="M886">
        <v>20</v>
      </c>
      <c r="N886">
        <v>-0.37253517234603351</v>
      </c>
      <c r="O886">
        <v>364.90854138204338</v>
      </c>
      <c r="P886" s="1">
        <f t="shared" si="65"/>
        <v>13.528509511696052</v>
      </c>
      <c r="Q886" s="1">
        <f t="shared" si="66"/>
        <v>2.0292764267544077</v>
      </c>
      <c r="R886" s="1">
        <f t="shared" si="67"/>
        <v>1.4245267378166011</v>
      </c>
      <c r="S886" s="1">
        <f t="shared" si="68"/>
        <v>-0.24564953860322386</v>
      </c>
      <c r="T886" s="56">
        <f t="shared" si="69"/>
        <v>0.40387262235755356</v>
      </c>
    </row>
    <row r="887" spans="1:20" x14ac:dyDescent="0.25">
      <c r="A887">
        <v>0.88121507416105882</v>
      </c>
      <c r="B887">
        <v>0.67725295593845658</v>
      </c>
      <c r="D887">
        <v>0.88933253774920396</v>
      </c>
      <c r="E887">
        <v>-1.6937490306645486</v>
      </c>
      <c r="J887">
        <v>10</v>
      </c>
      <c r="K887">
        <v>0.14891600130795268</v>
      </c>
      <c r="L887">
        <v>6.3290264339790534</v>
      </c>
      <c r="M887">
        <v>20</v>
      </c>
      <c r="N887">
        <v>-5.3052705197842442E-2</v>
      </c>
      <c r="O887">
        <v>107.59460703886566</v>
      </c>
      <c r="P887" s="1">
        <f t="shared" si="65"/>
        <v>4.0687011954587398</v>
      </c>
      <c r="Q887" s="1">
        <f t="shared" si="66"/>
        <v>0.6103051793188109</v>
      </c>
      <c r="R887" s="1">
        <f t="shared" si="67"/>
        <v>0.78122031420004112</v>
      </c>
      <c r="S887" s="1">
        <f t="shared" si="68"/>
        <v>0.25852976789602344</v>
      </c>
      <c r="T887" s="56">
        <f t="shared" si="69"/>
        <v>0.60105545812282479</v>
      </c>
    </row>
    <row r="888" spans="1:20" x14ac:dyDescent="0.25">
      <c r="A888">
        <v>0.88269287032492061</v>
      </c>
      <c r="B888">
        <v>0.1303783392359037</v>
      </c>
      <c r="D888">
        <v>0.88935765168454495</v>
      </c>
      <c r="E888">
        <v>-4.1421269577313069</v>
      </c>
      <c r="J888">
        <v>10</v>
      </c>
      <c r="K888">
        <v>0.4279544327800977</v>
      </c>
      <c r="L888">
        <v>6.0599209326625374</v>
      </c>
      <c r="M888">
        <v>20</v>
      </c>
      <c r="N888">
        <v>0.64081188725140237</v>
      </c>
      <c r="O888">
        <v>169.34474242948141</v>
      </c>
      <c r="P888" s="1">
        <f t="shared" si="65"/>
        <v>6.2644522629337134</v>
      </c>
      <c r="Q888" s="1">
        <f t="shared" si="66"/>
        <v>0.93966783944005694</v>
      </c>
      <c r="R888" s="1">
        <f t="shared" si="67"/>
        <v>0.96936465761861612</v>
      </c>
      <c r="S888" s="1">
        <f t="shared" si="68"/>
        <v>-0.21958450083606271</v>
      </c>
      <c r="T888" s="56">
        <f t="shared" si="69"/>
        <v>0.41389386982726661</v>
      </c>
    </row>
    <row r="889" spans="1:20" x14ac:dyDescent="0.25">
      <c r="A889">
        <v>0.88322294737935569</v>
      </c>
      <c r="B889">
        <v>3.4447111829649657E-4</v>
      </c>
      <c r="D889">
        <v>0.89109993162254142</v>
      </c>
      <c r="E889">
        <v>3.2375289686115138</v>
      </c>
      <c r="J889">
        <v>10</v>
      </c>
      <c r="K889">
        <v>0.92860773293068632</v>
      </c>
      <c r="L889">
        <v>16.907061156420244</v>
      </c>
      <c r="M889">
        <v>20</v>
      </c>
      <c r="N889">
        <v>-0.32269020152853045</v>
      </c>
      <c r="O889">
        <v>134.4222244479418</v>
      </c>
      <c r="P889" s="1">
        <f t="shared" si="65"/>
        <v>5.4046173430129301</v>
      </c>
      <c r="Q889" s="1">
        <f t="shared" si="66"/>
        <v>0.81069260145193944</v>
      </c>
      <c r="R889" s="1">
        <f t="shared" si="67"/>
        <v>0.90038469636702478</v>
      </c>
      <c r="S889" s="1">
        <f t="shared" si="68"/>
        <v>1.3897370085343486</v>
      </c>
      <c r="T889" s="56">
        <f t="shared" si="69"/>
        <v>0.91221966722414272</v>
      </c>
    </row>
    <row r="890" spans="1:20" x14ac:dyDescent="0.25">
      <c r="A890">
        <v>0.8832240714469819</v>
      </c>
      <c r="B890">
        <v>0.87236912804655731</v>
      </c>
      <c r="D890">
        <v>0.89126875133524008</v>
      </c>
      <c r="E890">
        <v>-0.4055430088101275</v>
      </c>
      <c r="J890">
        <v>10</v>
      </c>
      <c r="K890">
        <v>0.22711924430041108</v>
      </c>
      <c r="L890">
        <v>4.6336974115511218</v>
      </c>
      <c r="M890">
        <v>20</v>
      </c>
      <c r="N890">
        <v>0.90021961455022392</v>
      </c>
      <c r="O890">
        <v>150.83318600145796</v>
      </c>
      <c r="P890" s="1">
        <f t="shared" si="65"/>
        <v>5.5523886933217526</v>
      </c>
      <c r="Q890" s="1">
        <f t="shared" si="66"/>
        <v>0.83285830399826288</v>
      </c>
      <c r="R890" s="1">
        <f t="shared" si="67"/>
        <v>0.91261070780386033</v>
      </c>
      <c r="S890" s="1">
        <f t="shared" si="68"/>
        <v>-0.73755475855590835</v>
      </c>
      <c r="T890" s="56">
        <f t="shared" si="69"/>
        <v>0.23346073458955274</v>
      </c>
    </row>
    <row r="891" spans="1:20" x14ac:dyDescent="0.25">
      <c r="A891">
        <v>0.88339906503128607</v>
      </c>
      <c r="B891">
        <v>1.2651526049012318</v>
      </c>
      <c r="D891">
        <v>0.89134329730830097</v>
      </c>
      <c r="E891">
        <v>-5.8469111115755368</v>
      </c>
      <c r="J891">
        <v>10</v>
      </c>
      <c r="K891">
        <v>-7.6774767876486294E-2</v>
      </c>
      <c r="L891">
        <v>1.8951694139060931</v>
      </c>
      <c r="M891">
        <v>20</v>
      </c>
      <c r="N891">
        <v>0.1145959311088518</v>
      </c>
      <c r="O891">
        <v>124.69244667302401</v>
      </c>
      <c r="P891" s="1">
        <f t="shared" si="65"/>
        <v>4.5209862888189321</v>
      </c>
      <c r="Q891" s="1">
        <f t="shared" si="66"/>
        <v>0.67814794332283979</v>
      </c>
      <c r="R891" s="1">
        <f t="shared" si="67"/>
        <v>0.82349738513418469</v>
      </c>
      <c r="S891" s="1">
        <f t="shared" si="68"/>
        <v>-0.232387743349246</v>
      </c>
      <c r="T891" s="56">
        <f t="shared" si="69"/>
        <v>0.40896355002709395</v>
      </c>
    </row>
    <row r="892" spans="1:20" x14ac:dyDescent="0.25">
      <c r="A892">
        <v>0.88395460650707769</v>
      </c>
      <c r="B892">
        <v>0.88894012151286006</v>
      </c>
      <c r="D892">
        <v>0.89274918884088583</v>
      </c>
      <c r="E892">
        <v>-6.3114901001881663</v>
      </c>
      <c r="J892">
        <v>10</v>
      </c>
      <c r="K892">
        <v>0.14052989172341768</v>
      </c>
      <c r="L892">
        <v>4.6697978014148172</v>
      </c>
      <c r="M892">
        <v>20</v>
      </c>
      <c r="N892">
        <v>1.0697065670228767</v>
      </c>
      <c r="O892">
        <v>78.896453533547017</v>
      </c>
      <c r="P892" s="1">
        <f t="shared" si="65"/>
        <v>2.984508976248637</v>
      </c>
      <c r="Q892" s="1">
        <f t="shared" si="66"/>
        <v>0.44767634643729554</v>
      </c>
      <c r="R892" s="1">
        <f t="shared" si="67"/>
        <v>0.66908620254590179</v>
      </c>
      <c r="S892" s="1">
        <f t="shared" si="68"/>
        <v>-1.3887249083360287</v>
      </c>
      <c r="T892" s="56">
        <f t="shared" si="69"/>
        <v>8.7932565740463334E-2</v>
      </c>
    </row>
    <row r="893" spans="1:20" x14ac:dyDescent="0.25">
      <c r="A893">
        <v>0.88571215317001151</v>
      </c>
      <c r="B893">
        <v>0.8247775440395344</v>
      </c>
      <c r="D893">
        <v>0.89309885388256793</v>
      </c>
      <c r="E893">
        <v>-6.8184151621153433</v>
      </c>
      <c r="J893">
        <v>10</v>
      </c>
      <c r="K893">
        <v>8.7803755377535708E-3</v>
      </c>
      <c r="L893">
        <v>7.3035646488211414</v>
      </c>
      <c r="M893">
        <v>20</v>
      </c>
      <c r="N893">
        <v>1.04751375943124</v>
      </c>
      <c r="O893">
        <v>149.47291810627203</v>
      </c>
      <c r="P893" s="1">
        <f t="shared" si="65"/>
        <v>5.5991600983961849</v>
      </c>
      <c r="Q893" s="1">
        <f t="shared" si="66"/>
        <v>0.83987401475942769</v>
      </c>
      <c r="R893" s="1">
        <f t="shared" si="67"/>
        <v>0.91644640583038339</v>
      </c>
      <c r="S893" s="1">
        <f t="shared" si="68"/>
        <v>-1.1334360386871722</v>
      </c>
      <c r="T893" s="56">
        <f t="shared" si="69"/>
        <v>0.13332156535173031</v>
      </c>
    </row>
    <row r="894" spans="1:20" x14ac:dyDescent="0.25">
      <c r="A894">
        <v>0.886327449940988</v>
      </c>
      <c r="B894">
        <v>0.30447608878603205</v>
      </c>
      <c r="D894">
        <v>0.89327644135729189</v>
      </c>
      <c r="E894">
        <v>3.0176813618254528</v>
      </c>
      <c r="J894">
        <v>10</v>
      </c>
      <c r="K894">
        <v>0.25180145257763797</v>
      </c>
      <c r="L894">
        <v>7.7707466591284735</v>
      </c>
      <c r="M894">
        <v>20</v>
      </c>
      <c r="N894">
        <v>0.4178826281986403</v>
      </c>
      <c r="O894">
        <v>113.29788859310453</v>
      </c>
      <c r="P894" s="1">
        <f t="shared" si="65"/>
        <v>4.3238798304368933</v>
      </c>
      <c r="Q894" s="1">
        <f t="shared" si="66"/>
        <v>0.64858197456553401</v>
      </c>
      <c r="R894" s="1">
        <f t="shared" si="67"/>
        <v>0.80534587263208468</v>
      </c>
      <c r="S894" s="1">
        <f t="shared" si="68"/>
        <v>-0.20622341439238379</v>
      </c>
      <c r="T894" s="56">
        <f t="shared" si="69"/>
        <v>0.41905429756885859</v>
      </c>
    </row>
    <row r="895" spans="1:20" x14ac:dyDescent="0.25">
      <c r="A895">
        <v>0.88772857205282441</v>
      </c>
      <c r="B895">
        <v>0.52801169658778235</v>
      </c>
      <c r="D895">
        <v>0.89397884769621239</v>
      </c>
      <c r="E895">
        <v>2.1930788955160097</v>
      </c>
      <c r="J895">
        <v>10</v>
      </c>
      <c r="K895">
        <v>2.4696987566130701E-2</v>
      </c>
      <c r="L895">
        <v>7.3028707861952151</v>
      </c>
      <c r="M895">
        <v>20</v>
      </c>
      <c r="N895">
        <v>-0.80261026255357137</v>
      </c>
      <c r="O895">
        <v>149.82464600596484</v>
      </c>
      <c r="P895" s="1">
        <f t="shared" si="65"/>
        <v>5.6116970282914309</v>
      </c>
      <c r="Q895" s="1">
        <f t="shared" si="66"/>
        <v>0.84175455424371459</v>
      </c>
      <c r="R895" s="1">
        <f t="shared" si="67"/>
        <v>0.91747182749320133</v>
      </c>
      <c r="S895" s="1">
        <f t="shared" si="68"/>
        <v>0.90172496345761921</v>
      </c>
      <c r="T895" s="56">
        <f t="shared" si="69"/>
        <v>0.81255272450302851</v>
      </c>
    </row>
    <row r="896" spans="1:20" x14ac:dyDescent="0.25">
      <c r="A896">
        <v>0.88905192163885893</v>
      </c>
      <c r="B896">
        <v>0.13114913599565625</v>
      </c>
      <c r="D896">
        <v>0.89740157449499847</v>
      </c>
      <c r="E896">
        <v>6.5531760321846377</v>
      </c>
      <c r="J896">
        <v>10</v>
      </c>
      <c r="K896">
        <v>-0.36923643165209796</v>
      </c>
      <c r="L896">
        <v>9.8083307719289738</v>
      </c>
      <c r="M896">
        <v>20</v>
      </c>
      <c r="N896">
        <v>1.0051364790797379</v>
      </c>
      <c r="O896">
        <v>192.3626283315389</v>
      </c>
      <c r="P896" s="1">
        <f t="shared" si="65"/>
        <v>7.220391396552424</v>
      </c>
      <c r="Q896" s="1">
        <f t="shared" si="66"/>
        <v>1.0830587094828636</v>
      </c>
      <c r="R896" s="1">
        <f t="shared" si="67"/>
        <v>1.040701066340793</v>
      </c>
      <c r="S896" s="1">
        <f t="shared" si="68"/>
        <v>-1.3206221797814293</v>
      </c>
      <c r="T896" s="56">
        <f t="shared" si="69"/>
        <v>9.8660248509304466E-2</v>
      </c>
    </row>
    <row r="897" spans="1:20" x14ac:dyDescent="0.25">
      <c r="A897">
        <v>0.89048754388801032</v>
      </c>
      <c r="B897">
        <v>1.5244995665852912</v>
      </c>
      <c r="D897">
        <v>0.89878268286068974</v>
      </c>
      <c r="E897">
        <v>-4.1566288507510762</v>
      </c>
      <c r="J897">
        <v>10</v>
      </c>
      <c r="K897">
        <v>-0.16204990060941782</v>
      </c>
      <c r="L897">
        <v>12.193719888549783</v>
      </c>
      <c r="M897">
        <v>20</v>
      </c>
      <c r="N897">
        <v>0.28488846851359995</v>
      </c>
      <c r="O897">
        <v>167.22958764542932</v>
      </c>
      <c r="P897" s="1">
        <f t="shared" si="65"/>
        <v>6.4079752690706826</v>
      </c>
      <c r="Q897" s="1">
        <f t="shared" si="66"/>
        <v>0.96119629036060239</v>
      </c>
      <c r="R897" s="1">
        <f t="shared" si="67"/>
        <v>0.9804061864148973</v>
      </c>
      <c r="S897" s="1">
        <f t="shared" si="68"/>
        <v>-0.45587061293172859</v>
      </c>
      <c r="T897" s="56">
        <f t="shared" si="69"/>
        <v>0.32599951974321212</v>
      </c>
    </row>
    <row r="898" spans="1:20" x14ac:dyDescent="0.25">
      <c r="A898">
        <v>0.89134545443756019</v>
      </c>
      <c r="B898">
        <v>0.56909357226686552</v>
      </c>
      <c r="D898">
        <v>0.89887856762806817</v>
      </c>
      <c r="E898">
        <v>1.0404444276446156</v>
      </c>
      <c r="J898">
        <v>10</v>
      </c>
      <c r="K898">
        <v>-0.47448509121750249</v>
      </c>
      <c r="L898">
        <v>11.567580298991558</v>
      </c>
      <c r="M898">
        <v>20</v>
      </c>
      <c r="N898">
        <v>-0.29623038585668837</v>
      </c>
      <c r="O898">
        <v>221.66046177503023</v>
      </c>
      <c r="P898" s="1">
        <f t="shared" ref="P898:P961" si="70">(L898+O898)/(J898+M898-2)</f>
        <v>8.3295729312150648</v>
      </c>
      <c r="Q898" s="1">
        <f t="shared" ref="Q898:Q961" si="71">P898*0.15</f>
        <v>1.2494359396822596</v>
      </c>
      <c r="R898" s="1">
        <f t="shared" ref="R898:R961" si="72">SQRT(Q898)</f>
        <v>1.1177817048432397</v>
      </c>
      <c r="S898" s="1">
        <f t="shared" ref="S898:S961" si="73">(K898-N898)/R898</f>
        <v>-0.1594718401530941</v>
      </c>
      <c r="T898" s="56">
        <f t="shared" ref="T898:T961" si="74">_xlfn.T.DIST(S898,28,TRUE)</f>
        <v>0.43722096896743873</v>
      </c>
    </row>
    <row r="899" spans="1:20" x14ac:dyDescent="0.25">
      <c r="A899">
        <v>0.89168500961039754</v>
      </c>
      <c r="B899">
        <v>1.2636201063287444</v>
      </c>
      <c r="D899">
        <v>0.90389758402935461</v>
      </c>
      <c r="E899">
        <v>0.5725400990286289</v>
      </c>
      <c r="J899">
        <v>10</v>
      </c>
      <c r="K899">
        <v>-0.17652178030402865</v>
      </c>
      <c r="L899">
        <v>13.575844070854455</v>
      </c>
      <c r="M899">
        <v>20</v>
      </c>
      <c r="N899">
        <v>1.5198123116988427</v>
      </c>
      <c r="O899">
        <v>213.40316812256691</v>
      </c>
      <c r="P899" s="1">
        <f t="shared" si="70"/>
        <v>8.106393292622192</v>
      </c>
      <c r="Q899" s="1">
        <f t="shared" si="71"/>
        <v>1.2159589938933288</v>
      </c>
      <c r="R899" s="1">
        <f t="shared" si="72"/>
        <v>1.1027053069126533</v>
      </c>
      <c r="S899" s="1">
        <f t="shared" si="73"/>
        <v>-1.5383385582429596</v>
      </c>
      <c r="T899" s="56">
        <f t="shared" si="74"/>
        <v>6.7595674434785924E-2</v>
      </c>
    </row>
    <row r="900" spans="1:20" x14ac:dyDescent="0.25">
      <c r="A900">
        <v>0.8927014666819636</v>
      </c>
      <c r="B900">
        <v>-0.4175308276899159</v>
      </c>
      <c r="D900">
        <v>0.90407770567845092</v>
      </c>
      <c r="E900">
        <v>-0.62936738117969071</v>
      </c>
      <c r="J900">
        <v>10</v>
      </c>
      <c r="K900">
        <v>-0.21367713998188265</v>
      </c>
      <c r="L900">
        <v>3.8190108821129822</v>
      </c>
      <c r="M900">
        <v>20</v>
      </c>
      <c r="N900">
        <v>-1.2460482741971646</v>
      </c>
      <c r="O900">
        <v>301.63389209085204</v>
      </c>
      <c r="P900" s="1">
        <f t="shared" si="70"/>
        <v>10.909032249034466</v>
      </c>
      <c r="Q900" s="1">
        <f t="shared" si="71"/>
        <v>1.6363548373551697</v>
      </c>
      <c r="R900" s="1">
        <f t="shared" si="72"/>
        <v>1.2792008588783741</v>
      </c>
      <c r="S900" s="1">
        <f t="shared" si="73"/>
        <v>0.80704380946123122</v>
      </c>
      <c r="T900" s="56">
        <f t="shared" si="74"/>
        <v>0.78677806894407754</v>
      </c>
    </row>
    <row r="901" spans="1:20" x14ac:dyDescent="0.25">
      <c r="A901">
        <v>0.89314733924661227</v>
      </c>
      <c r="B901">
        <v>-0.6102391125750728</v>
      </c>
      <c r="D901">
        <v>0.90706876659195657</v>
      </c>
      <c r="E901">
        <v>0.21846130607627856</v>
      </c>
      <c r="J901">
        <v>10</v>
      </c>
      <c r="K901">
        <v>-0.59275578223605407</v>
      </c>
      <c r="L901">
        <v>6.3356014963803462</v>
      </c>
      <c r="M901">
        <v>20</v>
      </c>
      <c r="N901">
        <v>-0.26300427066416887</v>
      </c>
      <c r="O901">
        <v>179.58837132085418</v>
      </c>
      <c r="P901" s="1">
        <f t="shared" si="70"/>
        <v>6.640141886329805</v>
      </c>
      <c r="Q901" s="1">
        <f t="shared" si="71"/>
        <v>0.99602128294947068</v>
      </c>
      <c r="R901" s="1">
        <f t="shared" si="72"/>
        <v>0.99800865875475786</v>
      </c>
      <c r="S901" s="1">
        <f t="shared" si="73"/>
        <v>-0.33040946957647138</v>
      </c>
      <c r="T901" s="56">
        <f t="shared" si="74"/>
        <v>0.37177511062844448</v>
      </c>
    </row>
    <row r="902" spans="1:20" x14ac:dyDescent="0.25">
      <c r="A902">
        <v>0.89328974793929727</v>
      </c>
      <c r="B902">
        <v>-0.54914835345698521</v>
      </c>
      <c r="D902">
        <v>0.91089097384618856</v>
      </c>
      <c r="E902">
        <v>3.2577879630935058</v>
      </c>
      <c r="J902">
        <v>10</v>
      </c>
      <c r="K902">
        <v>-0.2837517740772455</v>
      </c>
      <c r="L902">
        <v>7.7696140913452316</v>
      </c>
      <c r="M902">
        <v>20</v>
      </c>
      <c r="N902">
        <v>2.7155348334417795E-2</v>
      </c>
      <c r="O902">
        <v>275.02436708693216</v>
      </c>
      <c r="P902" s="1">
        <f t="shared" si="70"/>
        <v>10.099785042081335</v>
      </c>
      <c r="Q902" s="1">
        <f t="shared" si="71"/>
        <v>1.5149677563122002</v>
      </c>
      <c r="R902" s="1">
        <f t="shared" si="72"/>
        <v>1.2308402643366037</v>
      </c>
      <c r="S902" s="1">
        <f t="shared" si="73"/>
        <v>-0.25259745835438324</v>
      </c>
      <c r="T902" s="56">
        <f t="shared" si="74"/>
        <v>0.40121223642095927</v>
      </c>
    </row>
    <row r="903" spans="1:20" x14ac:dyDescent="0.25">
      <c r="A903">
        <v>0.89440992135418929</v>
      </c>
      <c r="B903">
        <v>-0.43352656575734727</v>
      </c>
      <c r="D903">
        <v>0.91176938001157004</v>
      </c>
      <c r="E903">
        <v>3.4606302926931676</v>
      </c>
      <c r="J903">
        <v>10</v>
      </c>
      <c r="K903">
        <v>9.0370690486452077E-2</v>
      </c>
      <c r="L903">
        <v>11.379476540105642</v>
      </c>
      <c r="M903">
        <v>20</v>
      </c>
      <c r="N903">
        <v>-0.34571877790767758</v>
      </c>
      <c r="O903">
        <v>216.56194286238755</v>
      </c>
      <c r="P903" s="1">
        <f t="shared" si="70"/>
        <v>8.1407649786604708</v>
      </c>
      <c r="Q903" s="1">
        <f t="shared" si="71"/>
        <v>1.2211147467990706</v>
      </c>
      <c r="R903" s="1">
        <f t="shared" si="72"/>
        <v>1.1050406086651614</v>
      </c>
      <c r="S903" s="1">
        <f t="shared" si="73"/>
        <v>0.39463659975437992</v>
      </c>
      <c r="T903" s="56">
        <f t="shared" si="74"/>
        <v>0.65194942791467914</v>
      </c>
    </row>
    <row r="904" spans="1:20" x14ac:dyDescent="0.25">
      <c r="A904">
        <v>0.89493890369743889</v>
      </c>
      <c r="B904">
        <v>-0.16425133253505919</v>
      </c>
      <c r="D904">
        <v>0.91534256006814674</v>
      </c>
      <c r="E904">
        <v>-1.0691035220133926</v>
      </c>
      <c r="J904">
        <v>10</v>
      </c>
      <c r="K904">
        <v>-0.16075978237495292</v>
      </c>
      <c r="L904">
        <v>8.5169378138315412</v>
      </c>
      <c r="M904">
        <v>20</v>
      </c>
      <c r="N904">
        <v>0.16706928477105976</v>
      </c>
      <c r="O904">
        <v>135.40270120078219</v>
      </c>
      <c r="P904" s="1">
        <f t="shared" si="70"/>
        <v>5.1399871076647754</v>
      </c>
      <c r="Q904" s="1">
        <f t="shared" si="71"/>
        <v>0.77099806614971633</v>
      </c>
      <c r="R904" s="1">
        <f t="shared" si="72"/>
        <v>0.87806495554128361</v>
      </c>
      <c r="S904" s="1">
        <f t="shared" si="73"/>
        <v>-0.3733540042535034</v>
      </c>
      <c r="T904" s="56">
        <f t="shared" si="74"/>
        <v>0.35584843111290587</v>
      </c>
    </row>
    <row r="905" spans="1:20" x14ac:dyDescent="0.25">
      <c r="A905">
        <v>0.89638259828636058</v>
      </c>
      <c r="B905">
        <v>-2.3305619833990932</v>
      </c>
      <c r="D905">
        <v>0.91715026904497099</v>
      </c>
      <c r="E905">
        <v>1.783165085953442</v>
      </c>
      <c r="J905">
        <v>10</v>
      </c>
      <c r="K905">
        <v>8.719325705897063E-3</v>
      </c>
      <c r="L905">
        <v>9.3110578367502388</v>
      </c>
      <c r="M905">
        <v>20</v>
      </c>
      <c r="N905">
        <v>0.69887266477053345</v>
      </c>
      <c r="O905">
        <v>169.22764145304686</v>
      </c>
      <c r="P905" s="1">
        <f t="shared" si="70"/>
        <v>6.3763821174927537</v>
      </c>
      <c r="Q905" s="1">
        <f t="shared" si="71"/>
        <v>0.95645731762391306</v>
      </c>
      <c r="R905" s="1">
        <f t="shared" si="72"/>
        <v>0.97798635860829519</v>
      </c>
      <c r="S905" s="1">
        <f t="shared" si="73"/>
        <v>-0.70568810391869463</v>
      </c>
      <c r="T905" s="56">
        <f t="shared" si="74"/>
        <v>0.24310617770968374</v>
      </c>
    </row>
    <row r="906" spans="1:20" x14ac:dyDescent="0.25">
      <c r="A906">
        <v>0.89744770341282198</v>
      </c>
      <c r="B906">
        <v>-0.72817556429072283</v>
      </c>
      <c r="D906">
        <v>0.91780342053803898</v>
      </c>
      <c r="E906">
        <v>7.1844926844732981</v>
      </c>
      <c r="J906">
        <v>10</v>
      </c>
      <c r="K906">
        <v>-1.2364580470602959E-2</v>
      </c>
      <c r="L906">
        <v>17.165529494465357</v>
      </c>
      <c r="M906">
        <v>20</v>
      </c>
      <c r="N906">
        <v>-0.60315995028759062</v>
      </c>
      <c r="O906">
        <v>163.85619024548231</v>
      </c>
      <c r="P906" s="1">
        <f t="shared" si="70"/>
        <v>6.4650614192838445</v>
      </c>
      <c r="Q906" s="1">
        <f t="shared" si="71"/>
        <v>0.96975921289257661</v>
      </c>
      <c r="R906" s="1">
        <f t="shared" si="72"/>
        <v>0.98476353145949536</v>
      </c>
      <c r="S906" s="1">
        <f t="shared" si="73"/>
        <v>0.59993628007465249</v>
      </c>
      <c r="T906" s="56">
        <f t="shared" si="74"/>
        <v>0.72331330419093154</v>
      </c>
    </row>
    <row r="907" spans="1:20" x14ac:dyDescent="0.25">
      <c r="A907">
        <v>0.89792714354741776</v>
      </c>
      <c r="B907">
        <v>-0.52581413001462352</v>
      </c>
      <c r="D907">
        <v>0.91805679458967826</v>
      </c>
      <c r="E907">
        <v>0.75288266657480563</v>
      </c>
      <c r="J907">
        <v>10</v>
      </c>
      <c r="K907">
        <v>5.986737505736528E-2</v>
      </c>
      <c r="L907">
        <v>8.7887879500158039</v>
      </c>
      <c r="M907">
        <v>20</v>
      </c>
      <c r="N907">
        <v>1.7224348312083748E-2</v>
      </c>
      <c r="O907">
        <v>123.93965062381261</v>
      </c>
      <c r="P907" s="1">
        <f t="shared" si="70"/>
        <v>4.7403013776367287</v>
      </c>
      <c r="Q907" s="1">
        <f t="shared" si="71"/>
        <v>0.7110452066455093</v>
      </c>
      <c r="R907" s="1">
        <f t="shared" si="72"/>
        <v>0.84323496526502584</v>
      </c>
      <c r="S907" s="1">
        <f t="shared" si="73"/>
        <v>5.0570752520774531E-2</v>
      </c>
      <c r="T907" s="56">
        <f t="shared" si="74"/>
        <v>0.51998669536059583</v>
      </c>
    </row>
    <row r="908" spans="1:20" x14ac:dyDescent="0.25">
      <c r="A908">
        <v>0.89867480287980006</v>
      </c>
      <c r="B908">
        <v>0.69370116762001999</v>
      </c>
      <c r="D908">
        <v>0.91979166870548545</v>
      </c>
      <c r="E908">
        <v>0.66084748709727137</v>
      </c>
      <c r="J908">
        <v>10</v>
      </c>
      <c r="K908">
        <v>0.14005843240738614</v>
      </c>
      <c r="L908">
        <v>2.0923118005807191</v>
      </c>
      <c r="M908">
        <v>20</v>
      </c>
      <c r="N908">
        <v>-0.32405597835349909</v>
      </c>
      <c r="O908">
        <v>184.95899252400929</v>
      </c>
      <c r="P908" s="1">
        <f t="shared" si="70"/>
        <v>6.6804037258782145</v>
      </c>
      <c r="Q908" s="1">
        <f t="shared" si="71"/>
        <v>1.0020605588817322</v>
      </c>
      <c r="R908" s="1">
        <f t="shared" si="72"/>
        <v>1.001029749249108</v>
      </c>
      <c r="S908" s="1">
        <f t="shared" si="73"/>
        <v>0.463636980927916</v>
      </c>
      <c r="T908" s="56">
        <f t="shared" si="74"/>
        <v>0.67675401436084859</v>
      </c>
    </row>
    <row r="909" spans="1:20" x14ac:dyDescent="0.25">
      <c r="A909">
        <v>0.89883247642528341</v>
      </c>
      <c r="B909">
        <v>-0.71626118369749747</v>
      </c>
      <c r="D909">
        <v>0.91993829719242437</v>
      </c>
      <c r="E909">
        <v>-3.0060475671689346</v>
      </c>
      <c r="J909">
        <v>10</v>
      </c>
      <c r="K909">
        <v>-0.39685346564510837</v>
      </c>
      <c r="L909">
        <v>6.770067702651918</v>
      </c>
      <c r="M909">
        <v>20</v>
      </c>
      <c r="N909">
        <v>-1.7955291616544855</v>
      </c>
      <c r="O909">
        <v>204.81903300166633</v>
      </c>
      <c r="P909" s="1">
        <f t="shared" si="70"/>
        <v>7.5567535965827943</v>
      </c>
      <c r="Q909" s="1">
        <f t="shared" si="71"/>
        <v>1.1335130394874191</v>
      </c>
      <c r="R909" s="1">
        <f t="shared" si="72"/>
        <v>1.0646656937684331</v>
      </c>
      <c r="S909" s="1">
        <f t="shared" si="73"/>
        <v>1.3137228936706886</v>
      </c>
      <c r="T909" s="56">
        <f t="shared" si="74"/>
        <v>0.90019882846484967</v>
      </c>
    </row>
    <row r="910" spans="1:20" x14ac:dyDescent="0.25">
      <c r="A910">
        <v>0.89886188015456703</v>
      </c>
      <c r="B910">
        <v>-1.1719475878635421</v>
      </c>
      <c r="D910">
        <v>0.92060911127242206</v>
      </c>
      <c r="E910">
        <v>-4.6647135184230137</v>
      </c>
      <c r="J910">
        <v>10</v>
      </c>
      <c r="K910">
        <v>-1.1133465704915579E-2</v>
      </c>
      <c r="L910">
        <v>2.6768380769594957</v>
      </c>
      <c r="M910">
        <v>20</v>
      </c>
      <c r="N910">
        <v>-0.53099597948857991</v>
      </c>
      <c r="O910">
        <v>159.19080995815511</v>
      </c>
      <c r="P910" s="1">
        <f t="shared" si="70"/>
        <v>5.7809874298255215</v>
      </c>
      <c r="Q910" s="1">
        <f t="shared" si="71"/>
        <v>0.86714811447382822</v>
      </c>
      <c r="R910" s="1">
        <f t="shared" si="72"/>
        <v>0.9312078793018389</v>
      </c>
      <c r="S910" s="1">
        <f t="shared" si="73"/>
        <v>0.558266876106573</v>
      </c>
      <c r="T910" s="56">
        <f t="shared" si="74"/>
        <v>0.70945036579781784</v>
      </c>
    </row>
    <row r="911" spans="1:20" x14ac:dyDescent="0.25">
      <c r="A911">
        <v>0.89947425637548606</v>
      </c>
      <c r="B911">
        <v>-0.24346945792785846</v>
      </c>
      <c r="D911">
        <v>0.92231115688785825</v>
      </c>
      <c r="E911">
        <v>-2.6605737309637334</v>
      </c>
      <c r="J911">
        <v>10</v>
      </c>
      <c r="K911">
        <v>7.4490344559308141E-2</v>
      </c>
      <c r="L911">
        <v>15.807457849878546</v>
      </c>
      <c r="M911">
        <v>20</v>
      </c>
      <c r="N911">
        <v>0.44611919861381466</v>
      </c>
      <c r="O911">
        <v>253.95963238676256</v>
      </c>
      <c r="P911" s="1">
        <f t="shared" si="70"/>
        <v>9.6345389370228975</v>
      </c>
      <c r="Q911" s="1">
        <f t="shared" si="71"/>
        <v>1.4451808405534345</v>
      </c>
      <c r="R911" s="1">
        <f t="shared" si="72"/>
        <v>1.2021567454177655</v>
      </c>
      <c r="S911" s="1">
        <f t="shared" si="73"/>
        <v>-0.30913510694095098</v>
      </c>
      <c r="T911" s="56">
        <f t="shared" si="74"/>
        <v>0.37975371550510262</v>
      </c>
    </row>
    <row r="912" spans="1:20" x14ac:dyDescent="0.25">
      <c r="A912">
        <v>0.90185480916041505</v>
      </c>
      <c r="B912">
        <v>-1.734510988171678</v>
      </c>
      <c r="D912">
        <v>0.92270719460182216</v>
      </c>
      <c r="E912">
        <v>-1.8714347368131712</v>
      </c>
      <c r="J912">
        <v>10</v>
      </c>
      <c r="K912">
        <v>0.44300293211563258</v>
      </c>
      <c r="L912">
        <v>6.4494657916738163</v>
      </c>
      <c r="M912">
        <v>20</v>
      </c>
      <c r="N912">
        <v>1.0373660154527897</v>
      </c>
      <c r="O912">
        <v>215.13624281934051</v>
      </c>
      <c r="P912" s="1">
        <f t="shared" si="70"/>
        <v>7.913775307536226</v>
      </c>
      <c r="Q912" s="1">
        <f t="shared" si="71"/>
        <v>1.1870662961304339</v>
      </c>
      <c r="R912" s="1">
        <f t="shared" si="72"/>
        <v>1.0895257207291775</v>
      </c>
      <c r="S912" s="1">
        <f t="shared" si="73"/>
        <v>-0.54552460031817596</v>
      </c>
      <c r="T912" s="56">
        <f t="shared" si="74"/>
        <v>0.29485634154022233</v>
      </c>
    </row>
    <row r="913" spans="1:20" x14ac:dyDescent="0.25">
      <c r="A913">
        <v>0.90482201494152281</v>
      </c>
      <c r="B913">
        <v>-1.25298356579151</v>
      </c>
      <c r="D913">
        <v>0.92325557721580009</v>
      </c>
      <c r="E913">
        <v>-7.915150831649953E-2</v>
      </c>
      <c r="J913">
        <v>10</v>
      </c>
      <c r="K913">
        <v>-0.61342495882854564</v>
      </c>
      <c r="L913">
        <v>4.4876042930472551</v>
      </c>
      <c r="M913">
        <v>20</v>
      </c>
      <c r="N913">
        <v>0.24688784719728574</v>
      </c>
      <c r="O913">
        <v>153.93195389727407</v>
      </c>
      <c r="P913" s="1">
        <f t="shared" si="70"/>
        <v>5.6578413639400464</v>
      </c>
      <c r="Q913" s="1">
        <f t="shared" si="71"/>
        <v>0.8486762045910069</v>
      </c>
      <c r="R913" s="1">
        <f t="shared" si="72"/>
        <v>0.92123623712433655</v>
      </c>
      <c r="S913" s="1">
        <f t="shared" si="73"/>
        <v>-0.93386774353484048</v>
      </c>
      <c r="T913" s="56">
        <f t="shared" si="74"/>
        <v>0.17917810358766195</v>
      </c>
    </row>
    <row r="914" spans="1:20" x14ac:dyDescent="0.25">
      <c r="A914">
        <v>0.90501575300510173</v>
      </c>
      <c r="B914">
        <v>-0.60968659454374574</v>
      </c>
      <c r="D914">
        <v>0.92334856921332042</v>
      </c>
      <c r="E914">
        <v>-3.1980578148704808</v>
      </c>
      <c r="J914">
        <v>10</v>
      </c>
      <c r="K914">
        <v>4.2838451008719858E-2</v>
      </c>
      <c r="L914">
        <v>12.631387259068283</v>
      </c>
      <c r="M914">
        <v>20</v>
      </c>
      <c r="N914">
        <v>0.76299084753372881</v>
      </c>
      <c r="O914">
        <v>165.10864717013007</v>
      </c>
      <c r="P914" s="1">
        <f t="shared" si="70"/>
        <v>6.3478583724713697</v>
      </c>
      <c r="Q914" s="1">
        <f t="shared" si="71"/>
        <v>0.95217875587070544</v>
      </c>
      <c r="R914" s="1">
        <f t="shared" si="72"/>
        <v>0.97579647256520941</v>
      </c>
      <c r="S914" s="1">
        <f t="shared" si="73"/>
        <v>-0.7380149619027071</v>
      </c>
      <c r="T914" s="56">
        <f t="shared" si="74"/>
        <v>0.23332309689792413</v>
      </c>
    </row>
    <row r="915" spans="1:20" x14ac:dyDescent="0.25">
      <c r="A915">
        <v>0.9066479032233713</v>
      </c>
      <c r="B915">
        <v>-1.8704895410337485E-2</v>
      </c>
      <c r="D915">
        <v>0.92442117851761929</v>
      </c>
      <c r="E915">
        <v>-0.42333272517680598</v>
      </c>
      <c r="J915">
        <v>10</v>
      </c>
      <c r="K915">
        <v>-0.32650518733134959</v>
      </c>
      <c r="L915">
        <v>7.6667979210886861</v>
      </c>
      <c r="M915">
        <v>20</v>
      </c>
      <c r="N915">
        <v>-0.38305143220895843</v>
      </c>
      <c r="O915">
        <v>172.31528047505452</v>
      </c>
      <c r="P915" s="1">
        <f t="shared" si="70"/>
        <v>6.4279313712908293</v>
      </c>
      <c r="Q915" s="1">
        <f t="shared" si="71"/>
        <v>0.96418970569362439</v>
      </c>
      <c r="R915" s="1">
        <f t="shared" si="72"/>
        <v>0.98193161966280751</v>
      </c>
      <c r="S915" s="1">
        <f t="shared" si="73"/>
        <v>5.7586744071880136E-2</v>
      </c>
      <c r="T915" s="56">
        <f t="shared" si="74"/>
        <v>0.52275659288412968</v>
      </c>
    </row>
    <row r="916" spans="1:20" x14ac:dyDescent="0.25">
      <c r="A916">
        <v>0.90690627631618836</v>
      </c>
      <c r="B916">
        <v>0.36108076528762467</v>
      </c>
      <c r="D916">
        <v>0.92454885797951358</v>
      </c>
      <c r="E916">
        <v>-3.6458020565532934</v>
      </c>
      <c r="J916">
        <v>10</v>
      </c>
      <c r="K916">
        <v>0.27539124403119786</v>
      </c>
      <c r="L916">
        <v>14.219119538168123</v>
      </c>
      <c r="M916">
        <v>20</v>
      </c>
      <c r="N916">
        <v>-1.1609963087266806</v>
      </c>
      <c r="O916">
        <v>151.06743657381284</v>
      </c>
      <c r="P916" s="1">
        <f t="shared" si="70"/>
        <v>5.9030912897136059</v>
      </c>
      <c r="Q916" s="1">
        <f t="shared" si="71"/>
        <v>0.8854636934570409</v>
      </c>
      <c r="R916" s="1">
        <f t="shared" si="72"/>
        <v>0.94099080412990266</v>
      </c>
      <c r="S916" s="1">
        <f t="shared" si="73"/>
        <v>1.5264629010759034</v>
      </c>
      <c r="T916" s="56">
        <f t="shared" si="74"/>
        <v>0.93094367142549361</v>
      </c>
    </row>
    <row r="917" spans="1:20" x14ac:dyDescent="0.25">
      <c r="A917">
        <v>0.90786759536544004</v>
      </c>
      <c r="B917">
        <v>2.1355481294449419</v>
      </c>
      <c r="D917">
        <v>0.9258780334813479</v>
      </c>
      <c r="E917">
        <v>4.2254994207269192</v>
      </c>
      <c r="J917">
        <v>10</v>
      </c>
      <c r="K917">
        <v>2.042804680968402E-2</v>
      </c>
      <c r="L917">
        <v>4.3634373814472944</v>
      </c>
      <c r="M917">
        <v>20</v>
      </c>
      <c r="N917">
        <v>-0.97981967769555922</v>
      </c>
      <c r="O917">
        <v>243.93136110525109</v>
      </c>
      <c r="P917" s="1">
        <f t="shared" si="70"/>
        <v>8.8676713745249423</v>
      </c>
      <c r="Q917" s="1">
        <f t="shared" si="71"/>
        <v>1.3301507061787412</v>
      </c>
      <c r="R917" s="1">
        <f t="shared" si="72"/>
        <v>1.1533215970312622</v>
      </c>
      <c r="S917" s="1">
        <f t="shared" si="73"/>
        <v>0.86727563853825085</v>
      </c>
      <c r="T917" s="56">
        <f t="shared" si="74"/>
        <v>0.80341846352961399</v>
      </c>
    </row>
    <row r="918" spans="1:20" x14ac:dyDescent="0.25">
      <c r="A918">
        <v>0.90823570068048465</v>
      </c>
      <c r="B918">
        <v>0.21699634089600295</v>
      </c>
      <c r="D918">
        <v>0.92654047963197739</v>
      </c>
      <c r="E918">
        <v>-1.6373785490486625</v>
      </c>
      <c r="J918">
        <v>10</v>
      </c>
      <c r="K918">
        <v>-0.31295758162741549</v>
      </c>
      <c r="L918">
        <v>8.5982396163907193</v>
      </c>
      <c r="M918">
        <v>20</v>
      </c>
      <c r="N918">
        <v>0.34968195109286171</v>
      </c>
      <c r="O918">
        <v>155.98082681285356</v>
      </c>
      <c r="P918" s="1">
        <f t="shared" si="70"/>
        <v>5.8778238010444381</v>
      </c>
      <c r="Q918" s="1">
        <f t="shared" si="71"/>
        <v>0.8816735701566657</v>
      </c>
      <c r="R918" s="1">
        <f t="shared" si="72"/>
        <v>0.93897474415271986</v>
      </c>
      <c r="S918" s="1">
        <f t="shared" si="73"/>
        <v>-0.7057053843532366</v>
      </c>
      <c r="T918" s="56">
        <f t="shared" si="74"/>
        <v>0.24310088632802201</v>
      </c>
    </row>
    <row r="919" spans="1:20" x14ac:dyDescent="0.25">
      <c r="A919">
        <v>0.91033157094849948</v>
      </c>
      <c r="B919">
        <v>0.69253474066499621</v>
      </c>
      <c r="D919">
        <v>0.92708208445093587</v>
      </c>
      <c r="E919">
        <v>4.7970281650577817</v>
      </c>
      <c r="J919">
        <v>10</v>
      </c>
      <c r="K919">
        <v>0.18464186268829508</v>
      </c>
      <c r="L919">
        <v>7.8329297645770692</v>
      </c>
      <c r="M919">
        <v>20</v>
      </c>
      <c r="N919">
        <v>0.3252997055369633</v>
      </c>
      <c r="O919">
        <v>236.25559421992756</v>
      </c>
      <c r="P919" s="1">
        <f t="shared" si="70"/>
        <v>8.7174472851608797</v>
      </c>
      <c r="Q919" s="1">
        <f t="shared" si="71"/>
        <v>1.307617092774132</v>
      </c>
      <c r="R919" s="1">
        <f t="shared" si="72"/>
        <v>1.1435108625518744</v>
      </c>
      <c r="S919" s="1">
        <f t="shared" si="73"/>
        <v>-0.12300525290575226</v>
      </c>
      <c r="T919" s="56">
        <f t="shared" si="74"/>
        <v>0.45149081195902252</v>
      </c>
    </row>
    <row r="920" spans="1:20" x14ac:dyDescent="0.25">
      <c r="A920">
        <v>0.91099571163241011</v>
      </c>
      <c r="B920">
        <v>-0.61661012296099216</v>
      </c>
      <c r="D920">
        <v>0.92737488540484425</v>
      </c>
      <c r="E920">
        <v>5.972936602347545</v>
      </c>
      <c r="J920">
        <v>10</v>
      </c>
      <c r="K920">
        <v>-0.45356682676356286</v>
      </c>
      <c r="L920">
        <v>9.1990512154020525</v>
      </c>
      <c r="M920">
        <v>20</v>
      </c>
      <c r="N920">
        <v>2.0124863306136831</v>
      </c>
      <c r="O920">
        <v>49.992533558789589</v>
      </c>
      <c r="P920" s="1">
        <f t="shared" si="70"/>
        <v>2.1139851705068442</v>
      </c>
      <c r="Q920" s="1">
        <f t="shared" si="71"/>
        <v>0.31709777557602664</v>
      </c>
      <c r="R920" s="1">
        <f t="shared" si="72"/>
        <v>0.56311435390693665</v>
      </c>
      <c r="S920" s="1">
        <f t="shared" si="73"/>
        <v>-4.3793114849009855</v>
      </c>
      <c r="T920" s="56">
        <f t="shared" si="74"/>
        <v>7.5436966326328296E-5</v>
      </c>
    </row>
    <row r="921" spans="1:20" x14ac:dyDescent="0.25">
      <c r="A921">
        <v>0.91112218332223005</v>
      </c>
      <c r="B921">
        <v>-2.3531174520030618</v>
      </c>
      <c r="D921">
        <v>0.92754571528039387</v>
      </c>
      <c r="E921">
        <v>2.2995852725671284</v>
      </c>
      <c r="J921">
        <v>10</v>
      </c>
      <c r="K921">
        <v>0.56079147725540679</v>
      </c>
      <c r="L921">
        <v>6.7986690193349775</v>
      </c>
      <c r="M921">
        <v>20</v>
      </c>
      <c r="N921">
        <v>0.51782188506876992</v>
      </c>
      <c r="O921">
        <v>94.255074736736859</v>
      </c>
      <c r="P921" s="1">
        <f t="shared" si="70"/>
        <v>3.6090622770025655</v>
      </c>
      <c r="Q921" s="1">
        <f t="shared" si="71"/>
        <v>0.54135934155038479</v>
      </c>
      <c r="R921" s="1">
        <f t="shared" si="72"/>
        <v>0.73577125626813178</v>
      </c>
      <c r="S921" s="1">
        <f t="shared" si="73"/>
        <v>5.8400748630193539E-2</v>
      </c>
      <c r="T921" s="56">
        <f t="shared" si="74"/>
        <v>0.52307788770180796</v>
      </c>
    </row>
    <row r="922" spans="1:20" x14ac:dyDescent="0.25">
      <c r="A922">
        <v>0.91178044025066829</v>
      </c>
      <c r="B922">
        <v>-0.62765707298240159</v>
      </c>
      <c r="D922">
        <v>0.92955432659423776</v>
      </c>
      <c r="E922">
        <v>-0.19531671910044679</v>
      </c>
      <c r="J922">
        <v>10</v>
      </c>
      <c r="K922">
        <v>-0.51727363370446255</v>
      </c>
      <c r="L922">
        <v>5.8658816645265262</v>
      </c>
      <c r="M922">
        <v>20</v>
      </c>
      <c r="N922">
        <v>-0.85799473822589789</v>
      </c>
      <c r="O922">
        <v>103.49125951067268</v>
      </c>
      <c r="P922" s="1">
        <f t="shared" si="70"/>
        <v>3.9056121848285428</v>
      </c>
      <c r="Q922" s="1">
        <f t="shared" si="71"/>
        <v>0.58584182772428139</v>
      </c>
      <c r="R922" s="1">
        <f t="shared" si="72"/>
        <v>0.76540304919975422</v>
      </c>
      <c r="S922" s="1">
        <f t="shared" si="73"/>
        <v>0.44515253091513912</v>
      </c>
      <c r="T922" s="56">
        <f t="shared" si="74"/>
        <v>0.67018396544344583</v>
      </c>
    </row>
    <row r="923" spans="1:20" x14ac:dyDescent="0.25">
      <c r="A923">
        <v>0.91183197779821135</v>
      </c>
      <c r="B923">
        <v>-0.33920059649972245</v>
      </c>
      <c r="D923">
        <v>0.92986580477016467</v>
      </c>
      <c r="E923">
        <v>0.75478578423826548</v>
      </c>
      <c r="J923">
        <v>10</v>
      </c>
      <c r="K923">
        <v>0.11094584806414787</v>
      </c>
      <c r="L923">
        <v>3.0872811318039539</v>
      </c>
      <c r="M923">
        <v>20</v>
      </c>
      <c r="N923">
        <v>0.16486330537190952</v>
      </c>
      <c r="O923">
        <v>106.17494994179381</v>
      </c>
      <c r="P923" s="1">
        <f t="shared" si="70"/>
        <v>3.9022225383427771</v>
      </c>
      <c r="Q923" s="1">
        <f t="shared" si="71"/>
        <v>0.5853333807514165</v>
      </c>
      <c r="R923" s="1">
        <f t="shared" si="72"/>
        <v>0.76507083381306362</v>
      </c>
      <c r="S923" s="1">
        <f t="shared" si="73"/>
        <v>-7.0473810952955199E-2</v>
      </c>
      <c r="T923" s="56">
        <f t="shared" si="74"/>
        <v>0.47215874335604502</v>
      </c>
    </row>
    <row r="924" spans="1:20" x14ac:dyDescent="0.25">
      <c r="A924">
        <v>0.91187973328315697</v>
      </c>
      <c r="B924">
        <v>0.5049332685302943</v>
      </c>
      <c r="D924">
        <v>0.93046225165962138</v>
      </c>
      <c r="E924">
        <v>0.24798350409582781</v>
      </c>
      <c r="J924">
        <v>10</v>
      </c>
      <c r="K924">
        <v>-0.19605670331657166</v>
      </c>
      <c r="L924">
        <v>9.7045422174372966</v>
      </c>
      <c r="M924">
        <v>20</v>
      </c>
      <c r="N924">
        <v>-1.0411708365154482</v>
      </c>
      <c r="O924">
        <v>262.36811607317327</v>
      </c>
      <c r="P924" s="1">
        <f t="shared" si="70"/>
        <v>9.7168806532360907</v>
      </c>
      <c r="Q924" s="1">
        <f t="shared" si="71"/>
        <v>1.4575320979854136</v>
      </c>
      <c r="R924" s="1">
        <f t="shared" si="72"/>
        <v>1.2072829403190513</v>
      </c>
      <c r="S924" s="1">
        <f t="shared" si="73"/>
        <v>0.70001331500264252</v>
      </c>
      <c r="T924" s="56">
        <f t="shared" si="74"/>
        <v>0.75515261788789745</v>
      </c>
    </row>
    <row r="925" spans="1:20" x14ac:dyDescent="0.25">
      <c r="A925">
        <v>0.9121049349104825</v>
      </c>
      <c r="B925">
        <v>-1.4538045434164815</v>
      </c>
      <c r="D925">
        <v>0.93099545076762469</v>
      </c>
      <c r="E925">
        <v>1.0919377439222444</v>
      </c>
      <c r="J925">
        <v>10</v>
      </c>
      <c r="K925">
        <v>0.1470574488848797</v>
      </c>
      <c r="L925">
        <v>10.763113543129093</v>
      </c>
      <c r="M925">
        <v>20</v>
      </c>
      <c r="N925">
        <v>0.26283822421646619</v>
      </c>
      <c r="O925">
        <v>335.91203519728657</v>
      </c>
      <c r="P925" s="1">
        <f t="shared" si="70"/>
        <v>12.381255312157702</v>
      </c>
      <c r="Q925" s="1">
        <f t="shared" si="71"/>
        <v>1.8571882968236553</v>
      </c>
      <c r="R925" s="1">
        <f t="shared" si="72"/>
        <v>1.3627869594414437</v>
      </c>
      <c r="S925" s="1">
        <f t="shared" si="73"/>
        <v>-8.4958822455302022E-2</v>
      </c>
      <c r="T925" s="56">
        <f t="shared" si="74"/>
        <v>0.46644934989437009</v>
      </c>
    </row>
    <row r="926" spans="1:20" x14ac:dyDescent="0.25">
      <c r="A926">
        <v>0.91266307106332112</v>
      </c>
      <c r="B926">
        <v>-1.4573515727533959E-2</v>
      </c>
      <c r="D926">
        <v>0.93342684213195803</v>
      </c>
      <c r="E926">
        <v>3.2270379472265631</v>
      </c>
      <c r="J926">
        <v>10</v>
      </c>
      <c r="K926">
        <v>8.1950929597951472E-2</v>
      </c>
      <c r="L926">
        <v>5.3975846061899579</v>
      </c>
      <c r="M926">
        <v>20</v>
      </c>
      <c r="N926">
        <v>-0.59504271007426723</v>
      </c>
      <c r="O926">
        <v>147.78941565090275</v>
      </c>
      <c r="P926" s="1">
        <f t="shared" si="70"/>
        <v>5.4709642948961683</v>
      </c>
      <c r="Q926" s="1">
        <f t="shared" si="71"/>
        <v>0.82064464423442518</v>
      </c>
      <c r="R926" s="1">
        <f t="shared" si="72"/>
        <v>0.90589438911742093</v>
      </c>
      <c r="S926" s="1">
        <f t="shared" si="73"/>
        <v>0.74732071177942538</v>
      </c>
      <c r="T926" s="56">
        <f t="shared" si="74"/>
        <v>0.7694498638864552</v>
      </c>
    </row>
    <row r="927" spans="1:20" x14ac:dyDescent="0.25">
      <c r="A927">
        <v>0.91335481753115677</v>
      </c>
      <c r="B927">
        <v>0.83970462583238259</v>
      </c>
      <c r="D927">
        <v>0.93360235641550338</v>
      </c>
      <c r="E927">
        <v>0.54205952096708643</v>
      </c>
      <c r="J927">
        <v>10</v>
      </c>
      <c r="K927">
        <v>0.31380022846860811</v>
      </c>
      <c r="L927">
        <v>9.8105905317768709</v>
      </c>
      <c r="M927">
        <v>20</v>
      </c>
      <c r="N927">
        <v>-8.9265487304146518E-2</v>
      </c>
      <c r="O927">
        <v>137.31313600972885</v>
      </c>
      <c r="P927" s="1">
        <f t="shared" si="70"/>
        <v>5.2544188050537759</v>
      </c>
      <c r="Q927" s="1">
        <f t="shared" si="71"/>
        <v>0.78816282075806632</v>
      </c>
      <c r="R927" s="1">
        <f t="shared" si="72"/>
        <v>0.88778534610460103</v>
      </c>
      <c r="S927" s="1">
        <f t="shared" si="73"/>
        <v>0.45401258033973502</v>
      </c>
      <c r="T927" s="56">
        <f t="shared" si="74"/>
        <v>0.67334022898485113</v>
      </c>
    </row>
    <row r="928" spans="1:20" x14ac:dyDescent="0.25">
      <c r="A928">
        <v>0.91383935668521343</v>
      </c>
      <c r="B928">
        <v>-0.22263861865212675</v>
      </c>
      <c r="D928">
        <v>0.93463548289917842</v>
      </c>
      <c r="E928">
        <v>1.8991256604294904</v>
      </c>
      <c r="J928">
        <v>10</v>
      </c>
      <c r="K928">
        <v>0.24231871975644026</v>
      </c>
      <c r="L928">
        <v>5.9008401086296676</v>
      </c>
      <c r="M928">
        <v>20</v>
      </c>
      <c r="N928">
        <v>0.84827678051624389</v>
      </c>
      <c r="O928">
        <v>222.68669023802752</v>
      </c>
      <c r="P928" s="1">
        <f t="shared" si="70"/>
        <v>8.1638403695234718</v>
      </c>
      <c r="Q928" s="1">
        <f t="shared" si="71"/>
        <v>1.2245760554285208</v>
      </c>
      <c r="R928" s="1">
        <f t="shared" si="72"/>
        <v>1.1066056458506439</v>
      </c>
      <c r="S928" s="1">
        <f t="shared" si="73"/>
        <v>-0.54758265786183091</v>
      </c>
      <c r="T928" s="56">
        <f t="shared" si="74"/>
        <v>0.29415864993717578</v>
      </c>
    </row>
    <row r="929" spans="1:20" x14ac:dyDescent="0.25">
      <c r="A929">
        <v>0.91661295989436786</v>
      </c>
      <c r="B929">
        <v>1.0177723197557498</v>
      </c>
      <c r="D929">
        <v>0.93472843425919838</v>
      </c>
      <c r="E929">
        <v>0.56127828088392562</v>
      </c>
      <c r="J929">
        <v>10</v>
      </c>
      <c r="K929">
        <v>-0.11477629868750228</v>
      </c>
      <c r="L929">
        <v>2.6925682681364136</v>
      </c>
      <c r="M929">
        <v>20</v>
      </c>
      <c r="N929">
        <v>0.78903422831899661</v>
      </c>
      <c r="O929">
        <v>206.76561800848057</v>
      </c>
      <c r="P929" s="1">
        <f t="shared" si="70"/>
        <v>7.4806495098791785</v>
      </c>
      <c r="Q929" s="1">
        <f t="shared" si="71"/>
        <v>1.1220974264818768</v>
      </c>
      <c r="R929" s="1">
        <f t="shared" si="72"/>
        <v>1.0592910017940664</v>
      </c>
      <c r="S929" s="1">
        <f t="shared" si="73"/>
        <v>-0.85322213204469943</v>
      </c>
      <c r="T929" s="56">
        <f t="shared" si="74"/>
        <v>0.20038819957809156</v>
      </c>
    </row>
    <row r="930" spans="1:20" x14ac:dyDescent="0.25">
      <c r="A930">
        <v>0.9176812227579203</v>
      </c>
      <c r="B930">
        <v>-0.57829311117529869</v>
      </c>
      <c r="D930">
        <v>0.93498880866441469</v>
      </c>
      <c r="E930">
        <v>-0.96938765977938601</v>
      </c>
      <c r="J930">
        <v>10</v>
      </c>
      <c r="K930">
        <v>-0.51070810513920151</v>
      </c>
      <c r="L930">
        <v>12.234130481587615</v>
      </c>
      <c r="M930">
        <v>20</v>
      </c>
      <c r="N930">
        <v>-0.17271259252993332</v>
      </c>
      <c r="O930">
        <v>326.31697695123461</v>
      </c>
      <c r="P930" s="1">
        <f t="shared" si="70"/>
        <v>12.09111097974365</v>
      </c>
      <c r="Q930" s="1">
        <f t="shared" si="71"/>
        <v>1.8136666469615474</v>
      </c>
      <c r="R930" s="1">
        <f t="shared" si="72"/>
        <v>1.3467244138878405</v>
      </c>
      <c r="S930" s="1">
        <f t="shared" si="73"/>
        <v>-0.25097600453645413</v>
      </c>
      <c r="T930" s="56">
        <f t="shared" si="74"/>
        <v>0.40183267082210744</v>
      </c>
    </row>
    <row r="931" spans="1:20" x14ac:dyDescent="0.25">
      <c r="A931">
        <v>0.91862944225087684</v>
      </c>
      <c r="B931">
        <v>0.30055161914788187</v>
      </c>
      <c r="D931">
        <v>0.9379594956368158</v>
      </c>
      <c r="E931">
        <v>2.6742129614376609</v>
      </c>
      <c r="J931">
        <v>10</v>
      </c>
      <c r="K931">
        <v>-0.39315409594564699</v>
      </c>
      <c r="L931">
        <v>3.5199444841947449</v>
      </c>
      <c r="M931">
        <v>20</v>
      </c>
      <c r="N931">
        <v>-0.51603314318526827</v>
      </c>
      <c r="O931">
        <v>237.35800674239763</v>
      </c>
      <c r="P931" s="1">
        <f t="shared" si="70"/>
        <v>8.6027839723782993</v>
      </c>
      <c r="Q931" s="1">
        <f t="shared" si="71"/>
        <v>1.2904175958567448</v>
      </c>
      <c r="R931" s="1">
        <f t="shared" si="72"/>
        <v>1.1359654906099677</v>
      </c>
      <c r="S931" s="1">
        <f t="shared" si="73"/>
        <v>0.10817146141793461</v>
      </c>
      <c r="T931" s="56">
        <f t="shared" si="74"/>
        <v>0.54268443874527506</v>
      </c>
    </row>
    <row r="932" spans="1:20" x14ac:dyDescent="0.25">
      <c r="A932">
        <v>0.91877568385551112</v>
      </c>
      <c r="B932">
        <v>1.2345799405011348</v>
      </c>
      <c r="D932">
        <v>0.93871831811373962</v>
      </c>
      <c r="E932">
        <v>0.55940244806151895</v>
      </c>
      <c r="J932">
        <v>10</v>
      </c>
      <c r="K932">
        <v>0.13419344213616569</v>
      </c>
      <c r="L932">
        <v>6.1594978071767184</v>
      </c>
      <c r="M932">
        <v>20</v>
      </c>
      <c r="N932">
        <v>-0.98686598789754498</v>
      </c>
      <c r="O932">
        <v>107.07308333966111</v>
      </c>
      <c r="P932" s="1">
        <f t="shared" si="70"/>
        <v>4.0440207552442082</v>
      </c>
      <c r="Q932" s="1">
        <f t="shared" si="71"/>
        <v>0.60660311328663119</v>
      </c>
      <c r="R932" s="1">
        <f t="shared" si="72"/>
        <v>0.77884729779760498</v>
      </c>
      <c r="S932" s="1">
        <f t="shared" si="73"/>
        <v>1.43938283307113</v>
      </c>
      <c r="T932" s="56">
        <f t="shared" si="74"/>
        <v>0.91943555229263851</v>
      </c>
    </row>
    <row r="933" spans="1:20" x14ac:dyDescent="0.25">
      <c r="A933">
        <v>0.91956676291161599</v>
      </c>
      <c r="B933">
        <v>-3.3321612136205658E-2</v>
      </c>
      <c r="D933">
        <v>0.93888344179333594</v>
      </c>
      <c r="E933">
        <v>-6.2544374975459505</v>
      </c>
      <c r="J933">
        <v>10</v>
      </c>
      <c r="K933">
        <v>-8.7625721789663658E-2</v>
      </c>
      <c r="L933">
        <v>10.72069255699158</v>
      </c>
      <c r="M933">
        <v>20</v>
      </c>
      <c r="N933">
        <v>-0.48201474442066683</v>
      </c>
      <c r="O933">
        <v>251.18558022939928</v>
      </c>
      <c r="P933" s="1">
        <f t="shared" si="70"/>
        <v>9.3537954566568153</v>
      </c>
      <c r="Q933" s="1">
        <f t="shared" si="71"/>
        <v>1.4030693184985223</v>
      </c>
      <c r="R933" s="1">
        <f t="shared" si="72"/>
        <v>1.1845122703030655</v>
      </c>
      <c r="S933" s="1">
        <f t="shared" si="73"/>
        <v>0.33295478022367475</v>
      </c>
      <c r="T933" s="56">
        <f t="shared" si="74"/>
        <v>0.62917566977348927</v>
      </c>
    </row>
    <row r="934" spans="1:20" x14ac:dyDescent="0.25">
      <c r="A934">
        <v>0.92305736269204541</v>
      </c>
      <c r="B934">
        <v>-1.1983502190560102</v>
      </c>
      <c r="D934">
        <v>0.93914898488907472</v>
      </c>
      <c r="E934">
        <v>-1.8609914639000635</v>
      </c>
      <c r="J934">
        <v>10</v>
      </c>
      <c r="K934">
        <v>-0.33581250136194285</v>
      </c>
      <c r="L934">
        <v>9.0179273039238232</v>
      </c>
      <c r="M934">
        <v>20</v>
      </c>
      <c r="N934">
        <v>0.28146933686912234</v>
      </c>
      <c r="O934">
        <v>322.33057475013703</v>
      </c>
      <c r="P934" s="1">
        <f t="shared" si="70"/>
        <v>11.833875073359318</v>
      </c>
      <c r="Q934" s="1">
        <f t="shared" si="71"/>
        <v>1.7750812610038975</v>
      </c>
      <c r="R934" s="1">
        <f t="shared" si="72"/>
        <v>1.3323217558097209</v>
      </c>
      <c r="S934" s="1">
        <f t="shared" si="73"/>
        <v>-0.46331288634997264</v>
      </c>
      <c r="T934" s="56">
        <f t="shared" si="74"/>
        <v>0.32336068957290487</v>
      </c>
    </row>
    <row r="935" spans="1:20" x14ac:dyDescent="0.25">
      <c r="A935">
        <v>0.92317179830649199</v>
      </c>
      <c r="B935">
        <v>-0.97209522209595889</v>
      </c>
      <c r="D935">
        <v>0.9392425253048835</v>
      </c>
      <c r="E935">
        <v>3.821131255108412</v>
      </c>
      <c r="J935">
        <v>10</v>
      </c>
      <c r="K935">
        <v>0.19767162484640721</v>
      </c>
      <c r="L935">
        <v>9.0572582998561515</v>
      </c>
      <c r="M935">
        <v>20</v>
      </c>
      <c r="N935">
        <v>-0.54344161867447838</v>
      </c>
      <c r="O935">
        <v>234.96626226986112</v>
      </c>
      <c r="P935" s="1">
        <f t="shared" si="70"/>
        <v>8.7151257346327604</v>
      </c>
      <c r="Q935" s="1">
        <f t="shared" si="71"/>
        <v>1.3072688601949141</v>
      </c>
      <c r="R935" s="1">
        <f t="shared" si="72"/>
        <v>1.1433585877557897</v>
      </c>
      <c r="S935" s="1">
        <f t="shared" si="73"/>
        <v>0.64818968559597701</v>
      </c>
      <c r="T935" s="56">
        <f t="shared" si="74"/>
        <v>0.73892861856127978</v>
      </c>
    </row>
    <row r="936" spans="1:20" x14ac:dyDescent="0.25">
      <c r="A936">
        <v>0.92522808541383394</v>
      </c>
      <c r="B936">
        <v>-0.475773731523077</v>
      </c>
      <c r="D936">
        <v>0.94027851940897544</v>
      </c>
      <c r="E936">
        <v>-2.2745273361124418</v>
      </c>
      <c r="J936">
        <v>10</v>
      </c>
      <c r="K936">
        <v>4.4202920435054693E-2</v>
      </c>
      <c r="L936">
        <v>7.6456743375182441</v>
      </c>
      <c r="M936">
        <v>20</v>
      </c>
      <c r="N936">
        <v>0.11799391700151318</v>
      </c>
      <c r="O936">
        <v>290.72976819604895</v>
      </c>
      <c r="P936" s="1">
        <f t="shared" si="70"/>
        <v>10.656265804770257</v>
      </c>
      <c r="Q936" s="1">
        <f t="shared" si="71"/>
        <v>1.5984398707155385</v>
      </c>
      <c r="R936" s="1">
        <f t="shared" si="72"/>
        <v>1.2642942184141863</v>
      </c>
      <c r="S936" s="1">
        <f t="shared" si="73"/>
        <v>-5.8365367405551441E-2</v>
      </c>
      <c r="T936" s="56">
        <f t="shared" si="74"/>
        <v>0.47693607725409587</v>
      </c>
    </row>
    <row r="937" spans="1:20" x14ac:dyDescent="0.25">
      <c r="A937">
        <v>0.92624635603568406</v>
      </c>
      <c r="B937">
        <v>-0.8168490239768289</v>
      </c>
      <c r="D937">
        <v>0.94107750605482809</v>
      </c>
      <c r="E937">
        <v>-3.6997373661051824</v>
      </c>
      <c r="J937">
        <v>10</v>
      </c>
      <c r="K937">
        <v>-0.10556607321632328</v>
      </c>
      <c r="L937">
        <v>2.7687247458731727</v>
      </c>
      <c r="M937">
        <v>20</v>
      </c>
      <c r="N937">
        <v>0.74672123787422606</v>
      </c>
      <c r="O937">
        <v>185.61216379499331</v>
      </c>
      <c r="P937" s="1">
        <f t="shared" si="70"/>
        <v>6.7278888764595175</v>
      </c>
      <c r="Q937" s="1">
        <f t="shared" si="71"/>
        <v>1.0091833314689276</v>
      </c>
      <c r="R937" s="1">
        <f t="shared" si="72"/>
        <v>1.00458117216526</v>
      </c>
      <c r="S937" s="1">
        <f t="shared" si="73"/>
        <v>-0.84840064168586926</v>
      </c>
      <c r="T937" s="56">
        <f t="shared" si="74"/>
        <v>0.20170488163303235</v>
      </c>
    </row>
    <row r="938" spans="1:20" x14ac:dyDescent="0.25">
      <c r="A938">
        <v>0.92730084113041178</v>
      </c>
      <c r="B938">
        <v>-0.93390553956851363</v>
      </c>
      <c r="D938">
        <v>0.94212368518517065</v>
      </c>
      <c r="E938">
        <v>-4.1133960201023001</v>
      </c>
      <c r="J938">
        <v>10</v>
      </c>
      <c r="K938">
        <v>-0.49007167035597377</v>
      </c>
      <c r="L938">
        <v>2.7491481409380985</v>
      </c>
      <c r="M938">
        <v>20</v>
      </c>
      <c r="N938">
        <v>0.39427322576557344</v>
      </c>
      <c r="O938">
        <v>216.89258830270265</v>
      </c>
      <c r="P938" s="1">
        <f t="shared" si="70"/>
        <v>7.8443477301300266</v>
      </c>
      <c r="Q938" s="1">
        <f t="shared" si="71"/>
        <v>1.1766521595195039</v>
      </c>
      <c r="R938" s="1">
        <f t="shared" si="72"/>
        <v>1.084735986090396</v>
      </c>
      <c r="S938" s="1">
        <f t="shared" si="73"/>
        <v>-0.81526279893128828</v>
      </c>
      <c r="T938" s="56">
        <f t="shared" si="74"/>
        <v>0.21090141697847781</v>
      </c>
    </row>
    <row r="939" spans="1:20" x14ac:dyDescent="0.25">
      <c r="A939">
        <v>0.92763444702579445</v>
      </c>
      <c r="B939">
        <v>0.1067269295162987</v>
      </c>
      <c r="D939">
        <v>0.94243732472579123</v>
      </c>
      <c r="E939">
        <v>-1.1041304367154225</v>
      </c>
      <c r="J939">
        <v>10</v>
      </c>
      <c r="K939">
        <v>0.14019542504684068</v>
      </c>
      <c r="L939">
        <v>8.4192459032506282</v>
      </c>
      <c r="M939">
        <v>20</v>
      </c>
      <c r="N939">
        <v>-0.53273828712008253</v>
      </c>
      <c r="O939">
        <v>119.29009395284373</v>
      </c>
      <c r="P939" s="1">
        <f t="shared" si="70"/>
        <v>4.5610478520033704</v>
      </c>
      <c r="Q939" s="1">
        <f t="shared" si="71"/>
        <v>0.68415717780050556</v>
      </c>
      <c r="R939" s="1">
        <f t="shared" si="72"/>
        <v>0.82713794363486048</v>
      </c>
      <c r="S939" s="1">
        <f t="shared" si="73"/>
        <v>0.81356890630565648</v>
      </c>
      <c r="T939" s="56">
        <f t="shared" si="74"/>
        <v>0.78862161778633699</v>
      </c>
    </row>
    <row r="940" spans="1:20" x14ac:dyDescent="0.25">
      <c r="A940">
        <v>0.93175873595462244</v>
      </c>
      <c r="B940">
        <v>0.11950646694458555</v>
      </c>
      <c r="D940">
        <v>0.94328296731445582</v>
      </c>
      <c r="E940">
        <v>0.57958299862548301</v>
      </c>
      <c r="J940">
        <v>10</v>
      </c>
      <c r="K940">
        <v>-7.8975062933750451E-2</v>
      </c>
      <c r="L940">
        <v>8.6399368477465437</v>
      </c>
      <c r="M940">
        <v>20</v>
      </c>
      <c r="N940">
        <v>-8.756666488807241E-2</v>
      </c>
      <c r="O940">
        <v>214.52974969246097</v>
      </c>
      <c r="P940" s="1">
        <f t="shared" si="70"/>
        <v>7.970345947864554</v>
      </c>
      <c r="Q940" s="1">
        <f t="shared" si="71"/>
        <v>1.1955518921796831</v>
      </c>
      <c r="R940" s="1">
        <f t="shared" si="72"/>
        <v>1.0934129559227306</v>
      </c>
      <c r="S940" s="1">
        <f t="shared" si="73"/>
        <v>7.8576002852202443E-3</v>
      </c>
      <c r="T940" s="56">
        <f t="shared" si="74"/>
        <v>0.50310683767893671</v>
      </c>
    </row>
    <row r="941" spans="1:20" x14ac:dyDescent="0.25">
      <c r="A941">
        <v>0.93230033746213958</v>
      </c>
      <c r="B941">
        <v>-1.6312060324708</v>
      </c>
      <c r="D941">
        <v>0.94501058736319865</v>
      </c>
      <c r="E941">
        <v>-2.3474392526168231</v>
      </c>
      <c r="J941">
        <v>10</v>
      </c>
      <c r="K941">
        <v>-3.0068008527450729E-2</v>
      </c>
      <c r="L941">
        <v>5.9176706760536835</v>
      </c>
      <c r="M941">
        <v>20</v>
      </c>
      <c r="N941">
        <v>0.66047607219843485</v>
      </c>
      <c r="O941">
        <v>171.85687959880173</v>
      </c>
      <c r="P941" s="1">
        <f t="shared" si="70"/>
        <v>6.3490910812448362</v>
      </c>
      <c r="Q941" s="1">
        <f t="shared" si="71"/>
        <v>0.95236366218672541</v>
      </c>
      <c r="R941" s="1">
        <f t="shared" si="72"/>
        <v>0.97589121431987769</v>
      </c>
      <c r="S941" s="1">
        <f t="shared" si="73"/>
        <v>-0.70760354288786431</v>
      </c>
      <c r="T941" s="56">
        <f t="shared" si="74"/>
        <v>0.24252005772887186</v>
      </c>
    </row>
    <row r="942" spans="1:20" x14ac:dyDescent="0.25">
      <c r="A942">
        <v>0.93263841639488854</v>
      </c>
      <c r="B942">
        <v>0.27702299121301621</v>
      </c>
      <c r="D942">
        <v>0.94626601777808972</v>
      </c>
      <c r="E942">
        <v>1.2070047398538009</v>
      </c>
      <c r="J942">
        <v>10</v>
      </c>
      <c r="K942">
        <v>-0.39439419197151437</v>
      </c>
      <c r="L942">
        <v>4.856784626826121</v>
      </c>
      <c r="M942">
        <v>20</v>
      </c>
      <c r="N942">
        <v>-0.73530282293177152</v>
      </c>
      <c r="O942">
        <v>176.64251371231498</v>
      </c>
      <c r="P942" s="1">
        <f t="shared" si="70"/>
        <v>6.4821177978264677</v>
      </c>
      <c r="Q942" s="1">
        <f t="shared" si="71"/>
        <v>0.97231766967397015</v>
      </c>
      <c r="R942" s="1">
        <f t="shared" si="72"/>
        <v>0.98606169668736765</v>
      </c>
      <c r="S942" s="1">
        <f t="shared" si="73"/>
        <v>0.34572748551690546</v>
      </c>
      <c r="T942" s="56">
        <f t="shared" si="74"/>
        <v>0.6339341529449386</v>
      </c>
    </row>
    <row r="943" spans="1:20" x14ac:dyDescent="0.25">
      <c r="A943">
        <v>0.93276673303943725</v>
      </c>
      <c r="B943">
        <v>0.57802139963314403</v>
      </c>
      <c r="D943">
        <v>0.94653637503174681</v>
      </c>
      <c r="E943">
        <v>3.2228497241248988</v>
      </c>
      <c r="J943">
        <v>10</v>
      </c>
      <c r="K943">
        <v>0.63828383645159192</v>
      </c>
      <c r="L943">
        <v>12.427156494372161</v>
      </c>
      <c r="M943">
        <v>20</v>
      </c>
      <c r="N943">
        <v>0.13114776834299846</v>
      </c>
      <c r="O943">
        <v>196.07133577769073</v>
      </c>
      <c r="P943" s="1">
        <f t="shared" si="70"/>
        <v>7.4463747240022462</v>
      </c>
      <c r="Q943" s="1">
        <f t="shared" si="71"/>
        <v>1.1169562086003368</v>
      </c>
      <c r="R943" s="1">
        <f t="shared" si="72"/>
        <v>1.0568614897896209</v>
      </c>
      <c r="S943" s="1">
        <f t="shared" si="73"/>
        <v>0.47985102400650825</v>
      </c>
      <c r="T943" s="56">
        <f t="shared" si="74"/>
        <v>0.68246970081783154</v>
      </c>
    </row>
    <row r="944" spans="1:20" x14ac:dyDescent="0.25">
      <c r="A944">
        <v>0.93418502048428842</v>
      </c>
      <c r="B944">
        <v>2.0299648895161226</v>
      </c>
      <c r="D944">
        <v>0.94757530725237271</v>
      </c>
      <c r="E944">
        <v>-2.1199621221512643</v>
      </c>
      <c r="J944">
        <v>10</v>
      </c>
      <c r="K944">
        <v>-0.56935107295430498</v>
      </c>
      <c r="L944">
        <v>5.9692935079946006</v>
      </c>
      <c r="M944">
        <v>20</v>
      </c>
      <c r="N944">
        <v>0.55767923981875356</v>
      </c>
      <c r="O944">
        <v>287.92887979030905</v>
      </c>
      <c r="P944" s="1">
        <f t="shared" si="70"/>
        <v>10.496363332082273</v>
      </c>
      <c r="Q944" s="1">
        <f t="shared" si="71"/>
        <v>1.5744544998123409</v>
      </c>
      <c r="R944" s="1">
        <f t="shared" si="72"/>
        <v>1.2547726885027188</v>
      </c>
      <c r="S944" s="1">
        <f t="shared" si="73"/>
        <v>-0.89819480699560705</v>
      </c>
      <c r="T944" s="56">
        <f t="shared" si="74"/>
        <v>0.18837039340632405</v>
      </c>
    </row>
    <row r="945" spans="1:20" x14ac:dyDescent="0.25">
      <c r="A945">
        <v>0.93465727705065582</v>
      </c>
      <c r="B945">
        <v>0.25918097890098579</v>
      </c>
      <c r="D945">
        <v>0.94761629793234847</v>
      </c>
      <c r="E945">
        <v>1.5942380252909061</v>
      </c>
      <c r="J945">
        <v>10</v>
      </c>
      <c r="K945">
        <v>-0.19312392396386713</v>
      </c>
      <c r="L945">
        <v>6.088141278343131</v>
      </c>
      <c r="M945">
        <v>20</v>
      </c>
      <c r="N945">
        <v>0.15703630765528942</v>
      </c>
      <c r="O945">
        <v>268.7063728634667</v>
      </c>
      <c r="P945" s="1">
        <f t="shared" si="70"/>
        <v>9.8140897907789224</v>
      </c>
      <c r="Q945" s="1">
        <f t="shared" si="71"/>
        <v>1.4721134686168382</v>
      </c>
      <c r="R945" s="1">
        <f t="shared" si="72"/>
        <v>1.213306832016056</v>
      </c>
      <c r="S945" s="1">
        <f t="shared" si="73"/>
        <v>-0.28859990101376332</v>
      </c>
      <c r="T945" s="56">
        <f t="shared" si="74"/>
        <v>0.38750669261561832</v>
      </c>
    </row>
    <row r="946" spans="1:20" x14ac:dyDescent="0.25">
      <c r="A946">
        <v>0.93705681581033129</v>
      </c>
      <c r="B946">
        <v>0.19005142348760273</v>
      </c>
      <c r="D946">
        <v>0.94890481737220045</v>
      </c>
      <c r="E946">
        <v>-1.6336950955064822</v>
      </c>
      <c r="J946">
        <v>10</v>
      </c>
      <c r="K946">
        <v>0.20492734620347619</v>
      </c>
      <c r="L946">
        <v>4.1216973347884016</v>
      </c>
      <c r="M946">
        <v>20</v>
      </c>
      <c r="N946">
        <v>-1.3862464811609243E-2</v>
      </c>
      <c r="O946">
        <v>334.51314380726438</v>
      </c>
      <c r="P946" s="1">
        <f t="shared" si="70"/>
        <v>12.094101469359028</v>
      </c>
      <c r="Q946" s="1">
        <f t="shared" si="71"/>
        <v>1.8141152204038542</v>
      </c>
      <c r="R946" s="1">
        <f t="shared" si="72"/>
        <v>1.3468909459952034</v>
      </c>
      <c r="S946" s="1">
        <f t="shared" si="73"/>
        <v>0.16244062792583699</v>
      </c>
      <c r="T946" s="56">
        <f t="shared" si="74"/>
        <v>0.56393724398426226</v>
      </c>
    </row>
    <row r="947" spans="1:20" x14ac:dyDescent="0.25">
      <c r="A947">
        <v>0.93914121605696499</v>
      </c>
      <c r="B947">
        <v>-0.25254166757804342</v>
      </c>
      <c r="D947">
        <v>0.95056771027907805</v>
      </c>
      <c r="E947">
        <v>4.5302506316602376</v>
      </c>
      <c r="J947">
        <v>10</v>
      </c>
      <c r="K947">
        <v>0.32347156775358599</v>
      </c>
      <c r="L947">
        <v>7.5088444368767711</v>
      </c>
      <c r="M947">
        <v>20</v>
      </c>
      <c r="N947">
        <v>-1.5772945971548324E-3</v>
      </c>
      <c r="O947">
        <v>276.26615518653875</v>
      </c>
      <c r="P947" s="1">
        <f t="shared" si="70"/>
        <v>10.134821415121982</v>
      </c>
      <c r="Q947" s="1">
        <f t="shared" si="71"/>
        <v>1.5202232122682973</v>
      </c>
      <c r="R947" s="1">
        <f t="shared" si="72"/>
        <v>1.2329733217990961</v>
      </c>
      <c r="S947" s="1">
        <f t="shared" si="73"/>
        <v>0.26363008558566781</v>
      </c>
      <c r="T947" s="56">
        <f t="shared" si="74"/>
        <v>0.60300224629750421</v>
      </c>
    </row>
    <row r="948" spans="1:20" x14ac:dyDescent="0.25">
      <c r="A948">
        <v>0.9405299766347307</v>
      </c>
      <c r="B948">
        <v>-0.43142676986462902</v>
      </c>
      <c r="D948">
        <v>0.95171120628480688</v>
      </c>
      <c r="E948">
        <v>-0.74121817647210264</v>
      </c>
      <c r="J948">
        <v>10</v>
      </c>
      <c r="K948">
        <v>-0.50866401579696685</v>
      </c>
      <c r="L948">
        <v>9.1870266239850125</v>
      </c>
      <c r="M948">
        <v>20</v>
      </c>
      <c r="N948">
        <v>0.73967032335531258</v>
      </c>
      <c r="O948">
        <v>161.08397153006706</v>
      </c>
      <c r="P948" s="1">
        <f t="shared" si="70"/>
        <v>6.0811070769304312</v>
      </c>
      <c r="Q948" s="1">
        <f t="shared" si="71"/>
        <v>0.91216606153956459</v>
      </c>
      <c r="R948" s="1">
        <f t="shared" si="72"/>
        <v>0.95507385135368694</v>
      </c>
      <c r="S948" s="1">
        <f t="shared" si="73"/>
        <v>-1.3070552998419291</v>
      </c>
      <c r="T948" s="56">
        <f t="shared" si="74"/>
        <v>0.10091340804857248</v>
      </c>
    </row>
    <row r="949" spans="1:20" x14ac:dyDescent="0.25">
      <c r="A949">
        <v>0.94119992556272369</v>
      </c>
      <c r="B949">
        <v>0.21668256522389129</v>
      </c>
      <c r="D949">
        <v>0.95188101870952446</v>
      </c>
      <c r="E949">
        <v>5.8543566831303906</v>
      </c>
      <c r="J949">
        <v>10</v>
      </c>
      <c r="K949">
        <v>0.62576236814493313</v>
      </c>
      <c r="L949">
        <v>5.324840345569787</v>
      </c>
      <c r="M949">
        <v>20</v>
      </c>
      <c r="N949">
        <v>0.34506313909332675</v>
      </c>
      <c r="O949">
        <v>204.82413219411001</v>
      </c>
      <c r="P949" s="1">
        <f t="shared" si="70"/>
        <v>7.5053204478457065</v>
      </c>
      <c r="Q949" s="1">
        <f t="shared" si="71"/>
        <v>1.1257980671768559</v>
      </c>
      <c r="R949" s="1">
        <f t="shared" si="72"/>
        <v>1.0610363175579127</v>
      </c>
      <c r="S949" s="1">
        <f t="shared" si="73"/>
        <v>0.26455195209308702</v>
      </c>
      <c r="T949" s="56">
        <f t="shared" si="74"/>
        <v>0.60335383520909702</v>
      </c>
    </row>
    <row r="950" spans="1:20" x14ac:dyDescent="0.25">
      <c r="A950">
        <v>0.94128348922277438</v>
      </c>
      <c r="B950">
        <v>-2.1237337932689115</v>
      </c>
      <c r="D950">
        <v>0.95243943066153114</v>
      </c>
      <c r="E950">
        <v>0.11717656548171362</v>
      </c>
      <c r="J950">
        <v>10</v>
      </c>
      <c r="K950">
        <v>0.51628990149765741</v>
      </c>
      <c r="L950">
        <v>8.9301560048687847</v>
      </c>
      <c r="M950">
        <v>20</v>
      </c>
      <c r="N950">
        <v>0.19191878322999401</v>
      </c>
      <c r="O950">
        <v>234.72164028602793</v>
      </c>
      <c r="P950" s="1">
        <f t="shared" si="70"/>
        <v>8.7018498675320259</v>
      </c>
      <c r="Q950" s="1">
        <f t="shared" si="71"/>
        <v>1.3052774801298039</v>
      </c>
      <c r="R950" s="1">
        <f t="shared" si="72"/>
        <v>1.142487409177801</v>
      </c>
      <c r="S950" s="1">
        <f t="shared" si="73"/>
        <v>0.2839165803158385</v>
      </c>
      <c r="T950" s="56">
        <f t="shared" si="74"/>
        <v>0.6107183646801968</v>
      </c>
    </row>
    <row r="951" spans="1:20" x14ac:dyDescent="0.25">
      <c r="A951">
        <v>0.94255708859179799</v>
      </c>
      <c r="B951">
        <v>-6.6794427766581066E-2</v>
      </c>
      <c r="D951">
        <v>0.95338681816676007</v>
      </c>
      <c r="E951">
        <v>0.83008512433480064</v>
      </c>
      <c r="J951">
        <v>10</v>
      </c>
      <c r="K951">
        <v>-0.33417825306969462</v>
      </c>
      <c r="L951">
        <v>8.4681929988225431</v>
      </c>
      <c r="M951">
        <v>20</v>
      </c>
      <c r="N951">
        <v>-1.1322952138925757</v>
      </c>
      <c r="O951">
        <v>262.47749969412251</v>
      </c>
      <c r="P951" s="1">
        <f t="shared" si="70"/>
        <v>9.676631881890895</v>
      </c>
      <c r="Q951" s="1">
        <f t="shared" si="71"/>
        <v>1.4514947822836342</v>
      </c>
      <c r="R951" s="1">
        <f t="shared" si="72"/>
        <v>1.2047799725608133</v>
      </c>
      <c r="S951" s="1">
        <f t="shared" si="73"/>
        <v>0.66245868872342561</v>
      </c>
      <c r="T951" s="56">
        <f t="shared" si="74"/>
        <v>0.74345315152297864</v>
      </c>
    </row>
    <row r="952" spans="1:20" x14ac:dyDescent="0.25">
      <c r="A952">
        <v>0.94359202429919287</v>
      </c>
      <c r="B952">
        <v>-0.10395751814940013</v>
      </c>
      <c r="D952">
        <v>0.95423618687903677</v>
      </c>
      <c r="E952">
        <v>1.7205975348133506</v>
      </c>
      <c r="J952">
        <v>10</v>
      </c>
      <c r="K952">
        <v>-0.31161982860794524</v>
      </c>
      <c r="L952">
        <v>2.9889979342406257</v>
      </c>
      <c r="M952">
        <v>20</v>
      </c>
      <c r="N952">
        <v>-3.5810220424536965E-2</v>
      </c>
      <c r="O952">
        <v>234.69333623391918</v>
      </c>
      <c r="P952" s="1">
        <f t="shared" si="70"/>
        <v>8.488654791719993</v>
      </c>
      <c r="Q952" s="1">
        <f t="shared" si="71"/>
        <v>1.2732982187579989</v>
      </c>
      <c r="R952" s="1">
        <f t="shared" si="72"/>
        <v>1.1284051660454231</v>
      </c>
      <c r="S952" s="1">
        <f t="shared" si="73"/>
        <v>-0.24442426929859143</v>
      </c>
      <c r="T952" s="56">
        <f t="shared" si="74"/>
        <v>0.40434227352419505</v>
      </c>
    </row>
    <row r="953" spans="1:20" x14ac:dyDescent="0.25">
      <c r="A953">
        <v>0.94610718967732987</v>
      </c>
      <c r="B953">
        <v>0.64206801653199363</v>
      </c>
      <c r="D953">
        <v>0.95542076734800907</v>
      </c>
      <c r="E953">
        <v>-0.89424520751890668</v>
      </c>
      <c r="J953">
        <v>10</v>
      </c>
      <c r="K953">
        <v>-0.31424008284375304</v>
      </c>
      <c r="L953">
        <v>8.2136710055211175</v>
      </c>
      <c r="M953">
        <v>20</v>
      </c>
      <c r="N953">
        <v>-9.1124437631151523E-2</v>
      </c>
      <c r="O953">
        <v>144.63215864787651</v>
      </c>
      <c r="P953" s="1">
        <f t="shared" si="70"/>
        <v>5.458779630478487</v>
      </c>
      <c r="Q953" s="1">
        <f t="shared" si="71"/>
        <v>0.81881694457177301</v>
      </c>
      <c r="R953" s="1">
        <f t="shared" si="72"/>
        <v>0.90488504494867916</v>
      </c>
      <c r="S953" s="1">
        <f t="shared" si="73"/>
        <v>-0.24656794413621411</v>
      </c>
      <c r="T953" s="56">
        <f t="shared" si="74"/>
        <v>0.40352068917720152</v>
      </c>
    </row>
    <row r="954" spans="1:20" x14ac:dyDescent="0.25">
      <c r="A954">
        <v>0.9463255157010626</v>
      </c>
      <c r="B954">
        <v>-0.11812062439275905</v>
      </c>
      <c r="D954">
        <v>0.95568347852007851</v>
      </c>
      <c r="E954">
        <v>-0.22771405724597571</v>
      </c>
      <c r="J954">
        <v>10</v>
      </c>
      <c r="K954">
        <v>0.32898731205932563</v>
      </c>
      <c r="L954">
        <v>12.147913504414072</v>
      </c>
      <c r="M954">
        <v>20</v>
      </c>
      <c r="N954">
        <v>-1.0326494395940244</v>
      </c>
      <c r="O954">
        <v>196.91842133195354</v>
      </c>
      <c r="P954" s="1">
        <f t="shared" si="70"/>
        <v>7.4666548155845573</v>
      </c>
      <c r="Q954" s="1">
        <f t="shared" si="71"/>
        <v>1.1199982223376836</v>
      </c>
      <c r="R954" s="1">
        <f t="shared" si="72"/>
        <v>1.0582996845590023</v>
      </c>
      <c r="S954" s="1">
        <f t="shared" si="73"/>
        <v>1.2866268142381141</v>
      </c>
      <c r="T954" s="56">
        <f t="shared" si="74"/>
        <v>0.89561955265989512</v>
      </c>
    </row>
    <row r="955" spans="1:20" x14ac:dyDescent="0.25">
      <c r="A955">
        <v>0.94679732571354447</v>
      </c>
      <c r="B955">
        <v>-0.2289948497491423</v>
      </c>
      <c r="D955">
        <v>0.95582383817044136</v>
      </c>
      <c r="E955">
        <v>0.60496813262034266</v>
      </c>
      <c r="J955">
        <v>10</v>
      </c>
      <c r="K955">
        <v>-0.1977351757886936</v>
      </c>
      <c r="L955">
        <v>8.7532647863101793</v>
      </c>
      <c r="M955">
        <v>20</v>
      </c>
      <c r="N955">
        <v>0.37259473742778937</v>
      </c>
      <c r="O955">
        <v>121.19601794899965</v>
      </c>
      <c r="P955" s="1">
        <f t="shared" si="70"/>
        <v>4.641045811975351</v>
      </c>
      <c r="Q955" s="1">
        <f t="shared" si="71"/>
        <v>0.69615687179630259</v>
      </c>
      <c r="R955" s="1">
        <f t="shared" si="72"/>
        <v>0.83436015712418976</v>
      </c>
      <c r="S955" s="1">
        <f t="shared" si="73"/>
        <v>-0.68355362890559579</v>
      </c>
      <c r="T955" s="56">
        <f t="shared" si="74"/>
        <v>0.24993754325746625</v>
      </c>
    </row>
    <row r="956" spans="1:20" x14ac:dyDescent="0.25">
      <c r="A956">
        <v>0.94760089866287478</v>
      </c>
      <c r="B956">
        <v>0.32529669624636881</v>
      </c>
      <c r="D956">
        <v>0.95678199696661836</v>
      </c>
      <c r="E956">
        <v>0.94011124588178063</v>
      </c>
      <c r="J956">
        <v>10</v>
      </c>
      <c r="K956">
        <v>-0.18756975350697758</v>
      </c>
      <c r="L956">
        <v>6.2557949463606937</v>
      </c>
      <c r="M956">
        <v>20</v>
      </c>
      <c r="N956">
        <v>1.1380701005236915</v>
      </c>
      <c r="O956">
        <v>116.06117409088368</v>
      </c>
      <c r="P956" s="1">
        <f t="shared" si="70"/>
        <v>4.3684631799015845</v>
      </c>
      <c r="Q956" s="1">
        <f t="shared" si="71"/>
        <v>0.65526947698523763</v>
      </c>
      <c r="R956" s="1">
        <f t="shared" si="72"/>
        <v>0.80948716912946661</v>
      </c>
      <c r="S956" s="1">
        <f t="shared" si="73"/>
        <v>-1.6376292356261557</v>
      </c>
      <c r="T956" s="56">
        <f t="shared" si="74"/>
        <v>5.6345152632801272E-2</v>
      </c>
    </row>
    <row r="957" spans="1:20" x14ac:dyDescent="0.25">
      <c r="A957">
        <v>0.94806630573967066</v>
      </c>
      <c r="B957">
        <v>0.13083990779705346</v>
      </c>
      <c r="D957">
        <v>0.95972617613562505</v>
      </c>
      <c r="E957">
        <v>1.6585279320224799</v>
      </c>
      <c r="J957">
        <v>10</v>
      </c>
      <c r="K957">
        <v>-0.2649826456035953</v>
      </c>
      <c r="L957">
        <v>13.546405459764182</v>
      </c>
      <c r="M957">
        <v>20</v>
      </c>
      <c r="N957">
        <v>0.94136924758458917</v>
      </c>
      <c r="O957">
        <v>186.20374932381571</v>
      </c>
      <c r="P957" s="1">
        <f t="shared" si="70"/>
        <v>7.1339340994135672</v>
      </c>
      <c r="Q957" s="1">
        <f t="shared" si="71"/>
        <v>1.070090114912035</v>
      </c>
      <c r="R957" s="1">
        <f t="shared" si="72"/>
        <v>1.0344516010486111</v>
      </c>
      <c r="S957" s="1">
        <f t="shared" si="73"/>
        <v>-1.1661752874328002</v>
      </c>
      <c r="T957" s="56">
        <f t="shared" si="74"/>
        <v>0.12669051066737308</v>
      </c>
    </row>
    <row r="958" spans="1:20" x14ac:dyDescent="0.25">
      <c r="A958">
        <v>0.95049855483836776</v>
      </c>
      <c r="B958">
        <v>0.35016000765608624</v>
      </c>
      <c r="D958">
        <v>0.96258744148842923</v>
      </c>
      <c r="E958">
        <v>0.10407643117105181</v>
      </c>
      <c r="J958">
        <v>10</v>
      </c>
      <c r="K958">
        <v>-0.29030627501924755</v>
      </c>
      <c r="L958">
        <v>21.691034968669957</v>
      </c>
      <c r="M958">
        <v>20</v>
      </c>
      <c r="N958">
        <v>-1.0246409976844006</v>
      </c>
      <c r="O958">
        <v>254.58782434264845</v>
      </c>
      <c r="P958" s="1">
        <f t="shared" si="70"/>
        <v>9.8671021182613714</v>
      </c>
      <c r="Q958" s="1">
        <f t="shared" si="71"/>
        <v>1.4800653177392056</v>
      </c>
      <c r="R958" s="1">
        <f t="shared" si="72"/>
        <v>1.2165793511889003</v>
      </c>
      <c r="S958" s="1">
        <f t="shared" si="73"/>
        <v>0.60360610423604977</v>
      </c>
      <c r="T958" s="56">
        <f t="shared" si="74"/>
        <v>0.7245176658163035</v>
      </c>
    </row>
    <row r="959" spans="1:20" x14ac:dyDescent="0.25">
      <c r="A959">
        <v>0.95073696015211673</v>
      </c>
      <c r="B959">
        <v>-1.3343969840207137</v>
      </c>
      <c r="D959">
        <v>0.96283891625196372</v>
      </c>
      <c r="E959">
        <v>-2.8709330342735484</v>
      </c>
      <c r="J959">
        <v>10</v>
      </c>
      <c r="K959">
        <v>-8.5116312220634427E-2</v>
      </c>
      <c r="L959">
        <v>5.6630879902328672</v>
      </c>
      <c r="M959">
        <v>20</v>
      </c>
      <c r="N959">
        <v>-0.46827989649500523</v>
      </c>
      <c r="O959">
        <v>213.41278710950823</v>
      </c>
      <c r="P959" s="1">
        <f t="shared" si="70"/>
        <v>7.8241383964193245</v>
      </c>
      <c r="Q959" s="1">
        <f t="shared" si="71"/>
        <v>1.1736207594628987</v>
      </c>
      <c r="R959" s="1">
        <f t="shared" si="72"/>
        <v>1.0833377864096214</v>
      </c>
      <c r="S959" s="1">
        <f t="shared" si="73"/>
        <v>0.3536880085612491</v>
      </c>
      <c r="T959" s="56">
        <f t="shared" si="74"/>
        <v>0.63688896026572483</v>
      </c>
    </row>
    <row r="960" spans="1:20" x14ac:dyDescent="0.25">
      <c r="A960">
        <v>0.95102362666905227</v>
      </c>
      <c r="B960">
        <v>-0.2249919361929642</v>
      </c>
      <c r="D960">
        <v>0.96295341360810849</v>
      </c>
      <c r="E960">
        <v>3.6305329979313683</v>
      </c>
      <c r="J960">
        <v>10</v>
      </c>
      <c r="K960">
        <v>3.1171566661214456E-2</v>
      </c>
      <c r="L960">
        <v>5.3332515038083805</v>
      </c>
      <c r="M960">
        <v>20</v>
      </c>
      <c r="N960">
        <v>6.1669959450227907E-3</v>
      </c>
      <c r="O960">
        <v>168.75227599309446</v>
      </c>
      <c r="P960" s="1">
        <f t="shared" si="70"/>
        <v>6.2173402677465299</v>
      </c>
      <c r="Q960" s="1">
        <f t="shared" si="71"/>
        <v>0.93260104016197942</v>
      </c>
      <c r="R960" s="1">
        <f t="shared" si="72"/>
        <v>0.96571271098706135</v>
      </c>
      <c r="S960" s="1">
        <f t="shared" si="73"/>
        <v>2.5892349175599363E-2</v>
      </c>
      <c r="T960" s="56">
        <f t="shared" si="74"/>
        <v>0.51023656994306821</v>
      </c>
    </row>
    <row r="961" spans="1:20" x14ac:dyDescent="0.25">
      <c r="A961">
        <v>0.9515446799016658</v>
      </c>
      <c r="B961">
        <v>0.76435640039562713</v>
      </c>
      <c r="D961">
        <v>0.9629615189788725</v>
      </c>
      <c r="E961">
        <v>3.6546527974223864</v>
      </c>
      <c r="J961">
        <v>10</v>
      </c>
      <c r="K961">
        <v>-0.11991255632892717</v>
      </c>
      <c r="L961">
        <v>2.3162389849745795</v>
      </c>
      <c r="M961">
        <v>20</v>
      </c>
      <c r="N961">
        <v>-0.2931690266905207</v>
      </c>
      <c r="O961">
        <v>128.57256945224782</v>
      </c>
      <c r="P961" s="1">
        <f t="shared" si="70"/>
        <v>4.6746003013293711</v>
      </c>
      <c r="Q961" s="1">
        <f t="shared" si="71"/>
        <v>0.70119004519940564</v>
      </c>
      <c r="R961" s="1">
        <f t="shared" si="72"/>
        <v>0.83737091255870932</v>
      </c>
      <c r="S961" s="1">
        <f t="shared" si="73"/>
        <v>0.2069052886398729</v>
      </c>
      <c r="T961" s="56">
        <f t="shared" si="74"/>
        <v>0.58120942574090906</v>
      </c>
    </row>
    <row r="962" spans="1:20" x14ac:dyDescent="0.25">
      <c r="A962">
        <v>0.9545156627519189</v>
      </c>
      <c r="B962">
        <v>-1.7386582840117626</v>
      </c>
      <c r="D962">
        <v>0.96389247543271239</v>
      </c>
      <c r="E962">
        <v>4.2051926777730841</v>
      </c>
      <c r="J962">
        <v>10</v>
      </c>
      <c r="K962">
        <v>-4.5154592953622341E-2</v>
      </c>
      <c r="L962">
        <v>7.8392335074447637</v>
      </c>
      <c r="M962">
        <v>20</v>
      </c>
      <c r="N962">
        <v>-0.25529954314151837</v>
      </c>
      <c r="O962">
        <v>204.2139937467893</v>
      </c>
      <c r="P962" s="1">
        <f t="shared" ref="P962:P1001" si="75">(L962+O962)/(J962+M962-2)</f>
        <v>7.5733295447940732</v>
      </c>
      <c r="Q962" s="1">
        <f t="shared" ref="Q962:Q1001" si="76">P962*0.15</f>
        <v>1.1359994317191109</v>
      </c>
      <c r="R962" s="1">
        <f t="shared" ref="R962:R1001" si="77">SQRT(Q962)</f>
        <v>1.0658327409678832</v>
      </c>
      <c r="S962" s="1">
        <f t="shared" ref="S962:S1001" si="78">(K962-N962)/R962</f>
        <v>0.197165035479266</v>
      </c>
      <c r="T962" s="56">
        <f t="shared" ref="T962:T1001" si="79">_xlfn.T.DIST(S962,28,TRUE)</f>
        <v>0.57743867020597928</v>
      </c>
    </row>
    <row r="963" spans="1:20" x14ac:dyDescent="0.25">
      <c r="A963">
        <v>0.95517467496998698</v>
      </c>
      <c r="B963">
        <v>0.15332830116676632</v>
      </c>
      <c r="D963">
        <v>0.96415770638995357</v>
      </c>
      <c r="E963">
        <v>-5.8962421041997004</v>
      </c>
      <c r="J963">
        <v>10</v>
      </c>
      <c r="K963">
        <v>-0.52083601076446939</v>
      </c>
      <c r="L963">
        <v>16.552807263921054</v>
      </c>
      <c r="M963">
        <v>20</v>
      </c>
      <c r="N963">
        <v>-0.45660471300834615</v>
      </c>
      <c r="O963">
        <v>197.64978375729194</v>
      </c>
      <c r="P963" s="1">
        <f t="shared" si="75"/>
        <v>7.6500925364718926</v>
      </c>
      <c r="Q963" s="1">
        <f t="shared" si="76"/>
        <v>1.1475138804707838</v>
      </c>
      <c r="R963" s="1">
        <f t="shared" si="77"/>
        <v>1.071220743110767</v>
      </c>
      <c r="S963" s="1">
        <f t="shared" si="78"/>
        <v>-5.9960842029252566E-2</v>
      </c>
      <c r="T963" s="56">
        <f t="shared" si="79"/>
        <v>0.47630637399334114</v>
      </c>
    </row>
    <row r="964" spans="1:20" x14ac:dyDescent="0.25">
      <c r="A964">
        <v>0.95737649191350094</v>
      </c>
      <c r="B964">
        <v>-0.92600657808361575</v>
      </c>
      <c r="D964">
        <v>0.96474006007182134</v>
      </c>
      <c r="E964">
        <v>2.1818238985815697</v>
      </c>
      <c r="J964">
        <v>10</v>
      </c>
      <c r="K964">
        <v>9.6591520559741184E-2</v>
      </c>
      <c r="L964">
        <v>12.017319087601669</v>
      </c>
      <c r="M964">
        <v>20</v>
      </c>
      <c r="N964">
        <v>-0.45289977265383641</v>
      </c>
      <c r="O964">
        <v>93.289527306010129</v>
      </c>
      <c r="P964" s="1">
        <f t="shared" si="75"/>
        <v>3.7609587997718497</v>
      </c>
      <c r="Q964" s="1">
        <f t="shared" si="76"/>
        <v>0.56414381996577745</v>
      </c>
      <c r="R964" s="1">
        <f t="shared" si="77"/>
        <v>0.75109508050963658</v>
      </c>
      <c r="S964" s="1">
        <f t="shared" si="78"/>
        <v>0.73158686226613834</v>
      </c>
      <c r="T964" s="56">
        <f t="shared" si="79"/>
        <v>0.76475009096877478</v>
      </c>
    </row>
    <row r="965" spans="1:20" x14ac:dyDescent="0.25">
      <c r="A965">
        <v>0.95772289320736803</v>
      </c>
      <c r="B965">
        <v>0.11403813005017582</v>
      </c>
      <c r="D965">
        <v>0.96492117607721295</v>
      </c>
      <c r="E965">
        <v>-1.9393194213535025</v>
      </c>
      <c r="J965">
        <v>10</v>
      </c>
      <c r="K965">
        <v>0.14217789612303022</v>
      </c>
      <c r="L965">
        <v>8.8584352774262083</v>
      </c>
      <c r="M965">
        <v>20</v>
      </c>
      <c r="N965">
        <v>0.1735288003601454</v>
      </c>
      <c r="O965">
        <v>206.42680183500048</v>
      </c>
      <c r="P965" s="1">
        <f t="shared" si="75"/>
        <v>7.6887584683009527</v>
      </c>
      <c r="Q965" s="1">
        <f t="shared" si="76"/>
        <v>1.1533137702451428</v>
      </c>
      <c r="R965" s="1">
        <f t="shared" si="77"/>
        <v>1.0739244713876031</v>
      </c>
      <c r="S965" s="1">
        <f t="shared" si="78"/>
        <v>-2.9192839042588441E-2</v>
      </c>
      <c r="T965" s="56">
        <f t="shared" si="79"/>
        <v>0.48845893976366012</v>
      </c>
    </row>
    <row r="966" spans="1:20" x14ac:dyDescent="0.25">
      <c r="A966">
        <v>0.96196424133769365</v>
      </c>
      <c r="B966">
        <v>-0.32416778594779316</v>
      </c>
      <c r="D966">
        <v>0.96530004416717896</v>
      </c>
      <c r="E966">
        <v>-0.97563247777543438</v>
      </c>
      <c r="J966">
        <v>10</v>
      </c>
      <c r="K966">
        <v>0.2016481630562339</v>
      </c>
      <c r="L966">
        <v>7.6213504624296728</v>
      </c>
      <c r="M966">
        <v>20</v>
      </c>
      <c r="N966">
        <v>0.61663052633775806</v>
      </c>
      <c r="O966">
        <v>293.64785691975271</v>
      </c>
      <c r="P966" s="1">
        <f t="shared" si="75"/>
        <v>10.759614549363658</v>
      </c>
      <c r="Q966" s="1">
        <f t="shared" si="76"/>
        <v>1.6139421824045486</v>
      </c>
      <c r="R966" s="1">
        <f t="shared" si="77"/>
        <v>1.2704102417741083</v>
      </c>
      <c r="S966" s="1">
        <f t="shared" si="78"/>
        <v>-0.32665224951430466</v>
      </c>
      <c r="T966" s="56">
        <f t="shared" si="79"/>
        <v>0.37318009673872243</v>
      </c>
    </row>
    <row r="967" spans="1:20" x14ac:dyDescent="0.25">
      <c r="A967">
        <v>0.96401082805881411</v>
      </c>
      <c r="B967">
        <v>-1.0937696970358957</v>
      </c>
      <c r="D967">
        <v>0.96613980938921351</v>
      </c>
      <c r="E967">
        <v>1.6030714925818756</v>
      </c>
      <c r="J967">
        <v>10</v>
      </c>
      <c r="K967">
        <v>-0.23867232812335715</v>
      </c>
      <c r="L967">
        <v>12.505007351304807</v>
      </c>
      <c r="M967">
        <v>20</v>
      </c>
      <c r="N967">
        <v>0.26065782435580331</v>
      </c>
      <c r="O967">
        <v>141.92785253970294</v>
      </c>
      <c r="P967" s="1">
        <f t="shared" si="75"/>
        <v>5.5154592818217054</v>
      </c>
      <c r="Q967" s="1">
        <f t="shared" si="76"/>
        <v>0.82731889227325583</v>
      </c>
      <c r="R967" s="1">
        <f t="shared" si="77"/>
        <v>0.90957071867626427</v>
      </c>
      <c r="S967" s="1">
        <f t="shared" si="78"/>
        <v>-0.54897342474464894</v>
      </c>
      <c r="T967" s="56">
        <f t="shared" si="79"/>
        <v>0.29368762896396194</v>
      </c>
    </row>
    <row r="968" spans="1:20" x14ac:dyDescent="0.25">
      <c r="A968">
        <v>0.96445332716369414</v>
      </c>
      <c r="B968">
        <v>-0.7486733011319302</v>
      </c>
      <c r="D968">
        <v>0.96638275980443122</v>
      </c>
      <c r="E968">
        <v>1.1228958067022177</v>
      </c>
      <c r="J968">
        <v>10</v>
      </c>
      <c r="K968">
        <v>-0.60061040585424053</v>
      </c>
      <c r="L968">
        <v>13.540994246203281</v>
      </c>
      <c r="M968">
        <v>20</v>
      </c>
      <c r="N968">
        <v>0.47460065047744138</v>
      </c>
      <c r="O968">
        <v>332.95752942947928</v>
      </c>
      <c r="P968" s="1">
        <f t="shared" si="75"/>
        <v>12.37494727413152</v>
      </c>
      <c r="Q968" s="1">
        <f t="shared" si="76"/>
        <v>1.8562420911197279</v>
      </c>
      <c r="R968" s="1">
        <f t="shared" si="77"/>
        <v>1.3624397568772455</v>
      </c>
      <c r="S968" s="1">
        <f t="shared" si="78"/>
        <v>-0.78918062314630277</v>
      </c>
      <c r="T968" s="56">
        <f t="shared" si="79"/>
        <v>0.21831918778508019</v>
      </c>
    </row>
    <row r="969" spans="1:20" x14ac:dyDescent="0.25">
      <c r="A969">
        <v>0.96697746202272616</v>
      </c>
      <c r="B969">
        <v>-1.8348328012507409</v>
      </c>
      <c r="D969">
        <v>0.96765956005229414</v>
      </c>
      <c r="E969">
        <v>-0.51040888479292335</v>
      </c>
      <c r="J969">
        <v>10</v>
      </c>
      <c r="K969">
        <v>0.70499652338185115</v>
      </c>
      <c r="L969">
        <v>10.051298384179299</v>
      </c>
      <c r="M969">
        <v>20</v>
      </c>
      <c r="N969">
        <v>0.96505845817773661</v>
      </c>
      <c r="O969">
        <v>83.403866114720685</v>
      </c>
      <c r="P969" s="1">
        <f t="shared" si="75"/>
        <v>3.3376844463892854</v>
      </c>
      <c r="Q969" s="1">
        <f t="shared" si="76"/>
        <v>0.50065266695839283</v>
      </c>
      <c r="R969" s="1">
        <f t="shared" si="77"/>
        <v>0.70756813591228995</v>
      </c>
      <c r="S969" s="1">
        <f t="shared" si="78"/>
        <v>-0.36754331010197255</v>
      </c>
      <c r="T969" s="56">
        <f t="shared" si="79"/>
        <v>0.35798871934355392</v>
      </c>
    </row>
    <row r="970" spans="1:20" x14ac:dyDescent="0.25">
      <c r="A970">
        <v>0.96732440474612758</v>
      </c>
      <c r="B970">
        <v>0.61892478697700426</v>
      </c>
      <c r="D970">
        <v>0.9692809966721363</v>
      </c>
      <c r="E970">
        <v>-1.0107889954724669</v>
      </c>
      <c r="J970">
        <v>10</v>
      </c>
      <c r="K970">
        <v>0.34952461192006012</v>
      </c>
      <c r="L970">
        <v>10.793735581201538</v>
      </c>
      <c r="M970">
        <v>20</v>
      </c>
      <c r="N970">
        <v>-0.15778011061229336</v>
      </c>
      <c r="O970">
        <v>191.22365023628973</v>
      </c>
      <c r="P970" s="1">
        <f t="shared" si="75"/>
        <v>7.2149066363389736</v>
      </c>
      <c r="Q970" s="1">
        <f t="shared" si="76"/>
        <v>1.082235995450846</v>
      </c>
      <c r="R970" s="1">
        <f t="shared" si="77"/>
        <v>1.0403057221080956</v>
      </c>
      <c r="S970" s="1">
        <f t="shared" si="78"/>
        <v>0.48764965120478371</v>
      </c>
      <c r="T970" s="56">
        <f t="shared" si="79"/>
        <v>0.68520269605175277</v>
      </c>
    </row>
    <row r="971" spans="1:20" x14ac:dyDescent="0.25">
      <c r="A971">
        <v>0.96884218496237295</v>
      </c>
      <c r="B971">
        <v>-0.17752427083905786</v>
      </c>
      <c r="D971">
        <v>0.9693101266420836</v>
      </c>
      <c r="E971">
        <v>0.54978795219540189</v>
      </c>
      <c r="J971">
        <v>10</v>
      </c>
      <c r="K971">
        <v>-0.19926255845348351</v>
      </c>
      <c r="L971">
        <v>4.6156565017622331</v>
      </c>
      <c r="M971">
        <v>20</v>
      </c>
      <c r="N971">
        <v>0.47626314994886343</v>
      </c>
      <c r="O971">
        <v>188.59436077377327</v>
      </c>
      <c r="P971" s="1">
        <f t="shared" si="75"/>
        <v>6.9003577598405537</v>
      </c>
      <c r="Q971" s="1">
        <f t="shared" si="76"/>
        <v>1.035053663976083</v>
      </c>
      <c r="R971" s="1">
        <f t="shared" si="77"/>
        <v>1.0173758715322883</v>
      </c>
      <c r="S971" s="1">
        <f t="shared" si="78"/>
        <v>-0.66398833243894939</v>
      </c>
      <c r="T971" s="56">
        <f t="shared" si="79"/>
        <v>0.25606438361225792</v>
      </c>
    </row>
    <row r="972" spans="1:20" x14ac:dyDescent="0.25">
      <c r="A972">
        <v>0.96905885930869562</v>
      </c>
      <c r="B972">
        <v>-0.57865463531925343</v>
      </c>
      <c r="D972">
        <v>0.96950997286636365</v>
      </c>
      <c r="E972">
        <v>4.050487629001509</v>
      </c>
      <c r="J972">
        <v>10</v>
      </c>
      <c r="K972">
        <v>0.4024411737191258</v>
      </c>
      <c r="L972">
        <v>9.4919868302138131</v>
      </c>
      <c r="M972">
        <v>20</v>
      </c>
      <c r="N972">
        <v>0.77450232197406876</v>
      </c>
      <c r="O972">
        <v>226.43989318309804</v>
      </c>
      <c r="P972" s="1">
        <f t="shared" si="75"/>
        <v>8.4261385719039943</v>
      </c>
      <c r="Q972" s="1">
        <f t="shared" si="76"/>
        <v>1.2639207857855992</v>
      </c>
      <c r="R972" s="1">
        <f t="shared" si="77"/>
        <v>1.1242423163115678</v>
      </c>
      <c r="S972" s="1">
        <f t="shared" si="78"/>
        <v>-0.33094391027337161</v>
      </c>
      <c r="T972" s="56">
        <f t="shared" si="79"/>
        <v>0.37157540594885841</v>
      </c>
    </row>
    <row r="973" spans="1:20" x14ac:dyDescent="0.25">
      <c r="A973">
        <v>0.9697429131063543</v>
      </c>
      <c r="B973">
        <v>0.76825472206110135</v>
      </c>
      <c r="D973">
        <v>0.97014785165278472</v>
      </c>
      <c r="E973">
        <v>-5.1583235779162351</v>
      </c>
      <c r="J973">
        <v>10</v>
      </c>
      <c r="K973">
        <v>-0.2524558340155636</v>
      </c>
      <c r="L973">
        <v>8.0252809994757293</v>
      </c>
      <c r="M973">
        <v>20</v>
      </c>
      <c r="N973">
        <v>-0.41626032384556311</v>
      </c>
      <c r="O973">
        <v>220.09360525827469</v>
      </c>
      <c r="P973" s="1">
        <f t="shared" si="75"/>
        <v>8.1471030806339435</v>
      </c>
      <c r="Q973" s="1">
        <f t="shared" si="76"/>
        <v>1.2220654620950915</v>
      </c>
      <c r="R973" s="1">
        <f t="shared" si="77"/>
        <v>1.1054706970766306</v>
      </c>
      <c r="S973" s="1">
        <f t="shared" si="78"/>
        <v>0.14817623864944895</v>
      </c>
      <c r="T973" s="56">
        <f t="shared" si="79"/>
        <v>0.55836717901557209</v>
      </c>
    </row>
    <row r="974" spans="1:20" x14ac:dyDescent="0.25">
      <c r="A974">
        <v>0.96983251440314089</v>
      </c>
      <c r="B974">
        <v>-1.4074066712055355</v>
      </c>
      <c r="D974">
        <v>0.97020309631910751</v>
      </c>
      <c r="E974">
        <v>-0.87304147541544808</v>
      </c>
      <c r="J974">
        <v>10</v>
      </c>
      <c r="K974">
        <v>-0.1019687942971359</v>
      </c>
      <c r="L974">
        <v>18.097215588168218</v>
      </c>
      <c r="M974">
        <v>20</v>
      </c>
      <c r="N974">
        <v>0.13578005223280343</v>
      </c>
      <c r="O974">
        <v>128.03180569559083</v>
      </c>
      <c r="P974" s="1">
        <f t="shared" si="75"/>
        <v>5.218893617277109</v>
      </c>
      <c r="Q974" s="1">
        <f t="shared" si="76"/>
        <v>0.7828340425915663</v>
      </c>
      <c r="R974" s="1">
        <f t="shared" si="77"/>
        <v>0.88477909253754761</v>
      </c>
      <c r="S974" s="1">
        <f t="shared" si="78"/>
        <v>-0.26870983789645764</v>
      </c>
      <c r="T974" s="56">
        <f t="shared" si="79"/>
        <v>0.39506150146796143</v>
      </c>
    </row>
    <row r="975" spans="1:20" x14ac:dyDescent="0.25">
      <c r="A975">
        <v>0.97028729144535575</v>
      </c>
      <c r="B975">
        <v>0.11095835361629725</v>
      </c>
      <c r="D975">
        <v>0.97109420281726433</v>
      </c>
      <c r="E975">
        <v>0.78508218962269893</v>
      </c>
      <c r="J975">
        <v>10</v>
      </c>
      <c r="K975">
        <v>-0.11054032711399486</v>
      </c>
      <c r="L975">
        <v>7.5505750430813663</v>
      </c>
      <c r="M975">
        <v>20</v>
      </c>
      <c r="N975">
        <v>1.1876417113398929</v>
      </c>
      <c r="O975">
        <v>211.66052597745821</v>
      </c>
      <c r="P975" s="1">
        <f t="shared" si="75"/>
        <v>7.8289678935906988</v>
      </c>
      <c r="Q975" s="1">
        <f t="shared" si="76"/>
        <v>1.1743451840386048</v>
      </c>
      <c r="R975" s="1">
        <f t="shared" si="77"/>
        <v>1.083672083260709</v>
      </c>
      <c r="S975" s="1">
        <f t="shared" si="78"/>
        <v>-1.1979472928265626</v>
      </c>
      <c r="T975" s="56">
        <f t="shared" si="79"/>
        <v>0.12049001238069813</v>
      </c>
    </row>
    <row r="976" spans="1:20" x14ac:dyDescent="0.25">
      <c r="A976">
        <v>0.97115341750566353</v>
      </c>
      <c r="B976">
        <v>0.14211423149390612</v>
      </c>
      <c r="D976">
        <v>0.97309404575584002</v>
      </c>
      <c r="E976">
        <v>6.1334727661233046E-2</v>
      </c>
      <c r="J976">
        <v>10</v>
      </c>
      <c r="K976">
        <v>2.5749272936081979E-2</v>
      </c>
      <c r="L976">
        <v>2.2931307125373181</v>
      </c>
      <c r="M976">
        <v>20</v>
      </c>
      <c r="N976">
        <v>0.57113510024464631</v>
      </c>
      <c r="O976">
        <v>155.28173384426623</v>
      </c>
      <c r="P976" s="1">
        <f t="shared" si="75"/>
        <v>5.6276737341715544</v>
      </c>
      <c r="Q976" s="1">
        <f t="shared" si="76"/>
        <v>0.84415106012573315</v>
      </c>
      <c r="R976" s="1">
        <f t="shared" si="77"/>
        <v>0.91877693708850416</v>
      </c>
      <c r="S976" s="1">
        <f t="shared" si="78"/>
        <v>-0.59359982308309533</v>
      </c>
      <c r="T976" s="56">
        <f t="shared" si="79"/>
        <v>0.27877257610786177</v>
      </c>
    </row>
    <row r="977" spans="1:20" x14ac:dyDescent="0.25">
      <c r="A977">
        <v>0.97306206178292731</v>
      </c>
      <c r="B977">
        <v>-0.70719352152082138</v>
      </c>
      <c r="D977">
        <v>0.97480186547728553</v>
      </c>
      <c r="E977">
        <v>-2.4787270865544997</v>
      </c>
      <c r="J977">
        <v>10</v>
      </c>
      <c r="K977">
        <v>-0.21957862372801173</v>
      </c>
      <c r="L977">
        <v>5.66042903514656</v>
      </c>
      <c r="M977">
        <v>20</v>
      </c>
      <c r="N977">
        <v>0.83077935300934769</v>
      </c>
      <c r="O977">
        <v>225.49713494067583</v>
      </c>
      <c r="P977" s="1">
        <f t="shared" si="75"/>
        <v>8.2556272848507994</v>
      </c>
      <c r="Q977" s="1">
        <f t="shared" si="76"/>
        <v>1.2383440927276199</v>
      </c>
      <c r="R977" s="1">
        <f t="shared" si="77"/>
        <v>1.1128090998583808</v>
      </c>
      <c r="S977" s="1">
        <f t="shared" si="78"/>
        <v>-0.94387975158635107</v>
      </c>
      <c r="T977" s="56">
        <f t="shared" si="79"/>
        <v>0.17665251266051429</v>
      </c>
    </row>
    <row r="978" spans="1:20" x14ac:dyDescent="0.25">
      <c r="A978">
        <v>0.97307312623189901</v>
      </c>
      <c r="B978">
        <v>-0.33280684874625877</v>
      </c>
      <c r="D978">
        <v>0.97510627965221297</v>
      </c>
      <c r="E978">
        <v>-2.8250399316220864</v>
      </c>
      <c r="J978">
        <v>10</v>
      </c>
      <c r="K978">
        <v>-0.23355607936537126</v>
      </c>
      <c r="L978">
        <v>8.6551389872157092</v>
      </c>
      <c r="M978">
        <v>20</v>
      </c>
      <c r="N978">
        <v>0.69645147618757619</v>
      </c>
      <c r="O978">
        <v>178.79304827653974</v>
      </c>
      <c r="P978" s="1">
        <f t="shared" si="75"/>
        <v>6.6945781165626945</v>
      </c>
      <c r="Q978" s="1">
        <f t="shared" si="76"/>
        <v>1.0041867174844041</v>
      </c>
      <c r="R978" s="1">
        <f t="shared" si="77"/>
        <v>1.0020911722415302</v>
      </c>
      <c r="S978" s="1">
        <f t="shared" si="78"/>
        <v>-0.92806680800576025</v>
      </c>
      <c r="T978" s="56">
        <f t="shared" si="79"/>
        <v>0.18065232998390451</v>
      </c>
    </row>
    <row r="979" spans="1:20" x14ac:dyDescent="0.25">
      <c r="A979">
        <v>0.97318769547776518</v>
      </c>
      <c r="B979">
        <v>-0.72987177190952934</v>
      </c>
      <c r="D979">
        <v>0.97521501837809899</v>
      </c>
      <c r="E979">
        <v>-0.92313644358910096</v>
      </c>
      <c r="J979">
        <v>10</v>
      </c>
      <c r="K979">
        <v>-0.38949315239733551</v>
      </c>
      <c r="L979">
        <v>3.7854656911083739</v>
      </c>
      <c r="M979">
        <v>20</v>
      </c>
      <c r="N979">
        <v>-1.0978240572967479</v>
      </c>
      <c r="O979">
        <v>163.63522579482364</v>
      </c>
      <c r="P979" s="1">
        <f t="shared" si="75"/>
        <v>5.9793104102118582</v>
      </c>
      <c r="Q979" s="1">
        <f t="shared" si="76"/>
        <v>0.89689656153177866</v>
      </c>
      <c r="R979" s="1">
        <f t="shared" si="77"/>
        <v>0.94704622988098031</v>
      </c>
      <c r="S979" s="1">
        <f t="shared" si="78"/>
        <v>0.74793698823808386</v>
      </c>
      <c r="T979" s="56">
        <f t="shared" si="79"/>
        <v>0.76963281628571711</v>
      </c>
    </row>
    <row r="980" spans="1:20" x14ac:dyDescent="0.25">
      <c r="A980">
        <v>0.97449751526631812</v>
      </c>
      <c r="B980">
        <v>2.056494849966839</v>
      </c>
      <c r="D980">
        <v>0.97642167211096742</v>
      </c>
      <c r="E980">
        <v>-6.1059533925345022</v>
      </c>
      <c r="J980">
        <v>10</v>
      </c>
      <c r="K980">
        <v>-0.27938949642702937</v>
      </c>
      <c r="L980">
        <v>7.1328369836073051</v>
      </c>
      <c r="M980">
        <v>20</v>
      </c>
      <c r="N980">
        <v>0.76454744771581318</v>
      </c>
      <c r="O980">
        <v>168.04376362505903</v>
      </c>
      <c r="P980" s="1">
        <f t="shared" si="75"/>
        <v>6.256307164595226</v>
      </c>
      <c r="Q980" s="1">
        <f t="shared" si="76"/>
        <v>0.93844607468928387</v>
      </c>
      <c r="R980" s="1">
        <f t="shared" si="77"/>
        <v>0.96873426422795839</v>
      </c>
      <c r="S980" s="1">
        <f t="shared" si="78"/>
        <v>-1.0776298337860668</v>
      </c>
      <c r="T980" s="56">
        <f t="shared" si="79"/>
        <v>0.14519799612316875</v>
      </c>
    </row>
    <row r="981" spans="1:20" x14ac:dyDescent="0.25">
      <c r="A981">
        <v>0.9751381164916757</v>
      </c>
      <c r="B981">
        <v>-0.51556526159401983</v>
      </c>
      <c r="D981">
        <v>0.97693199562950295</v>
      </c>
      <c r="E981">
        <v>-3.4611791795668978</v>
      </c>
      <c r="J981">
        <v>10</v>
      </c>
      <c r="K981">
        <v>0.16814624359540176</v>
      </c>
      <c r="L981">
        <v>8.4605101046138298</v>
      </c>
      <c r="M981">
        <v>20</v>
      </c>
      <c r="N981">
        <v>0.10100620443154185</v>
      </c>
      <c r="O981">
        <v>182.87400378806475</v>
      </c>
      <c r="P981" s="1">
        <f t="shared" si="75"/>
        <v>6.8333754961670925</v>
      </c>
      <c r="Q981" s="1">
        <f t="shared" si="76"/>
        <v>1.0250063244250638</v>
      </c>
      <c r="R981" s="1">
        <f t="shared" si="77"/>
        <v>1.0124259599719201</v>
      </c>
      <c r="S981" s="1">
        <f t="shared" si="78"/>
        <v>6.6315999212151824E-2</v>
      </c>
      <c r="T981" s="56">
        <f t="shared" si="79"/>
        <v>0.5262012493356979</v>
      </c>
    </row>
    <row r="982" spans="1:20" x14ac:dyDescent="0.25">
      <c r="A982">
        <v>0.97644872576468789</v>
      </c>
      <c r="B982">
        <v>2.3680149752181023</v>
      </c>
      <c r="D982">
        <v>0.97714177854800799</v>
      </c>
      <c r="E982">
        <v>-2.3229886244280351</v>
      </c>
      <c r="J982">
        <v>10</v>
      </c>
      <c r="K982">
        <v>0.32416710382676683</v>
      </c>
      <c r="L982">
        <v>3.9236251382576977</v>
      </c>
      <c r="M982">
        <v>20</v>
      </c>
      <c r="N982">
        <v>0.56581967214697215</v>
      </c>
      <c r="O982">
        <v>117.54055484086749</v>
      </c>
      <c r="P982" s="1">
        <f t="shared" si="75"/>
        <v>4.3380064278258992</v>
      </c>
      <c r="Q982" s="1">
        <f t="shared" si="76"/>
        <v>0.6507009641738849</v>
      </c>
      <c r="R982" s="1">
        <f t="shared" si="77"/>
        <v>0.80666037721824724</v>
      </c>
      <c r="S982" s="1">
        <f t="shared" si="78"/>
        <v>-0.29957163528167768</v>
      </c>
      <c r="T982" s="56">
        <f t="shared" si="79"/>
        <v>0.38335824636211918</v>
      </c>
    </row>
    <row r="983" spans="1:20" x14ac:dyDescent="0.25">
      <c r="A983">
        <v>0.97722454284679738</v>
      </c>
      <c r="B983">
        <v>0.53974417824065313</v>
      </c>
      <c r="D983">
        <v>0.97887549568813736</v>
      </c>
      <c r="E983">
        <v>1.5503026099850103</v>
      </c>
      <c r="J983">
        <v>10</v>
      </c>
      <c r="K983">
        <v>0.48843287459021667</v>
      </c>
      <c r="L983">
        <v>9.1974230982816412</v>
      </c>
      <c r="M983">
        <v>20</v>
      </c>
      <c r="N983">
        <v>5.6374173027506913E-2</v>
      </c>
      <c r="O983">
        <v>179.19594323414654</v>
      </c>
      <c r="P983" s="1">
        <f t="shared" si="75"/>
        <v>6.7283345118724345</v>
      </c>
      <c r="Q983" s="1">
        <f t="shared" si="76"/>
        <v>1.009250176780865</v>
      </c>
      <c r="R983" s="1">
        <f t="shared" si="77"/>
        <v>1.0046144418536223</v>
      </c>
      <c r="S983" s="1">
        <f t="shared" si="78"/>
        <v>0.4300741494075227</v>
      </c>
      <c r="T983" s="56">
        <f t="shared" si="79"/>
        <v>0.66478312664053174</v>
      </c>
    </row>
    <row r="984" spans="1:20" x14ac:dyDescent="0.25">
      <c r="A984">
        <v>0.97807736763868869</v>
      </c>
      <c r="B984">
        <v>-0.54018642003939021</v>
      </c>
      <c r="D984">
        <v>0.98110033865004298</v>
      </c>
      <c r="E984">
        <v>1.5378470800442301</v>
      </c>
      <c r="J984">
        <v>10</v>
      </c>
      <c r="K984">
        <v>7.9050892054510769E-2</v>
      </c>
      <c r="L984">
        <v>12.499641416847563</v>
      </c>
      <c r="M984">
        <v>20</v>
      </c>
      <c r="N984">
        <v>0.98827649367194681</v>
      </c>
      <c r="O984">
        <v>228.49769389215251</v>
      </c>
      <c r="P984" s="1">
        <f t="shared" si="75"/>
        <v>8.6070476896071462</v>
      </c>
      <c r="Q984" s="1">
        <f t="shared" si="76"/>
        <v>1.291057153441072</v>
      </c>
      <c r="R984" s="1">
        <f t="shared" si="77"/>
        <v>1.1362469597059752</v>
      </c>
      <c r="S984" s="1">
        <f t="shared" si="78"/>
        <v>-0.80020069039631569</v>
      </c>
      <c r="T984" s="56">
        <f t="shared" si="79"/>
        <v>0.21516591548227781</v>
      </c>
    </row>
    <row r="985" spans="1:20" x14ac:dyDescent="0.25">
      <c r="A985">
        <v>0.9799633226810428</v>
      </c>
      <c r="B985">
        <v>-0.58363639254821464</v>
      </c>
      <c r="D985">
        <v>0.98208332600045223</v>
      </c>
      <c r="E985">
        <v>-1.3702701869533485</v>
      </c>
      <c r="J985">
        <v>10</v>
      </c>
      <c r="K985">
        <v>-0.35502148421073798</v>
      </c>
      <c r="L985">
        <v>19.399208087476691</v>
      </c>
      <c r="M985">
        <v>20</v>
      </c>
      <c r="N985">
        <v>-0.5917364694596472</v>
      </c>
      <c r="O985">
        <v>199.42900878493262</v>
      </c>
      <c r="P985" s="1">
        <f t="shared" si="75"/>
        <v>7.8152934597289043</v>
      </c>
      <c r="Q985" s="1">
        <f t="shared" si="76"/>
        <v>1.1722940189593356</v>
      </c>
      <c r="R985" s="1">
        <f t="shared" si="77"/>
        <v>1.0827252740004436</v>
      </c>
      <c r="S985" s="1">
        <f t="shared" si="78"/>
        <v>0.21862885344340105</v>
      </c>
      <c r="T985" s="56">
        <f t="shared" si="79"/>
        <v>0.5857375405462355</v>
      </c>
    </row>
    <row r="986" spans="1:20" x14ac:dyDescent="0.25">
      <c r="A986">
        <v>0.9805654790391114</v>
      </c>
      <c r="B986">
        <v>1.4766283129574731</v>
      </c>
      <c r="D986">
        <v>0.98447354912413865</v>
      </c>
      <c r="E986">
        <v>-0.42356464632575808</v>
      </c>
      <c r="J986">
        <v>10</v>
      </c>
      <c r="K986">
        <v>7.6862534115207382E-3</v>
      </c>
      <c r="L986">
        <v>7.6898054418589812</v>
      </c>
      <c r="M986">
        <v>20</v>
      </c>
      <c r="N986">
        <v>4.6641127937618876E-3</v>
      </c>
      <c r="O986">
        <v>151.4537158106273</v>
      </c>
      <c r="P986" s="1">
        <f t="shared" si="75"/>
        <v>5.6836971875887965</v>
      </c>
      <c r="Q986" s="1">
        <f t="shared" si="76"/>
        <v>0.85255457813831947</v>
      </c>
      <c r="R986" s="1">
        <f t="shared" si="77"/>
        <v>0.92333882087688668</v>
      </c>
      <c r="S986" s="1">
        <f t="shared" si="78"/>
        <v>3.2730570289341353E-3</v>
      </c>
      <c r="T986" s="56">
        <f t="shared" si="79"/>
        <v>0.50129415420824253</v>
      </c>
    </row>
    <row r="987" spans="1:20" x14ac:dyDescent="0.25">
      <c r="A987">
        <v>0.98060588075694555</v>
      </c>
      <c r="B987">
        <v>0.48556216825090814</v>
      </c>
      <c r="D987">
        <v>0.98528879125212021</v>
      </c>
      <c r="E987">
        <v>-4.0872980696349259</v>
      </c>
      <c r="J987">
        <v>10</v>
      </c>
      <c r="K987">
        <v>0.32622540402371669</v>
      </c>
      <c r="L987">
        <v>9.8411086860101005</v>
      </c>
      <c r="M987">
        <v>20</v>
      </c>
      <c r="N987">
        <v>0.44658201773017936</v>
      </c>
      <c r="O987">
        <v>90.362256725373499</v>
      </c>
      <c r="P987" s="1">
        <f t="shared" si="75"/>
        <v>3.5786916218351288</v>
      </c>
      <c r="Q987" s="1">
        <f t="shared" si="76"/>
        <v>0.53680374327526925</v>
      </c>
      <c r="R987" s="1">
        <f t="shared" si="77"/>
        <v>0.73266891791263344</v>
      </c>
      <c r="S987" s="1">
        <f t="shared" si="78"/>
        <v>-0.16427148847716574</v>
      </c>
      <c r="T987" s="56">
        <f t="shared" si="79"/>
        <v>0.4353487699182646</v>
      </c>
    </row>
    <row r="988" spans="1:20" x14ac:dyDescent="0.25">
      <c r="A988">
        <v>0.98122848753930747</v>
      </c>
      <c r="B988">
        <v>-0.35969264899904374</v>
      </c>
      <c r="D988">
        <v>0.98581052151442983</v>
      </c>
      <c r="E988">
        <v>-6.2107271821787435</v>
      </c>
      <c r="J988">
        <v>10</v>
      </c>
      <c r="K988">
        <v>-0.16373076050513191</v>
      </c>
      <c r="L988">
        <v>6.2977671201376992</v>
      </c>
      <c r="M988">
        <v>20</v>
      </c>
      <c r="N988">
        <v>-0.48007155214691011</v>
      </c>
      <c r="O988">
        <v>197.71832239890699</v>
      </c>
      <c r="P988" s="1">
        <f t="shared" si="75"/>
        <v>7.2862889113944531</v>
      </c>
      <c r="Q988" s="1">
        <f t="shared" si="76"/>
        <v>1.0929433367091679</v>
      </c>
      <c r="R988" s="1">
        <f t="shared" si="77"/>
        <v>1.0454393032161973</v>
      </c>
      <c r="S988" s="1">
        <f t="shared" si="78"/>
        <v>0.3025912558180901</v>
      </c>
      <c r="T988" s="56">
        <f t="shared" si="79"/>
        <v>0.61778103498735404</v>
      </c>
    </row>
    <row r="989" spans="1:20" x14ac:dyDescent="0.25">
      <c r="A989">
        <v>0.98308804064693001</v>
      </c>
      <c r="B989">
        <v>0.99680846687988378</v>
      </c>
      <c r="D989">
        <v>0.98654352607609164</v>
      </c>
      <c r="E989">
        <v>-1.8475536796813685</v>
      </c>
      <c r="J989">
        <v>10</v>
      </c>
      <c r="K989">
        <v>2.1704181563109159E-2</v>
      </c>
      <c r="L989">
        <v>5.1521365513537942</v>
      </c>
      <c r="M989">
        <v>20</v>
      </c>
      <c r="N989">
        <v>0.4460023853880557</v>
      </c>
      <c r="O989">
        <v>161.70975129531911</v>
      </c>
      <c r="P989" s="1">
        <f t="shared" si="75"/>
        <v>5.9593531373811759</v>
      </c>
      <c r="Q989" s="1">
        <f t="shared" si="76"/>
        <v>0.89390297060717638</v>
      </c>
      <c r="R989" s="1">
        <f t="shared" si="77"/>
        <v>0.94546442059295721</v>
      </c>
      <c r="S989" s="1">
        <f t="shared" si="78"/>
        <v>-0.4487722589908183</v>
      </c>
      <c r="T989" s="56">
        <f t="shared" si="79"/>
        <v>0.32852499794458712</v>
      </c>
    </row>
    <row r="990" spans="1:20" x14ac:dyDescent="0.25">
      <c r="A990">
        <v>0.9833527375172515</v>
      </c>
      <c r="B990">
        <v>1.8494392861612141</v>
      </c>
      <c r="D990">
        <v>0.98700380188753123</v>
      </c>
      <c r="E990">
        <v>3.2535519915199984</v>
      </c>
      <c r="J990">
        <v>10</v>
      </c>
      <c r="K990">
        <v>0.47905257360980613</v>
      </c>
      <c r="L990">
        <v>18.332783508863329</v>
      </c>
      <c r="M990">
        <v>20</v>
      </c>
      <c r="N990">
        <v>9.3049433189662523E-2</v>
      </c>
      <c r="O990">
        <v>133.68826468568426</v>
      </c>
      <c r="P990" s="1">
        <f t="shared" si="75"/>
        <v>5.4293231498052705</v>
      </c>
      <c r="Q990" s="1">
        <f t="shared" si="76"/>
        <v>0.81439847247079056</v>
      </c>
      <c r="R990" s="1">
        <f t="shared" si="77"/>
        <v>0.90244028748210847</v>
      </c>
      <c r="S990" s="1">
        <f t="shared" si="78"/>
        <v>0.42773261098208271</v>
      </c>
      <c r="T990" s="56">
        <f t="shared" si="79"/>
        <v>0.66394115561995026</v>
      </c>
    </row>
    <row r="991" spans="1:20" x14ac:dyDescent="0.25">
      <c r="A991">
        <v>0.98360798325734</v>
      </c>
      <c r="B991">
        <v>1.8051741790259257</v>
      </c>
      <c r="D991">
        <v>0.98712219763331932</v>
      </c>
      <c r="E991">
        <v>-0.47030357904986886</v>
      </c>
      <c r="J991">
        <v>10</v>
      </c>
      <c r="K991">
        <v>-0.22395602172764484</v>
      </c>
      <c r="L991">
        <v>13.638108023316397</v>
      </c>
      <c r="M991">
        <v>20</v>
      </c>
      <c r="N991">
        <v>-3.7499152085729293E-2</v>
      </c>
      <c r="O991">
        <v>153.07014407720752</v>
      </c>
      <c r="P991" s="1">
        <f t="shared" si="75"/>
        <v>5.9538661464472824</v>
      </c>
      <c r="Q991" s="1">
        <f t="shared" si="76"/>
        <v>0.89307992196709229</v>
      </c>
      <c r="R991" s="1">
        <f t="shared" si="77"/>
        <v>0.94502905879506816</v>
      </c>
      <c r="S991" s="1">
        <f t="shared" si="78"/>
        <v>-0.1973027896937391</v>
      </c>
      <c r="T991" s="56">
        <f t="shared" si="79"/>
        <v>0.42250794774434997</v>
      </c>
    </row>
    <row r="992" spans="1:20" x14ac:dyDescent="0.25">
      <c r="A992">
        <v>0.98394157416911954</v>
      </c>
      <c r="B992">
        <v>0.12513282854342833</v>
      </c>
      <c r="D992">
        <v>0.98719528410177226</v>
      </c>
      <c r="E992">
        <v>2.9382551895196229</v>
      </c>
      <c r="J992">
        <v>10</v>
      </c>
      <c r="K992">
        <v>-0.22165238533489173</v>
      </c>
      <c r="L992">
        <v>6.1926506088529063</v>
      </c>
      <c r="M992">
        <v>20</v>
      </c>
      <c r="N992">
        <v>-1.4687321402107045</v>
      </c>
      <c r="O992">
        <v>154.23966659220898</v>
      </c>
      <c r="P992" s="1">
        <f t="shared" si="75"/>
        <v>5.7297256143236392</v>
      </c>
      <c r="Q992" s="1">
        <f t="shared" si="76"/>
        <v>0.85945884214854584</v>
      </c>
      <c r="R992" s="1">
        <f t="shared" si="77"/>
        <v>0.92707003087606377</v>
      </c>
      <c r="S992" s="1">
        <f t="shared" si="78"/>
        <v>1.3451839810821475</v>
      </c>
      <c r="T992" s="56">
        <f t="shared" si="79"/>
        <v>0.90531989227400889</v>
      </c>
    </row>
    <row r="993" spans="1:20" x14ac:dyDescent="0.25">
      <c r="A993">
        <v>0.99094910902406441</v>
      </c>
      <c r="B993">
        <v>1.2671989679802209</v>
      </c>
      <c r="D993">
        <v>0.98768123548003106</v>
      </c>
      <c r="E993">
        <v>-5.4712534199552465</v>
      </c>
      <c r="J993">
        <v>10</v>
      </c>
      <c r="K993">
        <v>-0.2952498334707343</v>
      </c>
      <c r="L993">
        <v>3.65930094977444</v>
      </c>
      <c r="M993">
        <v>20</v>
      </c>
      <c r="N993">
        <v>-0.53935929486215173</v>
      </c>
      <c r="O993">
        <v>275.97781035555931</v>
      </c>
      <c r="P993" s="1">
        <f t="shared" si="75"/>
        <v>9.9870396894762052</v>
      </c>
      <c r="Q993" s="1">
        <f t="shared" si="76"/>
        <v>1.4980559534214308</v>
      </c>
      <c r="R993" s="1">
        <f t="shared" si="77"/>
        <v>1.2239509603825762</v>
      </c>
      <c r="S993" s="1">
        <f t="shared" si="78"/>
        <v>0.19944382519632564</v>
      </c>
      <c r="T993" s="56">
        <f t="shared" si="79"/>
        <v>0.57832154559592808</v>
      </c>
    </row>
    <row r="994" spans="1:20" x14ac:dyDescent="0.25">
      <c r="A994">
        <v>0.99206289763954114</v>
      </c>
      <c r="B994">
        <v>-2.2381937014870346</v>
      </c>
      <c r="D994">
        <v>0.98782877349827214</v>
      </c>
      <c r="E994">
        <v>1.533617929680986</v>
      </c>
      <c r="J994">
        <v>10</v>
      </c>
      <c r="K994">
        <v>-0.3479750603219145</v>
      </c>
      <c r="L994">
        <v>5.9446096303481513</v>
      </c>
      <c r="M994">
        <v>20</v>
      </c>
      <c r="N994">
        <v>-0.19993348473690276</v>
      </c>
      <c r="O994">
        <v>126.39426116004178</v>
      </c>
      <c r="P994" s="1">
        <f t="shared" si="75"/>
        <v>4.7263882425139263</v>
      </c>
      <c r="Q994" s="1">
        <f t="shared" si="76"/>
        <v>0.70895823637708888</v>
      </c>
      <c r="R994" s="1">
        <f t="shared" si="77"/>
        <v>0.84199657741411804</v>
      </c>
      <c r="S994" s="1">
        <f t="shared" si="78"/>
        <v>-0.17582206336237952</v>
      </c>
      <c r="T994" s="56">
        <f t="shared" si="79"/>
        <v>0.43084957780377475</v>
      </c>
    </row>
    <row r="995" spans="1:20" x14ac:dyDescent="0.25">
      <c r="A995">
        <v>0.99285546366022526</v>
      </c>
      <c r="B995">
        <v>-0.76579226515605114</v>
      </c>
      <c r="D995">
        <v>0.98964327396044394</v>
      </c>
      <c r="E995">
        <v>-1.7113341107233282</v>
      </c>
      <c r="J995">
        <v>10</v>
      </c>
      <c r="K995">
        <v>5.0866333367594052E-2</v>
      </c>
      <c r="L995">
        <v>7.5504737834053071</v>
      </c>
      <c r="M995">
        <v>20</v>
      </c>
      <c r="N995">
        <v>-0.50106263302041043</v>
      </c>
      <c r="O995">
        <v>185.90744642684973</v>
      </c>
      <c r="P995" s="1">
        <f t="shared" si="75"/>
        <v>6.909211436080537</v>
      </c>
      <c r="Q995" s="1">
        <f t="shared" si="76"/>
        <v>1.0363817154120805</v>
      </c>
      <c r="R995" s="1">
        <f t="shared" si="77"/>
        <v>1.0180283470572322</v>
      </c>
      <c r="S995" s="1">
        <f t="shared" si="78"/>
        <v>0.54215481129129672</v>
      </c>
      <c r="T995" s="56">
        <f t="shared" si="79"/>
        <v>0.70399955010993054</v>
      </c>
    </row>
    <row r="996" spans="1:20" x14ac:dyDescent="0.25">
      <c r="A996">
        <v>0.99289105989343129</v>
      </c>
      <c r="B996">
        <v>0.13925500752520747</v>
      </c>
      <c r="D996">
        <v>0.99036941444922866</v>
      </c>
      <c r="E996">
        <v>0.64172422412411834</v>
      </c>
      <c r="J996">
        <v>10</v>
      </c>
      <c r="K996">
        <v>-0.68287488375062821</v>
      </c>
      <c r="L996">
        <v>11.405727976342536</v>
      </c>
      <c r="M996">
        <v>20</v>
      </c>
      <c r="N996">
        <v>0.82962622741433734</v>
      </c>
      <c r="O996">
        <v>207.202948793237</v>
      </c>
      <c r="P996" s="1">
        <f t="shared" si="75"/>
        <v>7.8074527417706978</v>
      </c>
      <c r="Q996" s="1">
        <f t="shared" si="76"/>
        <v>1.1711179112656047</v>
      </c>
      <c r="R996" s="1">
        <f t="shared" si="77"/>
        <v>1.0821820139263103</v>
      </c>
      <c r="S996" s="1">
        <f t="shared" si="78"/>
        <v>-1.397640222902427</v>
      </c>
      <c r="T996" s="56">
        <f t="shared" si="79"/>
        <v>8.6598705496629499E-2</v>
      </c>
    </row>
    <row r="997" spans="1:20" x14ac:dyDescent="0.25">
      <c r="A997">
        <v>0.99328209062056017</v>
      </c>
      <c r="B997">
        <v>-1.8579703464638442</v>
      </c>
      <c r="D997">
        <v>0.99219437110458075</v>
      </c>
      <c r="E997">
        <v>3.3004819181314815</v>
      </c>
      <c r="J997">
        <v>10</v>
      </c>
      <c r="K997">
        <v>-0.27745659281208646</v>
      </c>
      <c r="L997">
        <v>14.226909141679812</v>
      </c>
      <c r="M997">
        <v>20</v>
      </c>
      <c r="N997">
        <v>-0.25943370815184608</v>
      </c>
      <c r="O997">
        <v>159.1758532359182</v>
      </c>
      <c r="P997" s="1">
        <f t="shared" si="75"/>
        <v>6.1929557991999289</v>
      </c>
      <c r="Q997" s="1">
        <f t="shared" si="76"/>
        <v>0.92894336987998927</v>
      </c>
      <c r="R997" s="1">
        <f t="shared" si="77"/>
        <v>0.9638170832061389</v>
      </c>
      <c r="S997" s="1">
        <f t="shared" si="78"/>
        <v>-1.8699486629026357E-2</v>
      </c>
      <c r="T997" s="56">
        <f t="shared" si="79"/>
        <v>0.49260672722053478</v>
      </c>
    </row>
    <row r="998" spans="1:20" x14ac:dyDescent="0.25">
      <c r="A998">
        <v>0.99398855382236972</v>
      </c>
      <c r="B998">
        <v>-1.2909458746435121</v>
      </c>
      <c r="D998">
        <v>0.99223453924273775</v>
      </c>
      <c r="E998">
        <v>1.9528836185145337</v>
      </c>
      <c r="J998">
        <v>10</v>
      </c>
      <c r="K998">
        <v>-0.16700914784451015</v>
      </c>
      <c r="L998">
        <v>10.774694554626706</v>
      </c>
      <c r="M998">
        <v>20</v>
      </c>
      <c r="N998">
        <v>-1.1183093420186196E-2</v>
      </c>
      <c r="O998">
        <v>79.618663572586229</v>
      </c>
      <c r="P998" s="1">
        <f t="shared" si="75"/>
        <v>3.2283342188290334</v>
      </c>
      <c r="Q998" s="1">
        <f t="shared" si="76"/>
        <v>0.48425013282435497</v>
      </c>
      <c r="R998" s="1">
        <f t="shared" si="77"/>
        <v>0.69588083234441445</v>
      </c>
      <c r="S998" s="1">
        <f t="shared" si="78"/>
        <v>-0.22392634942874887</v>
      </c>
      <c r="T998" s="56">
        <f t="shared" si="79"/>
        <v>0.4122202469042216</v>
      </c>
    </row>
    <row r="999" spans="1:20" x14ac:dyDescent="0.25">
      <c r="A999">
        <v>0.99406018268836538</v>
      </c>
      <c r="B999">
        <v>1.4400757208932191</v>
      </c>
      <c r="D999">
        <v>0.99352414056239657</v>
      </c>
      <c r="E999">
        <v>-0.10646022360560892</v>
      </c>
      <c r="J999">
        <v>10</v>
      </c>
      <c r="K999">
        <v>-0.14669763004349079</v>
      </c>
      <c r="L999">
        <v>12.307480610560596</v>
      </c>
      <c r="M999">
        <v>20</v>
      </c>
      <c r="N999">
        <v>-0.2331698317448172</v>
      </c>
      <c r="O999">
        <v>164.41741792718153</v>
      </c>
      <c r="P999" s="1">
        <f t="shared" si="75"/>
        <v>6.3116035192050761</v>
      </c>
      <c r="Q999" s="1">
        <f t="shared" si="76"/>
        <v>0.94674052788076135</v>
      </c>
      <c r="R999" s="1">
        <f t="shared" si="77"/>
        <v>0.97300592386725038</v>
      </c>
      <c r="S999" s="1">
        <f t="shared" si="78"/>
        <v>8.8871197574665564E-2</v>
      </c>
      <c r="T999" s="56">
        <f t="shared" si="79"/>
        <v>0.53509155108062978</v>
      </c>
    </row>
    <row r="1000" spans="1:20" x14ac:dyDescent="0.25">
      <c r="A1000">
        <v>0.9971593296385608</v>
      </c>
      <c r="B1000">
        <v>-0.35863195080310106</v>
      </c>
      <c r="D1000">
        <v>0.9965939208646577</v>
      </c>
      <c r="E1000">
        <v>0.10568282618805824</v>
      </c>
      <c r="J1000">
        <v>10</v>
      </c>
      <c r="K1000">
        <v>0.10711016784625826</v>
      </c>
      <c r="L1000">
        <v>3.9560120539315338</v>
      </c>
      <c r="M1000">
        <v>20</v>
      </c>
      <c r="N1000">
        <v>0.27607989864009141</v>
      </c>
      <c r="O1000">
        <v>278.23646542572044</v>
      </c>
      <c r="P1000" s="1">
        <f t="shared" si="75"/>
        <v>10.078302767130427</v>
      </c>
      <c r="Q1000" s="1">
        <f t="shared" si="76"/>
        <v>1.5117454150695642</v>
      </c>
      <c r="R1000" s="1">
        <f t="shared" si="77"/>
        <v>1.2295305669521048</v>
      </c>
      <c r="S1000" s="1">
        <f t="shared" si="78"/>
        <v>-0.13742621398400354</v>
      </c>
      <c r="T1000" s="56">
        <f t="shared" si="79"/>
        <v>0.44583869267609899</v>
      </c>
    </row>
    <row r="1001" spans="1:20" x14ac:dyDescent="0.25">
      <c r="A1001">
        <v>0.99830616477230916</v>
      </c>
      <c r="B1001">
        <v>-1.6853482520673424</v>
      </c>
      <c r="D1001">
        <v>0.99964682472952704</v>
      </c>
      <c r="E1001">
        <v>-2.9403047426512785</v>
      </c>
      <c r="J1001">
        <v>10</v>
      </c>
      <c r="K1001">
        <v>0.85237991243047873</v>
      </c>
      <c r="L1001">
        <v>9.4353404715249685</v>
      </c>
      <c r="M1001">
        <v>20</v>
      </c>
      <c r="N1001">
        <v>-0.899390275890255</v>
      </c>
      <c r="O1001">
        <v>180.09134954121893</v>
      </c>
      <c r="P1001" s="1">
        <f t="shared" si="75"/>
        <v>6.7688103575979968</v>
      </c>
      <c r="Q1001" s="1">
        <f t="shared" si="76"/>
        <v>1.0153215536396996</v>
      </c>
      <c r="R1001" s="1">
        <f t="shared" si="77"/>
        <v>1.0076316557352194</v>
      </c>
      <c r="S1001" s="1">
        <f t="shared" si="78"/>
        <v>1.7385025354751811</v>
      </c>
      <c r="T1001" s="56">
        <f t="shared" si="79"/>
        <v>0.9534455038222488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1001"/>
  <sheetViews>
    <sheetView topLeftCell="S1" zoomScaleNormal="100" workbookViewId="0">
      <selection activeCell="T2" sqref="T2"/>
    </sheetView>
  </sheetViews>
  <sheetFormatPr defaultRowHeight="15" x14ac:dyDescent="0.25"/>
  <cols>
    <col min="3" max="3" width="3.28515625" customWidth="1"/>
    <col min="6" max="6" width="9.28515625" customWidth="1"/>
    <col min="7" max="8" width="11.28515625" bestFit="1" customWidth="1"/>
    <col min="9" max="9" width="2.85546875" customWidth="1"/>
    <col min="17" max="17" width="11.85546875" customWidth="1"/>
    <col min="18" max="18" width="11" customWidth="1"/>
    <col min="19" max="19" width="9.85546875" customWidth="1"/>
    <col min="22" max="22" width="13.140625" customWidth="1"/>
    <col min="23" max="23" width="16.7109375" bestFit="1" customWidth="1"/>
    <col min="24" max="24" width="5" customWidth="1"/>
  </cols>
  <sheetData>
    <row r="1" spans="1:25" s="53" customFormat="1" ht="45" x14ac:dyDescent="0.25">
      <c r="A1" s="17" t="s">
        <v>84</v>
      </c>
      <c r="B1" s="17" t="s">
        <v>85</v>
      </c>
      <c r="C1" s="17"/>
      <c r="D1" s="17" t="s">
        <v>86</v>
      </c>
      <c r="E1" s="17" t="s">
        <v>87</v>
      </c>
      <c r="G1" s="17" t="s">
        <v>85</v>
      </c>
      <c r="H1" s="17" t="s">
        <v>87</v>
      </c>
      <c r="J1" s="16" t="s">
        <v>88</v>
      </c>
      <c r="K1" s="16" t="s">
        <v>89</v>
      </c>
      <c r="L1" s="16" t="s">
        <v>90</v>
      </c>
      <c r="M1" s="16" t="s">
        <v>91</v>
      </c>
      <c r="N1" s="16" t="s">
        <v>92</v>
      </c>
      <c r="O1" s="16" t="s">
        <v>93</v>
      </c>
      <c r="P1" s="16" t="s">
        <v>56</v>
      </c>
      <c r="Q1" s="16" t="s">
        <v>94</v>
      </c>
      <c r="R1" s="16" t="s">
        <v>95</v>
      </c>
      <c r="S1" s="16" t="s">
        <v>5</v>
      </c>
      <c r="T1" s="53" t="s">
        <v>97</v>
      </c>
      <c r="V1" t="s">
        <v>143</v>
      </c>
      <c r="W1" s="53" t="s">
        <v>99</v>
      </c>
      <c r="X1"/>
    </row>
    <row r="2" spans="1:25" x14ac:dyDescent="0.25">
      <c r="A2">
        <v>2.4837111702880055E-4</v>
      </c>
      <c r="B2">
        <v>-3.179025043209549E-2</v>
      </c>
      <c r="D2">
        <v>3.2856362503252967E-3</v>
      </c>
      <c r="E2">
        <v>4.5339613700434711</v>
      </c>
      <c r="F2" s="53" t="s">
        <v>54</v>
      </c>
      <c r="G2">
        <v>2.2261549474933418E-2</v>
      </c>
      <c r="H2">
        <v>2.2261549474933418E-2</v>
      </c>
      <c r="J2">
        <v>20</v>
      </c>
      <c r="K2">
        <v>-0.11840756997116841</v>
      </c>
      <c r="L2">
        <v>11.659667673548963</v>
      </c>
      <c r="M2">
        <v>10</v>
      </c>
      <c r="N2">
        <v>2.712283841219687</v>
      </c>
      <c r="O2">
        <v>52.456948298216744</v>
      </c>
      <c r="P2" s="1">
        <f t="shared" ref="P2:P65" si="0">(L2+O2)/(J2+M2-2)</f>
        <v>2.2898791418487754</v>
      </c>
      <c r="Q2" s="1">
        <f t="shared" ref="Q2:Q65" si="1">P2*0.15</f>
        <v>0.34348187127731628</v>
      </c>
      <c r="R2" s="1">
        <f t="shared" ref="R2:R65" si="2">SQRT(Q2)</f>
        <v>0.58607326442802032</v>
      </c>
      <c r="S2" s="1">
        <f t="shared" ref="S2:S65" si="3">(K2-N2)/R2</f>
        <v>-4.8299275585510211</v>
      </c>
      <c r="T2" s="56">
        <f t="shared" ref="T2:T65" si="4">_xlfn.T.DIST(S2,28,TRUE)</f>
        <v>2.207630308374514E-5</v>
      </c>
      <c r="V2" s="57" t="s">
        <v>100</v>
      </c>
      <c r="W2" s="58">
        <v>79</v>
      </c>
    </row>
    <row r="3" spans="1:25" x14ac:dyDescent="0.25">
      <c r="A3">
        <v>9.7654439813010807E-4</v>
      </c>
      <c r="B3">
        <v>-0.24938344722613692</v>
      </c>
      <c r="D3">
        <v>3.3557858881172464E-3</v>
      </c>
      <c r="E3">
        <v>-6.8866818344304193</v>
      </c>
      <c r="F3" s="53" t="s">
        <v>55</v>
      </c>
      <c r="G3">
        <v>0.94407969392186375</v>
      </c>
      <c r="H3">
        <v>9.9830411295785986</v>
      </c>
      <c r="J3">
        <v>20</v>
      </c>
      <c r="K3">
        <v>0.32908064895309508</v>
      </c>
      <c r="L3">
        <v>14.375258633456044</v>
      </c>
      <c r="M3">
        <v>10</v>
      </c>
      <c r="N3">
        <v>2.6477111953226995</v>
      </c>
      <c r="O3">
        <v>42.574821805997132</v>
      </c>
      <c r="P3" s="1">
        <f t="shared" si="0"/>
        <v>2.0339314442661847</v>
      </c>
      <c r="Q3" s="1">
        <f t="shared" si="1"/>
        <v>0.30508971663992768</v>
      </c>
      <c r="R3" s="1">
        <f t="shared" si="2"/>
        <v>0.5523492705163352</v>
      </c>
      <c r="S3" s="1">
        <f t="shared" si="3"/>
        <v>-4.1977615797376764</v>
      </c>
      <c r="T3" s="56">
        <f t="shared" si="4"/>
        <v>1.2337247307772785E-4</v>
      </c>
      <c r="V3" s="57" t="s">
        <v>101</v>
      </c>
      <c r="W3" s="58">
        <v>34</v>
      </c>
    </row>
    <row r="4" spans="1:25" x14ac:dyDescent="0.25">
      <c r="A4">
        <v>2.880093667339878E-3</v>
      </c>
      <c r="B4">
        <v>-0.53391204346553423</v>
      </c>
      <c r="D4">
        <v>3.4957932122307023E-3</v>
      </c>
      <c r="E4">
        <v>1.6544693119158183</v>
      </c>
      <c r="J4">
        <v>20</v>
      </c>
      <c r="K4">
        <v>0.16835178939800244</v>
      </c>
      <c r="L4">
        <v>19.237034853237223</v>
      </c>
      <c r="M4">
        <v>10</v>
      </c>
      <c r="N4">
        <v>1.861631513975226</v>
      </c>
      <c r="O4">
        <v>16.067368251635692</v>
      </c>
      <c r="P4" s="1">
        <f t="shared" si="0"/>
        <v>1.2608715394597472</v>
      </c>
      <c r="Q4" s="1">
        <f t="shared" si="1"/>
        <v>0.18913073091896207</v>
      </c>
      <c r="R4" s="1">
        <f t="shared" si="2"/>
        <v>0.43489163123583108</v>
      </c>
      <c r="S4" s="1">
        <f t="shared" si="3"/>
        <v>-3.8935670474169215</v>
      </c>
      <c r="T4" s="56">
        <f t="shared" si="4"/>
        <v>2.7929118547394993E-4</v>
      </c>
      <c r="V4" s="57" t="s">
        <v>102</v>
      </c>
      <c r="W4" s="58">
        <v>37</v>
      </c>
    </row>
    <row r="5" spans="1:25" x14ac:dyDescent="0.25">
      <c r="A5">
        <v>3.301407946866064E-3</v>
      </c>
      <c r="B5">
        <v>3.3014657674357295E-2</v>
      </c>
      <c r="D5">
        <v>4.2905689883293574E-3</v>
      </c>
      <c r="E5">
        <v>6.9665413741404336</v>
      </c>
      <c r="J5">
        <v>20</v>
      </c>
      <c r="K5">
        <v>-0.40900789599618292</v>
      </c>
      <c r="L5">
        <v>21.69978603563964</v>
      </c>
      <c r="M5">
        <v>10</v>
      </c>
      <c r="N5">
        <v>1.9173601197053358</v>
      </c>
      <c r="O5">
        <v>45.554844518858083</v>
      </c>
      <c r="P5" s="1">
        <f t="shared" si="0"/>
        <v>2.4019510912320614</v>
      </c>
      <c r="Q5" s="1">
        <f t="shared" si="1"/>
        <v>0.36029266368480922</v>
      </c>
      <c r="R5" s="1">
        <f t="shared" si="2"/>
        <v>0.600243836856997</v>
      </c>
      <c r="S5" s="1">
        <f t="shared" si="3"/>
        <v>-3.8757049599757174</v>
      </c>
      <c r="T5" s="56">
        <f t="shared" si="4"/>
        <v>2.9291435172212047E-4</v>
      </c>
      <c r="V5" s="57" t="s">
        <v>103</v>
      </c>
      <c r="W5" s="58">
        <v>29</v>
      </c>
    </row>
    <row r="6" spans="1:25" x14ac:dyDescent="0.25">
      <c r="A6">
        <v>5.090622846264381E-3</v>
      </c>
      <c r="B6">
        <v>0.3589582320273621</v>
      </c>
      <c r="D6">
        <v>5.6980425868222717E-3</v>
      </c>
      <c r="E6">
        <v>3.2375289686115138</v>
      </c>
      <c r="J6">
        <v>20</v>
      </c>
      <c r="K6">
        <v>-0.14663282854598947</v>
      </c>
      <c r="L6">
        <v>14.819845059357021</v>
      </c>
      <c r="M6">
        <v>10</v>
      </c>
      <c r="N6">
        <v>1.7559907485065196</v>
      </c>
      <c r="O6">
        <v>35.185489671989927</v>
      </c>
      <c r="P6" s="1">
        <f t="shared" si="0"/>
        <v>1.7859048118338197</v>
      </c>
      <c r="Q6" s="1">
        <f t="shared" si="1"/>
        <v>0.26788572177507292</v>
      </c>
      <c r="R6" s="1">
        <f t="shared" si="2"/>
        <v>0.51757677862813056</v>
      </c>
      <c r="S6" s="1">
        <f t="shared" si="3"/>
        <v>-3.6760219075042957</v>
      </c>
      <c r="T6" s="56">
        <f t="shared" si="4"/>
        <v>4.9722202241088875E-4</v>
      </c>
      <c r="V6" s="57" t="s">
        <v>104</v>
      </c>
      <c r="W6" s="58">
        <v>30</v>
      </c>
    </row>
    <row r="7" spans="1:25" x14ac:dyDescent="0.25">
      <c r="A7">
        <v>5.2871003043675202E-3</v>
      </c>
      <c r="B7">
        <v>0.11527049537107814</v>
      </c>
      <c r="D7">
        <v>7.9552928768538145E-3</v>
      </c>
      <c r="E7">
        <v>1.8991256604294904</v>
      </c>
      <c r="J7">
        <v>20</v>
      </c>
      <c r="K7">
        <v>0.2124007210113632</v>
      </c>
      <c r="L7">
        <v>18.245982138717334</v>
      </c>
      <c r="M7">
        <v>10</v>
      </c>
      <c r="N7">
        <v>2.0114171059049113</v>
      </c>
      <c r="O7">
        <v>27.078808233625026</v>
      </c>
      <c r="P7" s="1">
        <f t="shared" si="0"/>
        <v>1.6187425132979416</v>
      </c>
      <c r="Q7" s="1">
        <f t="shared" si="1"/>
        <v>0.24281137699469124</v>
      </c>
      <c r="R7" s="1">
        <f t="shared" si="2"/>
        <v>0.49275894410420523</v>
      </c>
      <c r="S7" s="1">
        <f t="shared" si="3"/>
        <v>-3.6509055927214273</v>
      </c>
      <c r="T7" s="56">
        <f t="shared" si="4"/>
        <v>5.3119703131969517E-4</v>
      </c>
      <c r="V7" s="57" t="s">
        <v>105</v>
      </c>
      <c r="W7" s="58">
        <v>23</v>
      </c>
    </row>
    <row r="8" spans="1:25" x14ac:dyDescent="0.25">
      <c r="A8">
        <v>5.6956366738032393E-3</v>
      </c>
      <c r="B8">
        <v>-1.545367922517471</v>
      </c>
      <c r="D8">
        <v>7.9996115937134293E-3</v>
      </c>
      <c r="E8">
        <v>2.2718297680057731</v>
      </c>
      <c r="J8">
        <v>20</v>
      </c>
      <c r="K8">
        <v>-5.8893249388347613E-2</v>
      </c>
      <c r="L8">
        <v>15.912759856984588</v>
      </c>
      <c r="M8">
        <v>10</v>
      </c>
      <c r="N8">
        <v>1.8439666257563658</v>
      </c>
      <c r="O8">
        <v>35.584319606057413</v>
      </c>
      <c r="P8" s="1">
        <f t="shared" si="0"/>
        <v>1.839181409394357</v>
      </c>
      <c r="Q8" s="1">
        <f t="shared" si="1"/>
        <v>0.27587721140915356</v>
      </c>
      <c r="R8" s="1">
        <f t="shared" si="2"/>
        <v>0.5252401464179538</v>
      </c>
      <c r="S8" s="1">
        <f t="shared" si="3"/>
        <v>-3.6228378354584772</v>
      </c>
      <c r="T8" s="56">
        <f t="shared" si="4"/>
        <v>5.7184249347969356E-4</v>
      </c>
      <c r="V8" s="57" t="s">
        <v>106</v>
      </c>
      <c r="W8" s="58">
        <v>23</v>
      </c>
    </row>
    <row r="9" spans="1:25" x14ac:dyDescent="0.25">
      <c r="A9">
        <v>7.7211411318570677E-3</v>
      </c>
      <c r="B9">
        <v>-5.8593059293343686E-2</v>
      </c>
      <c r="D9">
        <v>9.3525872636481822E-3</v>
      </c>
      <c r="E9">
        <v>-2.1654766476331133</v>
      </c>
      <c r="J9">
        <v>20</v>
      </c>
      <c r="K9">
        <v>-3.0494277325487928E-2</v>
      </c>
      <c r="L9">
        <v>11.488594131589357</v>
      </c>
      <c r="M9">
        <v>10</v>
      </c>
      <c r="N9">
        <v>1.6122849012845109</v>
      </c>
      <c r="O9">
        <v>27.204171327475922</v>
      </c>
      <c r="P9" s="1">
        <f t="shared" si="0"/>
        <v>1.3818844806809027</v>
      </c>
      <c r="Q9" s="1">
        <f t="shared" si="1"/>
        <v>0.20728267210213541</v>
      </c>
      <c r="R9" s="1">
        <f t="shared" si="2"/>
        <v>0.45528306810393843</v>
      </c>
      <c r="S9" s="1">
        <f t="shared" si="3"/>
        <v>-3.6082588914441289</v>
      </c>
      <c r="T9" s="56">
        <f t="shared" si="4"/>
        <v>5.9413356213994424E-4</v>
      </c>
      <c r="V9" s="57" t="s">
        <v>107</v>
      </c>
      <c r="W9" s="58">
        <v>20</v>
      </c>
    </row>
    <row r="10" spans="1:25" x14ac:dyDescent="0.25">
      <c r="A10">
        <v>1.0196520738624204E-2</v>
      </c>
      <c r="B10">
        <v>0.36606593312171753</v>
      </c>
      <c r="D10">
        <v>9.6978102653119125E-3</v>
      </c>
      <c r="E10">
        <v>2.6090704034231749</v>
      </c>
      <c r="J10">
        <v>20</v>
      </c>
      <c r="K10">
        <v>0.36456214047575486</v>
      </c>
      <c r="L10">
        <v>22.23505892914007</v>
      </c>
      <c r="M10">
        <v>10</v>
      </c>
      <c r="N10">
        <v>2.8283238827953028</v>
      </c>
      <c r="O10">
        <v>67.494823828902213</v>
      </c>
      <c r="P10" s="1">
        <f t="shared" si="0"/>
        <v>3.2046386699300813</v>
      </c>
      <c r="Q10" s="1">
        <f t="shared" si="1"/>
        <v>0.48069580048951216</v>
      </c>
      <c r="R10" s="1">
        <f t="shared" si="2"/>
        <v>0.69332229193176254</v>
      </c>
      <c r="S10" s="1">
        <f t="shared" si="3"/>
        <v>-3.5535591037393526</v>
      </c>
      <c r="T10" s="56">
        <f t="shared" si="4"/>
        <v>6.8555310632844701E-4</v>
      </c>
      <c r="V10" s="57" t="s">
        <v>108</v>
      </c>
      <c r="W10" s="58">
        <v>18</v>
      </c>
    </row>
    <row r="11" spans="1:25" x14ac:dyDescent="0.25">
      <c r="A11">
        <v>1.0700310314681882E-2</v>
      </c>
      <c r="B11">
        <v>0.31490912988374475</v>
      </c>
      <c r="D11">
        <v>1.0017070661513583E-2</v>
      </c>
      <c r="E11">
        <v>3.2032660294589732</v>
      </c>
      <c r="J11">
        <v>20</v>
      </c>
      <c r="K11">
        <v>8.2070584994653473E-2</v>
      </c>
      <c r="L11">
        <v>18.451629565123213</v>
      </c>
      <c r="M11">
        <v>10</v>
      </c>
      <c r="N11">
        <v>2.059459230849825</v>
      </c>
      <c r="O11">
        <v>40.503152326054327</v>
      </c>
      <c r="P11" s="1">
        <f t="shared" si="0"/>
        <v>2.1055279246849121</v>
      </c>
      <c r="Q11" s="1">
        <f t="shared" si="1"/>
        <v>0.3158291887027368</v>
      </c>
      <c r="R11" s="1">
        <f t="shared" si="2"/>
        <v>0.56198682253477861</v>
      </c>
      <c r="S11" s="1">
        <f t="shared" si="3"/>
        <v>-3.5185676364018317</v>
      </c>
      <c r="T11" s="56">
        <f t="shared" si="4"/>
        <v>7.5105333617863116E-4</v>
      </c>
      <c r="V11" s="57" t="s">
        <v>109</v>
      </c>
      <c r="W11" s="58">
        <v>23</v>
      </c>
      <c r="Y11" s="53" t="s">
        <v>110</v>
      </c>
    </row>
    <row r="12" spans="1:25" hidden="1" x14ac:dyDescent="0.25">
      <c r="A12">
        <v>1.0722937039983504E-2</v>
      </c>
      <c r="B12">
        <v>0.62356320995604619</v>
      </c>
      <c r="D12">
        <v>1.1596861769600064E-2</v>
      </c>
      <c r="E12">
        <v>-0.90903700197486614</v>
      </c>
      <c r="J12">
        <v>20</v>
      </c>
      <c r="K12">
        <v>2.6951454401569208E-2</v>
      </c>
      <c r="L12">
        <v>19.623806484508535</v>
      </c>
      <c r="M12">
        <v>10</v>
      </c>
      <c r="N12">
        <v>1.8342607256727206</v>
      </c>
      <c r="O12">
        <v>30.908546342636125</v>
      </c>
      <c r="P12" s="1">
        <f t="shared" si="0"/>
        <v>1.804726886683738</v>
      </c>
      <c r="Q12" s="1">
        <f t="shared" si="1"/>
        <v>0.27070903300256072</v>
      </c>
      <c r="R12" s="1">
        <f t="shared" si="2"/>
        <v>0.52029706226593353</v>
      </c>
      <c r="S12" s="1">
        <f t="shared" si="3"/>
        <v>-3.4736103705836454</v>
      </c>
      <c r="T12" s="56">
        <f t="shared" si="4"/>
        <v>8.4416917847587815E-4</v>
      </c>
      <c r="V12" s="57" t="s">
        <v>111</v>
      </c>
      <c r="W12" s="58">
        <v>26</v>
      </c>
      <c r="Y12" s="53"/>
    </row>
    <row r="13" spans="1:25" hidden="1" x14ac:dyDescent="0.25">
      <c r="A13">
        <v>1.3260633591309134E-2</v>
      </c>
      <c r="B13">
        <v>-0.29575403459602967</v>
      </c>
      <c r="D13">
        <v>1.1680465888841529E-2</v>
      </c>
      <c r="E13">
        <v>-1.3791070648494497</v>
      </c>
      <c r="J13">
        <v>20</v>
      </c>
      <c r="K13">
        <v>0.42705454461611225</v>
      </c>
      <c r="L13">
        <v>14.826234951991374</v>
      </c>
      <c r="M13">
        <v>10</v>
      </c>
      <c r="N13">
        <v>2.7935285481817118</v>
      </c>
      <c r="O13">
        <v>73.46542697727854</v>
      </c>
      <c r="P13" s="1">
        <f t="shared" si="0"/>
        <v>3.1532736403310682</v>
      </c>
      <c r="Q13" s="1">
        <f t="shared" si="1"/>
        <v>0.47299104604966019</v>
      </c>
      <c r="R13" s="1">
        <f t="shared" si="2"/>
        <v>0.68774344493398132</v>
      </c>
      <c r="S13" s="1">
        <f t="shared" si="3"/>
        <v>-3.4409255675170627</v>
      </c>
      <c r="T13" s="56">
        <f t="shared" si="4"/>
        <v>9.187912757411096E-4</v>
      </c>
      <c r="V13" s="57" t="s">
        <v>112</v>
      </c>
      <c r="W13" s="58">
        <v>22</v>
      </c>
      <c r="Y13" s="53"/>
    </row>
    <row r="14" spans="1:25" hidden="1" x14ac:dyDescent="0.25">
      <c r="A14">
        <v>1.488318806630895E-2</v>
      </c>
      <c r="B14">
        <v>0.69896714194328524</v>
      </c>
      <c r="D14">
        <v>1.2054262187263798E-2</v>
      </c>
      <c r="E14">
        <v>-5.6008291301168356</v>
      </c>
      <c r="J14">
        <v>20</v>
      </c>
      <c r="K14">
        <v>2.1320659016055288E-2</v>
      </c>
      <c r="L14">
        <v>14.212035713324113</v>
      </c>
      <c r="M14">
        <v>10</v>
      </c>
      <c r="N14">
        <v>1.6324466935202508</v>
      </c>
      <c r="O14">
        <v>26.748936630673228</v>
      </c>
      <c r="P14" s="1">
        <f t="shared" si="0"/>
        <v>1.4628918694284765</v>
      </c>
      <c r="Q14" s="1">
        <f t="shared" si="1"/>
        <v>0.21943378041427147</v>
      </c>
      <c r="R14" s="1">
        <f t="shared" si="2"/>
        <v>0.46843759500521676</v>
      </c>
      <c r="S14" s="1">
        <f t="shared" si="3"/>
        <v>-3.4393610839161046</v>
      </c>
      <c r="T14" s="56">
        <f t="shared" si="4"/>
        <v>9.2251880888047561E-4</v>
      </c>
      <c r="V14" s="57" t="s">
        <v>113</v>
      </c>
      <c r="W14" s="58">
        <v>21</v>
      </c>
      <c r="Y14" s="53"/>
    </row>
    <row r="15" spans="1:25" hidden="1" x14ac:dyDescent="0.25">
      <c r="A15">
        <v>1.5188392492728742E-2</v>
      </c>
      <c r="B15">
        <v>0.1141916072811</v>
      </c>
      <c r="D15">
        <v>1.2113106549329178E-2</v>
      </c>
      <c r="E15">
        <v>0.49575032448956335</v>
      </c>
      <c r="J15">
        <v>20</v>
      </c>
      <c r="K15">
        <v>-0.49307607241644291</v>
      </c>
      <c r="L15">
        <v>11.677787237718476</v>
      </c>
      <c r="M15">
        <v>10</v>
      </c>
      <c r="N15">
        <v>2.2685225042096135</v>
      </c>
      <c r="O15">
        <v>110.14354406660681</v>
      </c>
      <c r="P15" s="1">
        <f t="shared" si="0"/>
        <v>4.3507618322973318</v>
      </c>
      <c r="Q15" s="1">
        <f t="shared" si="1"/>
        <v>0.65261427484459977</v>
      </c>
      <c r="R15" s="1">
        <f t="shared" si="2"/>
        <v>0.80784545232649529</v>
      </c>
      <c r="S15" s="1">
        <f t="shared" si="3"/>
        <v>-3.4184738784788515</v>
      </c>
      <c r="T15" s="56">
        <f t="shared" si="4"/>
        <v>9.7370815113304976E-4</v>
      </c>
      <c r="V15" s="57" t="s">
        <v>114</v>
      </c>
      <c r="W15" s="58">
        <v>23</v>
      </c>
      <c r="Y15" s="53"/>
    </row>
    <row r="16" spans="1:25" hidden="1" x14ac:dyDescent="0.25">
      <c r="A16">
        <v>1.743912599161912E-2</v>
      </c>
      <c r="B16">
        <v>-1.7755428416421637</v>
      </c>
      <c r="D16">
        <v>1.2166221082156703E-2</v>
      </c>
      <c r="E16">
        <v>-4.2889954556812881E-2</v>
      </c>
      <c r="J16">
        <v>20</v>
      </c>
      <c r="K16">
        <v>0.14693375760543859</v>
      </c>
      <c r="L16">
        <v>9.1140432272966905</v>
      </c>
      <c r="M16">
        <v>10</v>
      </c>
      <c r="N16">
        <v>2.1189821347888937</v>
      </c>
      <c r="O16">
        <v>57.508833820472518</v>
      </c>
      <c r="P16" s="1">
        <f t="shared" si="0"/>
        <v>2.3793884659917572</v>
      </c>
      <c r="Q16" s="1">
        <f t="shared" si="1"/>
        <v>0.35690826989876356</v>
      </c>
      <c r="R16" s="1">
        <f t="shared" si="2"/>
        <v>0.59741800265707057</v>
      </c>
      <c r="S16" s="1">
        <f t="shared" si="3"/>
        <v>-3.300952379092347</v>
      </c>
      <c r="T16" s="56">
        <f t="shared" si="4"/>
        <v>1.3170153434254447E-3</v>
      </c>
      <c r="V16" s="57" t="s">
        <v>115</v>
      </c>
      <c r="W16" s="58">
        <v>26</v>
      </c>
      <c r="Y16" s="53"/>
    </row>
    <row r="17" spans="1:25" hidden="1" x14ac:dyDescent="0.25">
      <c r="A17">
        <v>1.9209433028743228E-2</v>
      </c>
      <c r="B17">
        <v>-0.33191781767527573</v>
      </c>
      <c r="D17">
        <v>1.228021249793354E-2</v>
      </c>
      <c r="E17">
        <v>-1.0390526801984379</v>
      </c>
      <c r="J17">
        <v>20</v>
      </c>
      <c r="K17">
        <v>-0.35212298143960652</v>
      </c>
      <c r="L17">
        <v>19.558525583483501</v>
      </c>
      <c r="M17">
        <v>10</v>
      </c>
      <c r="N17">
        <v>2.3944256747654435</v>
      </c>
      <c r="O17">
        <v>115.65090384644414</v>
      </c>
      <c r="P17" s="1">
        <f t="shared" si="0"/>
        <v>4.8289081939259875</v>
      </c>
      <c r="Q17" s="1">
        <f t="shared" si="1"/>
        <v>0.72433622908889805</v>
      </c>
      <c r="R17" s="1">
        <f t="shared" si="2"/>
        <v>0.85107944934001201</v>
      </c>
      <c r="S17" s="1">
        <f t="shared" si="3"/>
        <v>-3.2271354435063855</v>
      </c>
      <c r="T17" s="56">
        <f t="shared" si="4"/>
        <v>1.5894247027487052E-3</v>
      </c>
      <c r="V17" s="57" t="s">
        <v>116</v>
      </c>
      <c r="W17" s="58">
        <v>18</v>
      </c>
      <c r="Y17" s="53"/>
    </row>
    <row r="18" spans="1:25" hidden="1" x14ac:dyDescent="0.25">
      <c r="A18">
        <v>1.9664160775219708E-2</v>
      </c>
      <c r="B18">
        <v>-0.48978336053551175</v>
      </c>
      <c r="D18">
        <v>1.4264446230646932E-2</v>
      </c>
      <c r="E18">
        <v>-0.10646022360560892</v>
      </c>
      <c r="J18">
        <v>20</v>
      </c>
      <c r="K18">
        <v>-0.33180947411892703</v>
      </c>
      <c r="L18">
        <v>12.453019575026506</v>
      </c>
      <c r="M18">
        <v>10</v>
      </c>
      <c r="N18">
        <v>1.8826364077995095</v>
      </c>
      <c r="O18">
        <v>75.467855086773554</v>
      </c>
      <c r="P18" s="1">
        <f t="shared" si="0"/>
        <v>3.1400312379214306</v>
      </c>
      <c r="Q18" s="1">
        <f t="shared" si="1"/>
        <v>0.47100468568821457</v>
      </c>
      <c r="R18" s="1">
        <f t="shared" si="2"/>
        <v>0.68629781122207767</v>
      </c>
      <c r="S18" s="1">
        <f t="shared" si="3"/>
        <v>-3.2266544431712729</v>
      </c>
      <c r="T18" s="56">
        <f t="shared" si="4"/>
        <v>1.5913658579775568E-3</v>
      </c>
      <c r="V18" s="57" t="s">
        <v>117</v>
      </c>
      <c r="W18" s="58">
        <v>25</v>
      </c>
      <c r="Y18" s="53"/>
    </row>
    <row r="19" spans="1:25" hidden="1" x14ac:dyDescent="0.25">
      <c r="A19">
        <v>1.9992694267722322E-2</v>
      </c>
      <c r="B19">
        <v>0.37106019590282813</v>
      </c>
      <c r="D19">
        <v>1.5330912531161811E-2</v>
      </c>
      <c r="E19">
        <v>-0.13354724956116115</v>
      </c>
      <c r="J19">
        <v>20</v>
      </c>
      <c r="K19">
        <v>-9.3953076429897919E-2</v>
      </c>
      <c r="L19">
        <v>9.8367576185915606</v>
      </c>
      <c r="M19">
        <v>10</v>
      </c>
      <c r="N19">
        <v>1.2675402524564561</v>
      </c>
      <c r="O19">
        <v>23.593630972260915</v>
      </c>
      <c r="P19" s="1">
        <f t="shared" si="0"/>
        <v>1.1939424496733027</v>
      </c>
      <c r="Q19" s="1">
        <f t="shared" si="1"/>
        <v>0.17909136745099538</v>
      </c>
      <c r="R19" s="1">
        <f t="shared" si="2"/>
        <v>0.42319188018084114</v>
      </c>
      <c r="S19" s="1">
        <f t="shared" si="3"/>
        <v>-3.2172009734793394</v>
      </c>
      <c r="T19" s="56">
        <f t="shared" si="4"/>
        <v>1.629981980460254E-3</v>
      </c>
      <c r="V19" s="57" t="s">
        <v>118</v>
      </c>
      <c r="W19" s="58">
        <v>11</v>
      </c>
      <c r="Y19" s="53"/>
    </row>
    <row r="20" spans="1:25" hidden="1" x14ac:dyDescent="0.25">
      <c r="A20">
        <v>2.3181442454265899E-2</v>
      </c>
      <c r="B20">
        <v>-0.90265302787884139</v>
      </c>
      <c r="D20">
        <v>1.5470703765645855E-2</v>
      </c>
      <c r="E20">
        <v>-2.3711224946509901</v>
      </c>
      <c r="J20">
        <v>20</v>
      </c>
      <c r="K20">
        <v>-0.48035815325420117</v>
      </c>
      <c r="L20">
        <v>12.145421174183006</v>
      </c>
      <c r="M20">
        <v>10</v>
      </c>
      <c r="N20">
        <v>1.9895759317023476</v>
      </c>
      <c r="O20">
        <v>100.46704316220452</v>
      </c>
      <c r="P20" s="1">
        <f t="shared" si="0"/>
        <v>4.0218737262995541</v>
      </c>
      <c r="Q20" s="1">
        <f t="shared" si="1"/>
        <v>0.60328105894493311</v>
      </c>
      <c r="R20" s="1">
        <f t="shared" si="2"/>
        <v>0.77671169615561542</v>
      </c>
      <c r="S20" s="1">
        <f t="shared" si="3"/>
        <v>-3.1799882725876882</v>
      </c>
      <c r="T20" s="56">
        <f t="shared" si="4"/>
        <v>1.7909080071601105E-3</v>
      </c>
      <c r="V20" s="57" t="s">
        <v>119</v>
      </c>
      <c r="W20" s="58">
        <v>14</v>
      </c>
      <c r="Y20" s="53"/>
    </row>
    <row r="21" spans="1:25" hidden="1" x14ac:dyDescent="0.25">
      <c r="A21">
        <v>2.4306421110964593E-2</v>
      </c>
      <c r="B21">
        <v>0.11095835361629725</v>
      </c>
      <c r="D21">
        <v>1.6974862412237002E-2</v>
      </c>
      <c r="E21">
        <v>1.5503026099850103</v>
      </c>
      <c r="J21">
        <v>20</v>
      </c>
      <c r="K21">
        <v>-4.9457185014034621E-3</v>
      </c>
      <c r="L21">
        <v>12.291563249340021</v>
      </c>
      <c r="M21">
        <v>10</v>
      </c>
      <c r="N21">
        <v>1.8700731027365691</v>
      </c>
      <c r="O21">
        <v>57.938665121881627</v>
      </c>
      <c r="P21" s="1">
        <f t="shared" si="0"/>
        <v>2.5082224418293442</v>
      </c>
      <c r="Q21" s="1">
        <f t="shared" si="1"/>
        <v>0.37623336627440163</v>
      </c>
      <c r="R21" s="1">
        <f t="shared" si="2"/>
        <v>0.6133786483685274</v>
      </c>
      <c r="S21" s="1">
        <f t="shared" si="3"/>
        <v>-3.0568700528216497</v>
      </c>
      <c r="T21" s="56">
        <f t="shared" si="4"/>
        <v>2.4388889298403663E-3</v>
      </c>
      <c r="V21" s="57" t="s">
        <v>120</v>
      </c>
      <c r="W21" s="58">
        <v>20</v>
      </c>
      <c r="Y21" s="53"/>
    </row>
    <row r="22" spans="1:25" hidden="1" x14ac:dyDescent="0.25">
      <c r="A22">
        <v>2.4429897914782228E-2</v>
      </c>
      <c r="B22">
        <v>0.42338115235907026</v>
      </c>
      <c r="D22">
        <v>2.1031384146708021E-2</v>
      </c>
      <c r="E22">
        <v>2.701825220583487</v>
      </c>
      <c r="J22">
        <v>20</v>
      </c>
      <c r="K22">
        <v>-0.52467981959125609</v>
      </c>
      <c r="L22">
        <v>20.749709137066567</v>
      </c>
      <c r="M22">
        <v>10</v>
      </c>
      <c r="N22">
        <v>1.1388069617623842</v>
      </c>
      <c r="O22">
        <v>35.590839348101021</v>
      </c>
      <c r="P22" s="1">
        <f t="shared" si="0"/>
        <v>2.0121624458988423</v>
      </c>
      <c r="Q22" s="1">
        <f t="shared" si="1"/>
        <v>0.30182436688482633</v>
      </c>
      <c r="R22" s="1">
        <f t="shared" si="2"/>
        <v>0.54938544473331863</v>
      </c>
      <c r="S22" s="1">
        <f t="shared" si="3"/>
        <v>-3.0279047202663443</v>
      </c>
      <c r="T22" s="56">
        <f t="shared" si="4"/>
        <v>2.621033702814364E-3</v>
      </c>
      <c r="V22" s="57" t="s">
        <v>121</v>
      </c>
      <c r="W22" s="58">
        <v>14</v>
      </c>
      <c r="Y22" s="53"/>
    </row>
    <row r="23" spans="1:25" hidden="1" x14ac:dyDescent="0.25">
      <c r="A23">
        <v>2.5353210426917183E-2</v>
      </c>
      <c r="B23">
        <v>1.7822458175942302</v>
      </c>
      <c r="D23">
        <v>2.124158459345038E-2</v>
      </c>
      <c r="E23">
        <v>-1.8475536796813685</v>
      </c>
      <c r="J23">
        <v>20</v>
      </c>
      <c r="K23">
        <v>-0.15431578503921628</v>
      </c>
      <c r="L23">
        <v>21.301045721893466</v>
      </c>
      <c r="M23">
        <v>10</v>
      </c>
      <c r="N23">
        <v>2.3095326434940944</v>
      </c>
      <c r="O23">
        <v>106.50438175742399</v>
      </c>
      <c r="P23" s="1">
        <f t="shared" si="0"/>
        <v>4.5644795528327657</v>
      </c>
      <c r="Q23" s="1">
        <f t="shared" si="1"/>
        <v>0.68467193292491479</v>
      </c>
      <c r="R23" s="1">
        <f t="shared" si="2"/>
        <v>0.82744905155841153</v>
      </c>
      <c r="S23" s="1">
        <f t="shared" si="3"/>
        <v>-2.9776436674776732</v>
      </c>
      <c r="T23" s="56">
        <f t="shared" si="4"/>
        <v>2.968195754961986E-3</v>
      </c>
      <c r="V23" s="57" t="s">
        <v>122</v>
      </c>
      <c r="W23" s="58">
        <v>19</v>
      </c>
      <c r="Y23" s="53"/>
    </row>
    <row r="24" spans="1:25" hidden="1" x14ac:dyDescent="0.25">
      <c r="A24">
        <v>2.625061476829138E-2</v>
      </c>
      <c r="B24">
        <v>0.87102534962468781</v>
      </c>
      <c r="D24">
        <v>2.1672724951584454E-2</v>
      </c>
      <c r="E24">
        <v>-5.4911713539240736</v>
      </c>
      <c r="J24">
        <v>20</v>
      </c>
      <c r="K24">
        <v>-0.32521859338885406</v>
      </c>
      <c r="L24">
        <v>18.678985306723494</v>
      </c>
      <c r="M24">
        <v>10</v>
      </c>
      <c r="N24">
        <v>1.2650621067678003</v>
      </c>
      <c r="O24">
        <v>34.570543534256601</v>
      </c>
      <c r="P24" s="1">
        <f t="shared" si="0"/>
        <v>1.9017688871778604</v>
      </c>
      <c r="Q24" s="1">
        <f t="shared" si="1"/>
        <v>0.28526533307667906</v>
      </c>
      <c r="R24" s="1">
        <f t="shared" si="2"/>
        <v>0.53410236198380467</v>
      </c>
      <c r="S24" s="1">
        <f t="shared" si="3"/>
        <v>-2.9774829945516617</v>
      </c>
      <c r="T24" s="56">
        <f t="shared" si="4"/>
        <v>2.9693725750306993E-3</v>
      </c>
      <c r="V24" s="57" t="s">
        <v>123</v>
      </c>
      <c r="W24" s="58">
        <v>18</v>
      </c>
      <c r="Y24" s="53"/>
    </row>
    <row r="25" spans="1:25" hidden="1" x14ac:dyDescent="0.25">
      <c r="A25">
        <v>2.6649816902454604E-2</v>
      </c>
      <c r="B25">
        <v>-0.52968289310229011</v>
      </c>
      <c r="D25">
        <v>2.2998321626145346E-2</v>
      </c>
      <c r="E25">
        <v>10.626529953015051</v>
      </c>
      <c r="J25">
        <v>20</v>
      </c>
      <c r="K25">
        <v>-2.0954530555172823E-2</v>
      </c>
      <c r="L25">
        <v>18.132316721536554</v>
      </c>
      <c r="M25">
        <v>10</v>
      </c>
      <c r="N25">
        <v>1.7466658130160795</v>
      </c>
      <c r="O25">
        <v>49.158478118808937</v>
      </c>
      <c r="P25" s="1">
        <f t="shared" si="0"/>
        <v>2.4032426728694816</v>
      </c>
      <c r="Q25" s="1">
        <f t="shared" si="1"/>
        <v>0.36048640093042222</v>
      </c>
      <c r="R25" s="1">
        <f t="shared" si="2"/>
        <v>0.60040519728798336</v>
      </c>
      <c r="S25" s="1">
        <f t="shared" si="3"/>
        <v>-2.9440457070584221</v>
      </c>
      <c r="T25" s="56">
        <f t="shared" si="4"/>
        <v>3.2241516083193803E-3</v>
      </c>
      <c r="V25" s="57" t="s">
        <v>124</v>
      </c>
      <c r="W25" s="58">
        <v>14</v>
      </c>
      <c r="Y25" s="53"/>
    </row>
    <row r="26" spans="1:25" hidden="1" x14ac:dyDescent="0.25">
      <c r="A26">
        <v>2.6971411421594649E-2</v>
      </c>
      <c r="B26">
        <v>-1.0381427273387089</v>
      </c>
      <c r="D26">
        <v>2.345803104112798E-2</v>
      </c>
      <c r="E26">
        <v>-2.0499867366652325</v>
      </c>
      <c r="J26">
        <v>20</v>
      </c>
      <c r="K26">
        <v>8.2087353803217411E-2</v>
      </c>
      <c r="L26">
        <v>23.188720696188998</v>
      </c>
      <c r="M26">
        <v>10</v>
      </c>
      <c r="N26">
        <v>2.3418164084887394</v>
      </c>
      <c r="O26">
        <v>87.218426714764519</v>
      </c>
      <c r="P26" s="1">
        <f t="shared" si="0"/>
        <v>3.9431124075340542</v>
      </c>
      <c r="Q26" s="1">
        <f t="shared" si="1"/>
        <v>0.59146686113010816</v>
      </c>
      <c r="R26" s="1">
        <f t="shared" si="2"/>
        <v>0.76906882730358284</v>
      </c>
      <c r="S26" s="1">
        <f t="shared" si="3"/>
        <v>-2.9382663481606892</v>
      </c>
      <c r="T26" s="56">
        <f t="shared" si="4"/>
        <v>3.2702373080928751E-3</v>
      </c>
      <c r="V26" s="57" t="s">
        <v>125</v>
      </c>
      <c r="W26" s="58">
        <v>18</v>
      </c>
      <c r="Y26" s="53"/>
    </row>
    <row r="27" spans="1:25" hidden="1" x14ac:dyDescent="0.25">
      <c r="A27">
        <v>2.7882713030334627E-2</v>
      </c>
      <c r="B27">
        <v>-0.76456217357190326</v>
      </c>
      <c r="D27">
        <v>2.5601573554740575E-2</v>
      </c>
      <c r="E27">
        <v>7.267984298096053</v>
      </c>
      <c r="J27">
        <v>20</v>
      </c>
      <c r="K27">
        <v>-9.0015703335666331E-2</v>
      </c>
      <c r="L27">
        <v>23.671467419554972</v>
      </c>
      <c r="M27">
        <v>10</v>
      </c>
      <c r="N27">
        <v>2.4152699290880264</v>
      </c>
      <c r="O27">
        <v>116.43821863360652</v>
      </c>
      <c r="P27" s="1">
        <f t="shared" si="0"/>
        <v>5.0039173590414823</v>
      </c>
      <c r="Q27" s="1">
        <f t="shared" si="1"/>
        <v>0.75058760385622236</v>
      </c>
      <c r="R27" s="1">
        <f t="shared" si="2"/>
        <v>0.86636459060618487</v>
      </c>
      <c r="S27" s="1">
        <f t="shared" si="3"/>
        <v>-2.8917220989731063</v>
      </c>
      <c r="T27" s="56">
        <f t="shared" si="4"/>
        <v>3.6648058319585452E-3</v>
      </c>
      <c r="V27" s="57" t="s">
        <v>126</v>
      </c>
      <c r="W27" s="58">
        <v>21</v>
      </c>
      <c r="Y27" s="53"/>
    </row>
    <row r="28" spans="1:25" hidden="1" x14ac:dyDescent="0.25">
      <c r="A28">
        <v>2.8018350132508862E-2</v>
      </c>
      <c r="B28">
        <v>0.75455773185240105</v>
      </c>
      <c r="D28">
        <v>2.6623015575444664E-2</v>
      </c>
      <c r="E28">
        <v>-4.0260913499423623</v>
      </c>
      <c r="J28">
        <v>20</v>
      </c>
      <c r="K28">
        <v>0.34966842576977797</v>
      </c>
      <c r="L28">
        <v>21.939148494032256</v>
      </c>
      <c r="M28">
        <v>10</v>
      </c>
      <c r="N28">
        <v>2.6438442512244364</v>
      </c>
      <c r="O28">
        <v>99.342569700776778</v>
      </c>
      <c r="P28" s="1">
        <f t="shared" si="0"/>
        <v>4.3314899355288938</v>
      </c>
      <c r="Q28" s="1">
        <f t="shared" si="1"/>
        <v>0.64972349032933407</v>
      </c>
      <c r="R28" s="1">
        <f t="shared" si="2"/>
        <v>0.80605427257060924</v>
      </c>
      <c r="S28" s="1">
        <f t="shared" si="3"/>
        <v>-2.8461803423462304</v>
      </c>
      <c r="T28" s="56">
        <f t="shared" si="4"/>
        <v>4.0941168145547172E-3</v>
      </c>
      <c r="V28" s="57" t="s">
        <v>127</v>
      </c>
      <c r="W28" s="58">
        <v>22</v>
      </c>
      <c r="Y28" s="53"/>
    </row>
    <row r="29" spans="1:25" hidden="1" x14ac:dyDescent="0.25">
      <c r="A29">
        <v>3.18768251127175E-2</v>
      </c>
      <c r="B29">
        <v>1.898124537547119</v>
      </c>
      <c r="D29">
        <v>2.8893416052827581E-2</v>
      </c>
      <c r="E29">
        <v>-1.6802021070816409</v>
      </c>
      <c r="J29">
        <v>20</v>
      </c>
      <c r="K29">
        <v>-0.29523539524234366</v>
      </c>
      <c r="L29">
        <v>7.7336695592763558</v>
      </c>
      <c r="M29">
        <v>10</v>
      </c>
      <c r="N29">
        <v>1.461652115040124</v>
      </c>
      <c r="O29">
        <v>64.275140022717451</v>
      </c>
      <c r="P29" s="1">
        <f t="shared" si="0"/>
        <v>2.5717431993569213</v>
      </c>
      <c r="Q29" s="1">
        <f t="shared" si="1"/>
        <v>0.38576147990353821</v>
      </c>
      <c r="R29" s="1">
        <f t="shared" si="2"/>
        <v>0.62109699717800781</v>
      </c>
      <c r="S29" s="1">
        <f t="shared" si="3"/>
        <v>-2.8286845988066172</v>
      </c>
      <c r="T29" s="56">
        <f t="shared" si="4"/>
        <v>4.2713228079788888E-3</v>
      </c>
      <c r="V29" s="57" t="s">
        <v>128</v>
      </c>
      <c r="W29" s="58">
        <v>23</v>
      </c>
      <c r="Y29" s="53"/>
    </row>
    <row r="30" spans="1:25" hidden="1" x14ac:dyDescent="0.25">
      <c r="A30">
        <v>3.2869325383047987E-2</v>
      </c>
      <c r="B30">
        <v>0.56523049352108501</v>
      </c>
      <c r="D30">
        <v>3.0869224071340073E-2</v>
      </c>
      <c r="E30">
        <v>2.2532283276177623</v>
      </c>
      <c r="J30">
        <v>20</v>
      </c>
      <c r="K30">
        <v>0.23387792680296116</v>
      </c>
      <c r="L30">
        <v>24.645979917201178</v>
      </c>
      <c r="M30">
        <v>10</v>
      </c>
      <c r="N30">
        <v>2.1318629671895906</v>
      </c>
      <c r="O30">
        <v>59.682697709185227</v>
      </c>
      <c r="P30" s="1">
        <f t="shared" si="0"/>
        <v>3.0117384866566574</v>
      </c>
      <c r="Q30" s="1">
        <f t="shared" si="1"/>
        <v>0.45176077299849859</v>
      </c>
      <c r="R30" s="1">
        <f t="shared" si="2"/>
        <v>0.67213151465951859</v>
      </c>
      <c r="S30" s="1">
        <f t="shared" si="3"/>
        <v>-2.8238298591728599</v>
      </c>
      <c r="T30" s="56">
        <f t="shared" si="4"/>
        <v>4.3217602572925727E-3</v>
      </c>
      <c r="V30" s="57" t="s">
        <v>129</v>
      </c>
      <c r="W30" s="58">
        <v>18</v>
      </c>
      <c r="Y30" s="53"/>
    </row>
    <row r="31" spans="1:25" hidden="1" x14ac:dyDescent="0.25">
      <c r="A31">
        <v>3.4140645898400268E-2</v>
      </c>
      <c r="B31">
        <v>-0.2249919361929642</v>
      </c>
      <c r="D31">
        <v>3.0959617819700469E-2</v>
      </c>
      <c r="E31">
        <v>1.6677365658779308</v>
      </c>
      <c r="J31">
        <v>20</v>
      </c>
      <c r="K31">
        <v>-0.27232300681134802</v>
      </c>
      <c r="L31">
        <v>15.731020644951574</v>
      </c>
      <c r="M31">
        <v>10</v>
      </c>
      <c r="N31">
        <v>2.0333442273567925</v>
      </c>
      <c r="O31">
        <v>112.64672961808023</v>
      </c>
      <c r="P31" s="1">
        <f t="shared" si="0"/>
        <v>4.584919652251136</v>
      </c>
      <c r="Q31" s="1">
        <f t="shared" si="1"/>
        <v>0.68773794783767039</v>
      </c>
      <c r="R31" s="1">
        <f t="shared" si="2"/>
        <v>0.82929967312044106</v>
      </c>
      <c r="S31" s="1">
        <f t="shared" si="3"/>
        <v>-2.7802582213646709</v>
      </c>
      <c r="T31" s="56">
        <f t="shared" si="4"/>
        <v>4.800216020445891E-3</v>
      </c>
      <c r="V31" s="57" t="s">
        <v>130</v>
      </c>
      <c r="W31" s="58">
        <v>20</v>
      </c>
      <c r="Y31" s="53"/>
    </row>
    <row r="32" spans="1:25" x14ac:dyDescent="0.25">
      <c r="A32">
        <v>3.4503082499428461E-2</v>
      </c>
      <c r="B32">
        <v>0.20549691726046149</v>
      </c>
      <c r="D32">
        <v>3.1502496058675722E-2</v>
      </c>
      <c r="E32">
        <v>1.8502039404211246</v>
      </c>
      <c r="J32">
        <v>20</v>
      </c>
      <c r="K32">
        <v>-0.30198270906112157</v>
      </c>
      <c r="L32">
        <v>32.384368252928653</v>
      </c>
      <c r="M32">
        <v>10</v>
      </c>
      <c r="N32">
        <v>2.0714348886485823</v>
      </c>
      <c r="O32">
        <v>104.02100411984318</v>
      </c>
      <c r="P32" s="1">
        <f t="shared" si="0"/>
        <v>4.8716204418847084</v>
      </c>
      <c r="Q32" s="1">
        <f t="shared" si="1"/>
        <v>0.73074306628270624</v>
      </c>
      <c r="R32" s="1">
        <f t="shared" si="2"/>
        <v>0.85483511058139527</v>
      </c>
      <c r="S32" s="1">
        <f t="shared" si="3"/>
        <v>-2.7764624643172198</v>
      </c>
      <c r="T32" s="56">
        <f t="shared" si="4"/>
        <v>4.8441736374925529E-3</v>
      </c>
      <c r="V32" s="57" t="s">
        <v>131</v>
      </c>
      <c r="W32" s="58">
        <v>18</v>
      </c>
      <c r="Y32" s="53" t="s">
        <v>132</v>
      </c>
    </row>
    <row r="33" spans="1:23" x14ac:dyDescent="0.25">
      <c r="A33">
        <v>3.4543127814985364E-2</v>
      </c>
      <c r="B33">
        <v>-1.2740588317683432</v>
      </c>
      <c r="D33">
        <v>3.1856849165111112E-2</v>
      </c>
      <c r="E33">
        <v>3.1563224604269635</v>
      </c>
      <c r="J33">
        <v>20</v>
      </c>
      <c r="K33">
        <v>0.20792992927454179</v>
      </c>
      <c r="L33">
        <v>19.395865833396865</v>
      </c>
      <c r="M33">
        <v>10</v>
      </c>
      <c r="N33">
        <v>2.0707016085452778</v>
      </c>
      <c r="O33">
        <v>64.908522704972583</v>
      </c>
      <c r="P33" s="1">
        <f t="shared" si="0"/>
        <v>3.0108710192274803</v>
      </c>
      <c r="Q33" s="1">
        <f t="shared" si="1"/>
        <v>0.45163065288412202</v>
      </c>
      <c r="R33" s="1">
        <f t="shared" si="2"/>
        <v>0.67203471107088064</v>
      </c>
      <c r="S33" s="1">
        <f t="shared" si="3"/>
        <v>-2.7718384907565681</v>
      </c>
      <c r="T33" s="56">
        <f t="shared" si="4"/>
        <v>4.8982333894270202E-3</v>
      </c>
      <c r="V33" s="57" t="s">
        <v>133</v>
      </c>
      <c r="W33" s="58">
        <v>17</v>
      </c>
    </row>
    <row r="34" spans="1:23" x14ac:dyDescent="0.25">
      <c r="A34">
        <v>3.5464728588961325E-2</v>
      </c>
      <c r="B34">
        <v>-1.2217333278385922</v>
      </c>
      <c r="D34">
        <v>3.366427845024822E-2</v>
      </c>
      <c r="E34">
        <v>-7.1232414063615579</v>
      </c>
      <c r="J34">
        <v>20</v>
      </c>
      <c r="K34">
        <v>0.17100853710871888</v>
      </c>
      <c r="L34">
        <v>12.952831094599922</v>
      </c>
      <c r="M34">
        <v>10</v>
      </c>
      <c r="N34">
        <v>2.1846560650828906</v>
      </c>
      <c r="O34">
        <v>86.647401083992492</v>
      </c>
      <c r="P34" s="1">
        <f t="shared" si="0"/>
        <v>3.5571511492354437</v>
      </c>
      <c r="Q34" s="1">
        <f t="shared" si="1"/>
        <v>0.53357267238531658</v>
      </c>
      <c r="R34" s="1">
        <f t="shared" si="2"/>
        <v>0.73046058920746471</v>
      </c>
      <c r="S34" s="1">
        <f t="shared" si="3"/>
        <v>-2.7566819589253124</v>
      </c>
      <c r="T34" s="56">
        <f t="shared" si="4"/>
        <v>5.0794285504239438E-3</v>
      </c>
      <c r="V34" s="57" t="s">
        <v>134</v>
      </c>
      <c r="W34" s="58">
        <v>17</v>
      </c>
    </row>
    <row r="35" spans="1:23" x14ac:dyDescent="0.25">
      <c r="A35">
        <v>3.5990798672847379E-2</v>
      </c>
      <c r="B35">
        <v>-0.85492956714006141</v>
      </c>
      <c r="D35">
        <v>3.5448801664618057E-2</v>
      </c>
      <c r="E35">
        <v>1.8569569385817886</v>
      </c>
      <c r="J35">
        <v>20</v>
      </c>
      <c r="K35">
        <v>-0.1569200662743242</v>
      </c>
      <c r="L35">
        <v>16.517086447431748</v>
      </c>
      <c r="M35">
        <v>10</v>
      </c>
      <c r="N35">
        <v>1.9398574943352287</v>
      </c>
      <c r="O35">
        <v>91.612930361656808</v>
      </c>
      <c r="P35" s="1">
        <f t="shared" si="0"/>
        <v>3.8617863146103057</v>
      </c>
      <c r="Q35" s="1">
        <f t="shared" si="1"/>
        <v>0.57926794719154584</v>
      </c>
      <c r="R35" s="1">
        <f t="shared" si="2"/>
        <v>0.76109654262225224</v>
      </c>
      <c r="S35" s="1">
        <f t="shared" si="3"/>
        <v>-2.7549429582026446</v>
      </c>
      <c r="T35" s="56">
        <f t="shared" si="4"/>
        <v>5.1006156894384137E-3</v>
      </c>
      <c r="V35" s="57" t="s">
        <v>135</v>
      </c>
      <c r="W35" s="58">
        <v>19</v>
      </c>
    </row>
    <row r="36" spans="1:23" x14ac:dyDescent="0.25">
      <c r="A36">
        <v>3.7840339169754822E-2</v>
      </c>
      <c r="B36">
        <v>-1.1983502190560102</v>
      </c>
      <c r="D36">
        <v>3.6313752721933601E-2</v>
      </c>
      <c r="E36">
        <v>2.2640672307261411</v>
      </c>
      <c r="J36">
        <v>20</v>
      </c>
      <c r="K36">
        <v>-0.15460636859643273</v>
      </c>
      <c r="L36">
        <v>11.459225221418404</v>
      </c>
      <c r="M36">
        <v>10</v>
      </c>
      <c r="N36">
        <v>1.5877224052474048</v>
      </c>
      <c r="O36">
        <v>66.185582826904025</v>
      </c>
      <c r="P36" s="1">
        <f t="shared" si="0"/>
        <v>2.7730288588686585</v>
      </c>
      <c r="Q36" s="1">
        <f t="shared" si="1"/>
        <v>0.41595432883029876</v>
      </c>
      <c r="R36" s="1">
        <f t="shared" si="2"/>
        <v>0.64494521382075454</v>
      </c>
      <c r="S36" s="1">
        <f t="shared" si="3"/>
        <v>-2.7015143868143685</v>
      </c>
      <c r="T36" s="56">
        <f t="shared" si="4"/>
        <v>5.7934000406841928E-3</v>
      </c>
      <c r="V36" s="57" t="s">
        <v>136</v>
      </c>
      <c r="W36" s="58">
        <v>28</v>
      </c>
    </row>
    <row r="37" spans="1:23" x14ac:dyDescent="0.25">
      <c r="A37">
        <v>3.9537761328389376E-2</v>
      </c>
      <c r="B37">
        <v>-0.45658566705242265</v>
      </c>
      <c r="D37">
        <v>3.653014156554335E-2</v>
      </c>
      <c r="E37">
        <v>-4.1398077462417859</v>
      </c>
      <c r="J37">
        <v>20</v>
      </c>
      <c r="K37">
        <v>0.37107474781805649</v>
      </c>
      <c r="L37">
        <v>9.2481935238592516</v>
      </c>
      <c r="M37">
        <v>10</v>
      </c>
      <c r="N37">
        <v>2.2325211796214717</v>
      </c>
      <c r="O37">
        <v>80.593384287074343</v>
      </c>
      <c r="P37" s="1">
        <f t="shared" si="0"/>
        <v>3.2086277789619144</v>
      </c>
      <c r="Q37" s="1">
        <f t="shared" si="1"/>
        <v>0.48129416684428716</v>
      </c>
      <c r="R37" s="1">
        <f t="shared" si="2"/>
        <v>0.6937536787969395</v>
      </c>
      <c r="S37" s="1">
        <f t="shared" si="3"/>
        <v>-2.683151799686899</v>
      </c>
      <c r="T37" s="56">
        <f t="shared" si="4"/>
        <v>6.0511615967493758E-3</v>
      </c>
      <c r="V37" s="57" t="s">
        <v>137</v>
      </c>
      <c r="W37" s="58">
        <v>29</v>
      </c>
    </row>
    <row r="38" spans="1:23" x14ac:dyDescent="0.25">
      <c r="A38">
        <v>4.1644037318817939E-2</v>
      </c>
      <c r="B38">
        <v>-0.61633272707695141</v>
      </c>
      <c r="D38">
        <v>3.7892134354844842E-2</v>
      </c>
      <c r="E38">
        <v>-1.1009585739429895</v>
      </c>
      <c r="J38">
        <v>20</v>
      </c>
      <c r="K38">
        <v>-0.25500344236206729</v>
      </c>
      <c r="L38">
        <v>16.699688002188545</v>
      </c>
      <c r="M38">
        <v>10</v>
      </c>
      <c r="N38">
        <v>1.6908147665617435</v>
      </c>
      <c r="O38">
        <v>82.452875003968842</v>
      </c>
      <c r="P38" s="1">
        <f t="shared" si="0"/>
        <v>3.5411629645056206</v>
      </c>
      <c r="Q38" s="1">
        <f t="shared" si="1"/>
        <v>0.53117444467584307</v>
      </c>
      <c r="R38" s="1">
        <f t="shared" si="2"/>
        <v>0.72881715448790241</v>
      </c>
      <c r="S38" s="1">
        <f t="shared" si="3"/>
        <v>-2.6698304189766562</v>
      </c>
      <c r="T38" s="56">
        <f t="shared" si="4"/>
        <v>6.2448189068944025E-3</v>
      </c>
      <c r="V38" s="57" t="s">
        <v>138</v>
      </c>
      <c r="W38" s="58">
        <v>23</v>
      </c>
    </row>
    <row r="39" spans="1:23" x14ac:dyDescent="0.25">
      <c r="A39">
        <v>4.2256646888737426E-2</v>
      </c>
      <c r="B39">
        <v>0.30752289603697136</v>
      </c>
      <c r="D39">
        <v>3.8558045352076853E-2</v>
      </c>
      <c r="E39">
        <v>0.51210758670094947</v>
      </c>
      <c r="J39">
        <v>20</v>
      </c>
      <c r="K39">
        <v>0.11297453283987124</v>
      </c>
      <c r="L39">
        <v>15.940120696862705</v>
      </c>
      <c r="M39">
        <v>10</v>
      </c>
      <c r="N39">
        <v>2.015543938114206</v>
      </c>
      <c r="O39">
        <v>80.526835697877189</v>
      </c>
      <c r="P39" s="1">
        <f t="shared" si="0"/>
        <v>3.445248442669282</v>
      </c>
      <c r="Q39" s="1">
        <f t="shared" si="1"/>
        <v>0.5167872664003923</v>
      </c>
      <c r="R39" s="1">
        <f t="shared" si="2"/>
        <v>0.71887917371446519</v>
      </c>
      <c r="S39" s="1">
        <f t="shared" si="3"/>
        <v>-2.6465774428318949</v>
      </c>
      <c r="T39" s="56">
        <f t="shared" si="4"/>
        <v>6.5967735961172964E-3</v>
      </c>
      <c r="V39" s="57" t="s">
        <v>139</v>
      </c>
      <c r="W39" s="58">
        <v>35</v>
      </c>
    </row>
    <row r="40" spans="1:23" x14ac:dyDescent="0.25">
      <c r="A40">
        <v>4.4278865731937622E-2</v>
      </c>
      <c r="B40">
        <v>-0.42597548599587753</v>
      </c>
      <c r="D40">
        <v>3.9506505393704261E-2</v>
      </c>
      <c r="E40">
        <v>16.029365039003096</v>
      </c>
      <c r="J40">
        <v>20</v>
      </c>
      <c r="K40">
        <v>0.14961068472985062</v>
      </c>
      <c r="L40">
        <v>16.97793728970063</v>
      </c>
      <c r="M40">
        <v>10</v>
      </c>
      <c r="N40">
        <v>1.5656912603390083</v>
      </c>
      <c r="O40">
        <v>36.482738435426711</v>
      </c>
      <c r="P40" s="1">
        <f t="shared" si="0"/>
        <v>1.9093098473259766</v>
      </c>
      <c r="Q40" s="1">
        <f t="shared" si="1"/>
        <v>0.28639647709889648</v>
      </c>
      <c r="R40" s="1">
        <f t="shared" si="2"/>
        <v>0.53516023497537302</v>
      </c>
      <c r="S40" s="1">
        <f t="shared" si="3"/>
        <v>-2.6460870652587309</v>
      </c>
      <c r="T40" s="56">
        <f t="shared" si="4"/>
        <v>6.6043911504766774E-3</v>
      </c>
      <c r="V40" s="57" t="s">
        <v>140</v>
      </c>
      <c r="W40" s="58">
        <v>34</v>
      </c>
    </row>
    <row r="41" spans="1:23" x14ac:dyDescent="0.25">
      <c r="A41">
        <v>4.4458836757986453E-2</v>
      </c>
      <c r="B41">
        <v>0.11457700566097628</v>
      </c>
      <c r="D41">
        <v>3.9777459542202243E-2</v>
      </c>
      <c r="E41">
        <v>-4.8960344008719403</v>
      </c>
      <c r="J41">
        <v>20</v>
      </c>
      <c r="K41">
        <v>8.3646114035218488E-2</v>
      </c>
      <c r="L41">
        <v>15.38872590056233</v>
      </c>
      <c r="M41">
        <v>10</v>
      </c>
      <c r="N41">
        <v>1.710284547016272</v>
      </c>
      <c r="O41">
        <v>55.185084433653337</v>
      </c>
      <c r="P41" s="1">
        <f t="shared" si="0"/>
        <v>2.5204932262219879</v>
      </c>
      <c r="Q41" s="1">
        <f t="shared" si="1"/>
        <v>0.37807398393329816</v>
      </c>
      <c r="R41" s="1">
        <f t="shared" si="2"/>
        <v>0.6148772104520529</v>
      </c>
      <c r="S41" s="1">
        <f t="shared" si="3"/>
        <v>-2.6454687299032624</v>
      </c>
      <c r="T41" s="56">
        <f t="shared" si="4"/>
        <v>6.6140080896310719E-3</v>
      </c>
      <c r="V41" s="57" t="s">
        <v>141</v>
      </c>
      <c r="W41" s="58">
        <v>71</v>
      </c>
    </row>
    <row r="42" spans="1:23" x14ac:dyDescent="0.25">
      <c r="A42">
        <v>4.5766123471635889E-2</v>
      </c>
      <c r="B42">
        <v>1.1174506653333083</v>
      </c>
      <c r="D42">
        <v>4.0333593954670621E-2</v>
      </c>
      <c r="E42">
        <v>-2.1127145862465113</v>
      </c>
      <c r="J42">
        <v>20</v>
      </c>
      <c r="K42">
        <v>-0.27553363679544418</v>
      </c>
      <c r="L42">
        <v>13.490168058342032</v>
      </c>
      <c r="M42">
        <v>10</v>
      </c>
      <c r="N42">
        <v>1.0600765529034106</v>
      </c>
      <c r="O42">
        <v>34.540985776787956</v>
      </c>
      <c r="P42" s="1">
        <f t="shared" si="0"/>
        <v>1.7153983512546422</v>
      </c>
      <c r="Q42" s="1">
        <f t="shared" si="1"/>
        <v>0.25730975268819634</v>
      </c>
      <c r="R42" s="1">
        <f t="shared" si="2"/>
        <v>0.50725708737108477</v>
      </c>
      <c r="S42" s="1">
        <f t="shared" si="3"/>
        <v>-2.6330044921024176</v>
      </c>
      <c r="T42" s="56">
        <f t="shared" si="4"/>
        <v>6.8106670088071133E-3</v>
      </c>
      <c r="V42" s="57" t="s">
        <v>142</v>
      </c>
      <c r="W42" s="58">
        <v>1000</v>
      </c>
    </row>
    <row r="43" spans="1:23" x14ac:dyDescent="0.25">
      <c r="A43">
        <v>4.6338397476078375E-2</v>
      </c>
      <c r="B43">
        <v>-0.92518575911526568</v>
      </c>
      <c r="D43">
        <v>4.0656331545297353E-2</v>
      </c>
      <c r="E43">
        <v>0.75288266657480563</v>
      </c>
      <c r="J43">
        <v>20</v>
      </c>
      <c r="K43">
        <v>0.47768696731509408</v>
      </c>
      <c r="L43">
        <v>25.069572948162893</v>
      </c>
      <c r="M43">
        <v>10</v>
      </c>
      <c r="N43">
        <v>2.0786452489574003</v>
      </c>
      <c r="O43">
        <v>44.240368605055608</v>
      </c>
      <c r="P43" s="1">
        <f t="shared" si="0"/>
        <v>2.4753550554720891</v>
      </c>
      <c r="Q43" s="1">
        <f t="shared" si="1"/>
        <v>0.37130325832081335</v>
      </c>
      <c r="R43" s="1">
        <f t="shared" si="2"/>
        <v>0.60934658308782974</v>
      </c>
      <c r="S43" s="1">
        <f t="shared" si="3"/>
        <v>-2.6273361106409094</v>
      </c>
      <c r="T43" s="56">
        <f t="shared" si="4"/>
        <v>6.9018906410408904E-3</v>
      </c>
    </row>
    <row r="44" spans="1:23" x14ac:dyDescent="0.25">
      <c r="A44">
        <v>4.6737658996658715E-2</v>
      </c>
      <c r="B44">
        <v>0.10834241948032286</v>
      </c>
      <c r="D44">
        <v>4.1934845310628188E-2</v>
      </c>
      <c r="E44">
        <v>-1.9412736980939371</v>
      </c>
      <c r="J44">
        <v>20</v>
      </c>
      <c r="K44">
        <v>3.5351092719793087E-2</v>
      </c>
      <c r="L44">
        <v>15.364743237541639</v>
      </c>
      <c r="M44">
        <v>10</v>
      </c>
      <c r="N44">
        <v>1.5086550286014244</v>
      </c>
      <c r="O44">
        <v>43.366602989428856</v>
      </c>
      <c r="P44" s="1">
        <f t="shared" si="0"/>
        <v>2.0975480795346604</v>
      </c>
      <c r="Q44" s="1">
        <f t="shared" si="1"/>
        <v>0.31463221193019902</v>
      </c>
      <c r="R44" s="1">
        <f t="shared" si="2"/>
        <v>0.56092086066592228</v>
      </c>
      <c r="S44" s="1">
        <f t="shared" si="3"/>
        <v>-2.6265807517526318</v>
      </c>
      <c r="T44" s="56">
        <f t="shared" si="4"/>
        <v>6.9141324361633224E-3</v>
      </c>
    </row>
    <row r="45" spans="1:23" x14ac:dyDescent="0.25">
      <c r="A45">
        <v>4.7204815448829263E-2</v>
      </c>
      <c r="B45">
        <v>-1.4022771210875362</v>
      </c>
      <c r="D45">
        <v>4.2093679937913131E-2</v>
      </c>
      <c r="E45">
        <v>1.3053597706402797</v>
      </c>
      <c r="J45">
        <v>20</v>
      </c>
      <c r="K45">
        <v>-0.35583428825702867</v>
      </c>
      <c r="L45">
        <v>11.785568673879778</v>
      </c>
      <c r="M45">
        <v>10</v>
      </c>
      <c r="N45">
        <v>1.3061882066267572</v>
      </c>
      <c r="O45">
        <v>66.304871707788806</v>
      </c>
      <c r="P45" s="1">
        <f t="shared" si="0"/>
        <v>2.7889442993453066</v>
      </c>
      <c r="Q45" s="1">
        <f t="shared" si="1"/>
        <v>0.41834164490179598</v>
      </c>
      <c r="R45" s="1">
        <f t="shared" si="2"/>
        <v>0.64679335564134854</v>
      </c>
      <c r="S45" s="1">
        <f t="shared" si="3"/>
        <v>-2.5696344595806098</v>
      </c>
      <c r="T45" s="56">
        <f t="shared" si="4"/>
        <v>7.8973774227111306E-3</v>
      </c>
    </row>
    <row r="46" spans="1:23" x14ac:dyDescent="0.25">
      <c r="A46">
        <v>4.8867442954303897E-2</v>
      </c>
      <c r="B46">
        <v>7.9987785284174606E-2</v>
      </c>
      <c r="D46">
        <v>4.3258032635361987E-2</v>
      </c>
      <c r="E46">
        <v>-4.5019867263818014</v>
      </c>
      <c r="J46">
        <v>20</v>
      </c>
      <c r="K46">
        <v>-0.34292912687305943</v>
      </c>
      <c r="L46">
        <v>20.948316641205786</v>
      </c>
      <c r="M46">
        <v>10</v>
      </c>
      <c r="N46">
        <v>0.8807158985746355</v>
      </c>
      <c r="O46">
        <v>22.442271953379137</v>
      </c>
      <c r="P46" s="1">
        <f t="shared" si="0"/>
        <v>1.549663878378033</v>
      </c>
      <c r="Q46" s="1">
        <f t="shared" si="1"/>
        <v>0.23244958175670494</v>
      </c>
      <c r="R46" s="1">
        <f t="shared" si="2"/>
        <v>0.48213025393217646</v>
      </c>
      <c r="S46" s="1">
        <f t="shared" si="3"/>
        <v>-2.5379967663672707</v>
      </c>
      <c r="T46" s="56">
        <f t="shared" si="4"/>
        <v>8.4981593703795481E-3</v>
      </c>
    </row>
    <row r="47" spans="1:23" x14ac:dyDescent="0.25">
      <c r="A47">
        <v>4.9114315192219427E-2</v>
      </c>
      <c r="B47">
        <v>0.93248672783374786</v>
      </c>
      <c r="D47">
        <v>4.3291920819688134E-2</v>
      </c>
      <c r="E47">
        <v>0.57183410376637767</v>
      </c>
      <c r="J47">
        <v>20</v>
      </c>
      <c r="K47">
        <v>3.2997604648699053E-3</v>
      </c>
      <c r="L47">
        <v>14.615956780383041</v>
      </c>
      <c r="M47">
        <v>10</v>
      </c>
      <c r="N47">
        <v>1.8657109387731907</v>
      </c>
      <c r="O47">
        <v>87.545657941962418</v>
      </c>
      <c r="P47" s="1">
        <f t="shared" si="0"/>
        <v>3.6486290972266238</v>
      </c>
      <c r="Q47" s="1">
        <f t="shared" si="1"/>
        <v>0.5472943645839935</v>
      </c>
      <c r="R47" s="1">
        <f t="shared" si="2"/>
        <v>0.73979346076049735</v>
      </c>
      <c r="S47" s="1">
        <f t="shared" si="3"/>
        <v>-2.5174745075386151</v>
      </c>
      <c r="T47" s="56">
        <f t="shared" si="4"/>
        <v>8.9101763311294248E-3</v>
      </c>
    </row>
    <row r="48" spans="1:23" x14ac:dyDescent="0.25">
      <c r="A48">
        <v>5.1011223066347977E-2</v>
      </c>
      <c r="B48">
        <v>1.25382484839065</v>
      </c>
      <c r="D48">
        <v>4.4579935561048223E-2</v>
      </c>
      <c r="E48">
        <v>-0.16109811781461758</v>
      </c>
      <c r="J48">
        <v>20</v>
      </c>
      <c r="K48">
        <v>-0.40923856658992008</v>
      </c>
      <c r="L48">
        <v>20.926891882211265</v>
      </c>
      <c r="M48">
        <v>10</v>
      </c>
      <c r="N48">
        <v>1.2570734463679401</v>
      </c>
      <c r="O48">
        <v>60.977175757517415</v>
      </c>
      <c r="P48" s="1">
        <f t="shared" si="0"/>
        <v>2.9251452728474527</v>
      </c>
      <c r="Q48" s="1">
        <f t="shared" si="1"/>
        <v>0.43877179092711788</v>
      </c>
      <c r="R48" s="1">
        <f t="shared" si="2"/>
        <v>0.66239851368124147</v>
      </c>
      <c r="S48" s="1">
        <f t="shared" si="3"/>
        <v>-2.5155732969529585</v>
      </c>
      <c r="T48" s="56">
        <f t="shared" si="4"/>
        <v>8.9492653239684784E-3</v>
      </c>
    </row>
    <row r="49" spans="1:20" x14ac:dyDescent="0.25">
      <c r="A49">
        <v>5.1583134053894475E-2</v>
      </c>
      <c r="B49">
        <v>0.30055161914788187</v>
      </c>
      <c r="D49">
        <v>4.6610952159260255E-2</v>
      </c>
      <c r="E49">
        <v>2.4402352175911801</v>
      </c>
      <c r="J49">
        <v>20</v>
      </c>
      <c r="K49">
        <v>6.9026668825244997E-2</v>
      </c>
      <c r="L49">
        <v>19.93163350360809</v>
      </c>
      <c r="M49">
        <v>10</v>
      </c>
      <c r="N49">
        <v>2.0735538976168755</v>
      </c>
      <c r="O49">
        <v>100.39076311835893</v>
      </c>
      <c r="P49" s="1">
        <f t="shared" si="0"/>
        <v>4.2972284507845364</v>
      </c>
      <c r="Q49" s="1">
        <f t="shared" si="1"/>
        <v>0.6445842676176804</v>
      </c>
      <c r="R49" s="1">
        <f t="shared" si="2"/>
        <v>0.80286005481508449</v>
      </c>
      <c r="S49" s="1">
        <f t="shared" si="3"/>
        <v>-2.4967330442829359</v>
      </c>
      <c r="T49" s="56">
        <f t="shared" si="4"/>
        <v>9.345267370849274E-3</v>
      </c>
    </row>
    <row r="50" spans="1:20" x14ac:dyDescent="0.25">
      <c r="A50">
        <v>5.1970079688857029E-2</v>
      </c>
      <c r="B50">
        <v>-1.1357769835740328</v>
      </c>
      <c r="D50">
        <v>4.8239251057571653E-2</v>
      </c>
      <c r="E50">
        <v>-2.8443780627185333</v>
      </c>
      <c r="J50">
        <v>20</v>
      </c>
      <c r="K50">
        <v>0.12824091299989959</v>
      </c>
      <c r="L50">
        <v>17.819282717345903</v>
      </c>
      <c r="M50">
        <v>10</v>
      </c>
      <c r="N50">
        <v>1.1871089748183294</v>
      </c>
      <c r="O50">
        <v>15.776819331250993</v>
      </c>
      <c r="P50" s="1">
        <f t="shared" si="0"/>
        <v>1.1998607874498892</v>
      </c>
      <c r="Q50" s="1">
        <f t="shared" si="1"/>
        <v>0.17997911811748338</v>
      </c>
      <c r="R50" s="1">
        <f t="shared" si="2"/>
        <v>0.42423945846359384</v>
      </c>
      <c r="S50" s="1">
        <f t="shared" si="3"/>
        <v>-2.4959207369658114</v>
      </c>
      <c r="T50" s="56">
        <f t="shared" si="4"/>
        <v>9.3626991584198228E-3</v>
      </c>
    </row>
    <row r="51" spans="1:20" x14ac:dyDescent="0.25">
      <c r="A51">
        <v>5.4818194104225837E-2</v>
      </c>
      <c r="B51">
        <v>0.7789867595420219</v>
      </c>
      <c r="D51">
        <v>4.9679899648065184E-2</v>
      </c>
      <c r="E51">
        <v>-1.2877437745828502</v>
      </c>
      <c r="J51">
        <v>20</v>
      </c>
      <c r="K51">
        <v>0.14382413837665808</v>
      </c>
      <c r="L51">
        <v>18.954734081486976</v>
      </c>
      <c r="M51">
        <v>10</v>
      </c>
      <c r="N51">
        <v>1.3795278130146471</v>
      </c>
      <c r="O51">
        <v>27.686383149160829</v>
      </c>
      <c r="P51" s="1">
        <f t="shared" si="0"/>
        <v>1.6657541868088503</v>
      </c>
      <c r="Q51" s="1">
        <f t="shared" si="1"/>
        <v>0.24986312802132754</v>
      </c>
      <c r="R51" s="1">
        <f t="shared" si="2"/>
        <v>0.49986310928225891</v>
      </c>
      <c r="S51" s="1">
        <f t="shared" si="3"/>
        <v>-2.4720841600259429</v>
      </c>
      <c r="T51" s="56">
        <f t="shared" si="4"/>
        <v>9.8877569504967934E-3</v>
      </c>
    </row>
    <row r="52" spans="1:20" x14ac:dyDescent="0.25">
      <c r="A52">
        <v>5.5620584975036969E-2</v>
      </c>
      <c r="B52">
        <v>1.5128625818761066</v>
      </c>
      <c r="D52">
        <v>4.9814050708002378E-2</v>
      </c>
      <c r="E52">
        <v>-5.2840248406482715</v>
      </c>
      <c r="J52">
        <v>20</v>
      </c>
      <c r="K52">
        <v>-7.5406376254250063E-2</v>
      </c>
      <c r="L52">
        <v>13.605819945879016</v>
      </c>
      <c r="M52">
        <v>10</v>
      </c>
      <c r="N52">
        <v>1.4414688359920547</v>
      </c>
      <c r="O52">
        <v>61.301307946688667</v>
      </c>
      <c r="P52" s="1">
        <f t="shared" si="0"/>
        <v>2.6752545675917032</v>
      </c>
      <c r="Q52" s="1">
        <f t="shared" si="1"/>
        <v>0.40128818513875547</v>
      </c>
      <c r="R52" s="1">
        <f t="shared" si="2"/>
        <v>0.63347311319325583</v>
      </c>
      <c r="S52" s="1">
        <f t="shared" si="3"/>
        <v>-2.3945376380694889</v>
      </c>
      <c r="T52" s="56">
        <f t="shared" si="4"/>
        <v>1.178884179890323E-2</v>
      </c>
    </row>
    <row r="53" spans="1:20" x14ac:dyDescent="0.25">
      <c r="A53">
        <v>5.8309487027172646E-2</v>
      </c>
      <c r="B53">
        <v>0.64140976974158548</v>
      </c>
      <c r="D53">
        <v>5.2044695025067256E-2</v>
      </c>
      <c r="E53">
        <v>3.7691604541123525</v>
      </c>
      <c r="J53">
        <v>20</v>
      </c>
      <c r="K53">
        <v>0.24541878929085215</v>
      </c>
      <c r="L53">
        <v>14.353002506566808</v>
      </c>
      <c r="M53">
        <v>10</v>
      </c>
      <c r="N53">
        <v>1.8886134932927234</v>
      </c>
      <c r="O53">
        <v>74.598429193125511</v>
      </c>
      <c r="P53" s="1">
        <f t="shared" si="0"/>
        <v>3.1768368464175829</v>
      </c>
      <c r="Q53" s="1">
        <f t="shared" si="1"/>
        <v>0.47652552696263739</v>
      </c>
      <c r="R53" s="1">
        <f t="shared" si="2"/>
        <v>0.69030828400261679</v>
      </c>
      <c r="S53" s="1">
        <f t="shared" si="3"/>
        <v>-2.380378074668509</v>
      </c>
      <c r="T53" s="56">
        <f t="shared" si="4"/>
        <v>1.2170138165895178E-2</v>
      </c>
    </row>
    <row r="54" spans="1:20" x14ac:dyDescent="0.25">
      <c r="A54">
        <v>5.833238714876543E-2</v>
      </c>
      <c r="B54">
        <v>0.21668256522389129</v>
      </c>
      <c r="D54">
        <v>5.4209939792729589E-2</v>
      </c>
      <c r="E54">
        <v>2.2129217961719405</v>
      </c>
      <c r="J54">
        <v>20</v>
      </c>
      <c r="K54">
        <v>0.38594293982896488</v>
      </c>
      <c r="L54">
        <v>19.410410442743459</v>
      </c>
      <c r="M54">
        <v>10</v>
      </c>
      <c r="N54">
        <v>2.5301981133907248</v>
      </c>
      <c r="O54">
        <v>137.79470433573226</v>
      </c>
      <c r="P54" s="1">
        <f t="shared" si="0"/>
        <v>5.6144683849455612</v>
      </c>
      <c r="Q54" s="1">
        <f t="shared" si="1"/>
        <v>0.84217025774183418</v>
      </c>
      <c r="R54" s="1">
        <f t="shared" si="2"/>
        <v>0.91769834790187688</v>
      </c>
      <c r="S54" s="1">
        <f t="shared" si="3"/>
        <v>-2.3365577354085314</v>
      </c>
      <c r="T54" s="56">
        <f t="shared" si="4"/>
        <v>1.3422591347416914E-2</v>
      </c>
    </row>
    <row r="55" spans="1:20" x14ac:dyDescent="0.25">
      <c r="A55">
        <v>5.9751973425223537E-2</v>
      </c>
      <c r="B55">
        <v>1.8166065274272114</v>
      </c>
      <c r="D55">
        <v>5.5029893839201649E-2</v>
      </c>
      <c r="E55">
        <v>-5.1583235779162351</v>
      </c>
      <c r="J55">
        <v>20</v>
      </c>
      <c r="K55">
        <v>6.717743872286519E-2</v>
      </c>
      <c r="L55">
        <v>24.211429051785782</v>
      </c>
      <c r="M55">
        <v>10</v>
      </c>
      <c r="N55">
        <v>1.5116420365757222</v>
      </c>
      <c r="O55">
        <v>47.284522740381682</v>
      </c>
      <c r="P55" s="1">
        <f t="shared" si="0"/>
        <v>2.5534268497202666</v>
      </c>
      <c r="Q55" s="1">
        <f t="shared" si="1"/>
        <v>0.38301402745803997</v>
      </c>
      <c r="R55" s="1">
        <f t="shared" si="2"/>
        <v>0.61888127088969169</v>
      </c>
      <c r="S55" s="1">
        <f t="shared" si="3"/>
        <v>-2.3339930707166543</v>
      </c>
      <c r="T55" s="56">
        <f t="shared" si="4"/>
        <v>1.3499407220682847E-2</v>
      </c>
    </row>
    <row r="56" spans="1:20" x14ac:dyDescent="0.25">
      <c r="A56">
        <v>6.0780478730990128E-2</v>
      </c>
      <c r="B56">
        <v>-1.7480488168075681E-2</v>
      </c>
      <c r="D56">
        <v>5.6822882517535311E-2</v>
      </c>
      <c r="E56">
        <v>2.4438129423742794</v>
      </c>
      <c r="J56">
        <v>20</v>
      </c>
      <c r="K56">
        <v>2.3535221771453507E-2</v>
      </c>
      <c r="L56">
        <v>15.079997020222063</v>
      </c>
      <c r="M56">
        <v>10</v>
      </c>
      <c r="N56">
        <v>2.7145873639256024</v>
      </c>
      <c r="O56">
        <v>233.59083341858846</v>
      </c>
      <c r="P56" s="1">
        <f t="shared" si="0"/>
        <v>8.8811010871003759</v>
      </c>
      <c r="Q56" s="1">
        <f t="shared" si="1"/>
        <v>1.3321651630650564</v>
      </c>
      <c r="R56" s="1">
        <f t="shared" si="2"/>
        <v>1.1541945949730732</v>
      </c>
      <c r="S56" s="1">
        <f t="shared" si="3"/>
        <v>-2.331541105697978</v>
      </c>
      <c r="T56" s="56">
        <f t="shared" si="4"/>
        <v>1.3573221278197175E-2</v>
      </c>
    </row>
    <row r="57" spans="1:20" x14ac:dyDescent="0.25">
      <c r="A57">
        <v>6.2835740107179183E-2</v>
      </c>
      <c r="B57">
        <v>-0.78002358350204304</v>
      </c>
      <c r="D57">
        <v>5.8091735007001599E-2</v>
      </c>
      <c r="E57">
        <v>2.3541276698324509</v>
      </c>
      <c r="J57">
        <v>20</v>
      </c>
      <c r="K57">
        <v>-0.17569163901498541</v>
      </c>
      <c r="L57">
        <v>14.080858132437545</v>
      </c>
      <c r="M57">
        <v>10</v>
      </c>
      <c r="N57">
        <v>1.5685295659295662</v>
      </c>
      <c r="O57">
        <v>93.21309970645602</v>
      </c>
      <c r="P57" s="1">
        <f t="shared" si="0"/>
        <v>3.8319270656747699</v>
      </c>
      <c r="Q57" s="1">
        <f t="shared" si="1"/>
        <v>0.57478905985121542</v>
      </c>
      <c r="R57" s="1">
        <f t="shared" si="2"/>
        <v>0.7581484418312916</v>
      </c>
      <c r="S57" s="1">
        <f t="shared" si="3"/>
        <v>-2.3006328427338345</v>
      </c>
      <c r="T57" s="56">
        <f t="shared" si="4"/>
        <v>1.4535670180555467E-2</v>
      </c>
    </row>
    <row r="58" spans="1:20" x14ac:dyDescent="0.25">
      <c r="A58">
        <v>6.699803426205786E-2</v>
      </c>
      <c r="B58">
        <v>0.46969944378361106</v>
      </c>
      <c r="D58">
        <v>6.1341248514219293E-2</v>
      </c>
      <c r="E58">
        <v>-6.0377412899015326</v>
      </c>
      <c r="J58">
        <v>20</v>
      </c>
      <c r="K58">
        <v>-4.4158923628856428E-2</v>
      </c>
      <c r="L58">
        <v>17.375743210569656</v>
      </c>
      <c r="M58">
        <v>10</v>
      </c>
      <c r="N58">
        <v>1.516665175813614</v>
      </c>
      <c r="O58">
        <v>68.938227103887186</v>
      </c>
      <c r="P58" s="1">
        <f t="shared" si="0"/>
        <v>3.0826417969448872</v>
      </c>
      <c r="Q58" s="1">
        <f t="shared" si="1"/>
        <v>0.46239626954173307</v>
      </c>
      <c r="R58" s="1">
        <f t="shared" si="2"/>
        <v>0.67999725701044789</v>
      </c>
      <c r="S58" s="1">
        <f t="shared" si="3"/>
        <v>-2.2953388169600939</v>
      </c>
      <c r="T58" s="56">
        <f t="shared" si="4"/>
        <v>1.4706598720477497E-2</v>
      </c>
    </row>
    <row r="59" spans="1:20" x14ac:dyDescent="0.25">
      <c r="A59">
        <v>6.714794260389978E-2</v>
      </c>
      <c r="B59">
        <v>-9.865175343293231E-2</v>
      </c>
      <c r="D59">
        <v>6.3830488064357982E-2</v>
      </c>
      <c r="E59">
        <v>2.3792979357040167</v>
      </c>
      <c r="J59">
        <v>20</v>
      </c>
      <c r="K59">
        <v>-0.30126437877697754</v>
      </c>
      <c r="L59">
        <v>22.774672757881184</v>
      </c>
      <c r="M59">
        <v>10</v>
      </c>
      <c r="N59">
        <v>1.4543053305260401</v>
      </c>
      <c r="O59">
        <v>88.846421793752171</v>
      </c>
      <c r="P59" s="1">
        <f t="shared" si="0"/>
        <v>3.9864676625583337</v>
      </c>
      <c r="Q59" s="1">
        <f t="shared" si="1"/>
        <v>0.59797014938375004</v>
      </c>
      <c r="R59" s="1">
        <f t="shared" si="2"/>
        <v>0.7732852962417881</v>
      </c>
      <c r="S59" s="1">
        <f t="shared" si="3"/>
        <v>-2.2702742672532237</v>
      </c>
      <c r="T59" s="56">
        <f t="shared" si="4"/>
        <v>1.5540847654343191E-2</v>
      </c>
    </row>
    <row r="60" spans="1:20" x14ac:dyDescent="0.25">
      <c r="A60">
        <v>6.7776118812297503E-2</v>
      </c>
      <c r="B60">
        <v>0.23158690964919515</v>
      </c>
      <c r="D60">
        <v>6.4389592570601839E-2</v>
      </c>
      <c r="E60">
        <v>4.6259794964953471</v>
      </c>
      <c r="J60">
        <v>20</v>
      </c>
      <c r="K60">
        <v>-0.2218959593847103</v>
      </c>
      <c r="L60">
        <v>15.188496687543608</v>
      </c>
      <c r="M60">
        <v>10</v>
      </c>
      <c r="N60">
        <v>1.2846860465742793</v>
      </c>
      <c r="O60">
        <v>69.4195502412488</v>
      </c>
      <c r="P60" s="1">
        <f t="shared" si="0"/>
        <v>3.0217159617425859</v>
      </c>
      <c r="Q60" s="1">
        <f t="shared" si="1"/>
        <v>0.45325739426138789</v>
      </c>
      <c r="R60" s="1">
        <f t="shared" si="2"/>
        <v>0.67324393369817148</v>
      </c>
      <c r="S60" s="1">
        <f t="shared" si="3"/>
        <v>-2.2377951445967579</v>
      </c>
      <c r="T60" s="56">
        <f t="shared" si="4"/>
        <v>1.6685475125217231E-2</v>
      </c>
    </row>
    <row r="61" spans="1:20" x14ac:dyDescent="0.25">
      <c r="A61">
        <v>7.1873153863550088E-2</v>
      </c>
      <c r="B61">
        <v>-1.8473292584531009</v>
      </c>
      <c r="D61">
        <v>6.6285973926644592E-2</v>
      </c>
      <c r="E61">
        <v>1.0404444276446156</v>
      </c>
      <c r="J61">
        <v>20</v>
      </c>
      <c r="K61">
        <v>5.0825008202082245E-2</v>
      </c>
      <c r="L61">
        <v>14.120357106496664</v>
      </c>
      <c r="M61">
        <v>10</v>
      </c>
      <c r="N61">
        <v>1.1928408378025779</v>
      </c>
      <c r="O61">
        <v>34.603642943215092</v>
      </c>
      <c r="P61" s="1">
        <f t="shared" si="0"/>
        <v>1.740142858918277</v>
      </c>
      <c r="Q61" s="1">
        <f t="shared" si="1"/>
        <v>0.26102142883774154</v>
      </c>
      <c r="R61" s="1">
        <f t="shared" si="2"/>
        <v>0.51090256295867364</v>
      </c>
      <c r="S61" s="1">
        <f t="shared" si="3"/>
        <v>-2.2352908605253408</v>
      </c>
      <c r="T61" s="56">
        <f t="shared" si="4"/>
        <v>1.6776813047609827E-2</v>
      </c>
    </row>
    <row r="62" spans="1:20" x14ac:dyDescent="0.25">
      <c r="A62">
        <v>7.3100721583814865E-2</v>
      </c>
      <c r="B62">
        <v>-0.69877160058240406</v>
      </c>
      <c r="D62">
        <v>6.6757205549487719E-2</v>
      </c>
      <c r="E62">
        <v>3.6100420823004242</v>
      </c>
      <c r="J62">
        <v>20</v>
      </c>
      <c r="K62">
        <v>-0.28282016728553572</v>
      </c>
      <c r="L62">
        <v>22.147938000202135</v>
      </c>
      <c r="M62">
        <v>10</v>
      </c>
      <c r="N62">
        <v>1.7852513531124714</v>
      </c>
      <c r="O62">
        <v>137.6440675901917</v>
      </c>
      <c r="P62" s="1">
        <f t="shared" si="0"/>
        <v>5.7068573425140654</v>
      </c>
      <c r="Q62" s="1">
        <f t="shared" si="1"/>
        <v>0.85602860137710979</v>
      </c>
      <c r="R62" s="1">
        <f t="shared" si="2"/>
        <v>0.92521813718555568</v>
      </c>
      <c r="S62" s="1">
        <f t="shared" si="3"/>
        <v>-2.2352258751529948</v>
      </c>
      <c r="T62" s="56">
        <f t="shared" si="4"/>
        <v>1.6779189225948846E-2</v>
      </c>
    </row>
    <row r="63" spans="1:20" x14ac:dyDescent="0.25">
      <c r="A63">
        <v>7.3348769272191805E-2</v>
      </c>
      <c r="B63">
        <v>0.15565092326141894</v>
      </c>
      <c r="D63">
        <v>6.7253567117872226E-2</v>
      </c>
      <c r="E63">
        <v>-3.4192423788681481</v>
      </c>
      <c r="J63">
        <v>20</v>
      </c>
      <c r="K63">
        <v>-0.11969922297794255</v>
      </c>
      <c r="L63">
        <v>25.646783704931959</v>
      </c>
      <c r="M63">
        <v>10</v>
      </c>
      <c r="N63">
        <v>1.1341504625761445</v>
      </c>
      <c r="O63">
        <v>34.292529035654972</v>
      </c>
      <c r="P63" s="1">
        <f t="shared" si="0"/>
        <v>2.1406897407352474</v>
      </c>
      <c r="Q63" s="1">
        <f t="shared" si="1"/>
        <v>0.32110346111028709</v>
      </c>
      <c r="R63" s="1">
        <f t="shared" si="2"/>
        <v>0.56665991662573689</v>
      </c>
      <c r="S63" s="1">
        <f t="shared" si="3"/>
        <v>-2.2127022730323449</v>
      </c>
      <c r="T63" s="56">
        <f t="shared" si="4"/>
        <v>1.7621262578059134E-2</v>
      </c>
    </row>
    <row r="64" spans="1:20" x14ac:dyDescent="0.25">
      <c r="A64">
        <v>7.7033270288868638E-2</v>
      </c>
      <c r="B64">
        <v>4.1435441744397394E-2</v>
      </c>
      <c r="D64">
        <v>6.7910170066525E-2</v>
      </c>
      <c r="E64">
        <v>2.7742391887386475</v>
      </c>
      <c r="J64">
        <v>20</v>
      </c>
      <c r="K64">
        <v>-0.1564488343319681</v>
      </c>
      <c r="L64">
        <v>17.862127442290589</v>
      </c>
      <c r="M64">
        <v>10</v>
      </c>
      <c r="N64">
        <v>1.2890734490156319</v>
      </c>
      <c r="O64">
        <v>62.270520149507384</v>
      </c>
      <c r="P64" s="1">
        <f t="shared" si="0"/>
        <v>2.8618802711356421</v>
      </c>
      <c r="Q64" s="1">
        <f t="shared" si="1"/>
        <v>0.42928204067034631</v>
      </c>
      <c r="R64" s="1">
        <f t="shared" si="2"/>
        <v>0.65519618487163545</v>
      </c>
      <c r="S64" s="1">
        <f t="shared" si="3"/>
        <v>-2.2062434378045159</v>
      </c>
      <c r="T64" s="56">
        <f t="shared" si="4"/>
        <v>1.7869650826906867E-2</v>
      </c>
    </row>
    <row r="65" spans="1:20" x14ac:dyDescent="0.25">
      <c r="A65">
        <v>7.7205556111390128E-2</v>
      </c>
      <c r="B65">
        <v>-0.42765122998389415</v>
      </c>
      <c r="D65">
        <v>6.846334090937467E-2</v>
      </c>
      <c r="E65">
        <v>-5.7334334576353285</v>
      </c>
      <c r="J65">
        <v>20</v>
      </c>
      <c r="K65">
        <v>-0.15538694242422935</v>
      </c>
      <c r="L65">
        <v>8.0786440023901953</v>
      </c>
      <c r="M65">
        <v>10</v>
      </c>
      <c r="N65">
        <v>1.7323634403965116</v>
      </c>
      <c r="O65">
        <v>130.2492622476243</v>
      </c>
      <c r="P65" s="1">
        <f t="shared" si="0"/>
        <v>4.9402823660719468</v>
      </c>
      <c r="Q65" s="1">
        <f t="shared" si="1"/>
        <v>0.74104235491079196</v>
      </c>
      <c r="R65" s="1">
        <f t="shared" si="2"/>
        <v>0.86083816998945395</v>
      </c>
      <c r="S65" s="1">
        <f t="shared" si="3"/>
        <v>-2.1929213278773032</v>
      </c>
      <c r="T65" s="56">
        <f t="shared" si="4"/>
        <v>1.8391944209340563E-2</v>
      </c>
    </row>
    <row r="66" spans="1:20" x14ac:dyDescent="0.25">
      <c r="A66">
        <v>7.9447538951722629E-2</v>
      </c>
      <c r="B66">
        <v>-0.62198523664847016</v>
      </c>
      <c r="D66">
        <v>6.9349043020252688E-2</v>
      </c>
      <c r="E66">
        <v>2.9238965419153828</v>
      </c>
      <c r="J66">
        <v>20</v>
      </c>
      <c r="K66">
        <v>-0.22855510906083509</v>
      </c>
      <c r="L66">
        <v>21.005096978522943</v>
      </c>
      <c r="M66">
        <v>10</v>
      </c>
      <c r="N66">
        <v>1.0077623039705941</v>
      </c>
      <c r="O66">
        <v>38.967659013945671</v>
      </c>
      <c r="P66" s="1">
        <f t="shared" ref="P66:P129" si="5">(L66+O66)/(J66+M66-2)</f>
        <v>2.141884142588165</v>
      </c>
      <c r="Q66" s="1">
        <f t="shared" ref="Q66:Q129" si="6">P66*0.15</f>
        <v>0.32128262138822472</v>
      </c>
      <c r="R66" s="1">
        <f t="shared" ref="R66:R129" si="7">SQRT(Q66)</f>
        <v>0.56681797906226006</v>
      </c>
      <c r="S66" s="1">
        <f t="shared" ref="S66:S129" si="8">(K66-N66)/R66</f>
        <v>-2.1811541953499511</v>
      </c>
      <c r="T66" s="56">
        <f t="shared" ref="T66:T129" si="9">_xlfn.T.DIST(S66,28,TRUE)</f>
        <v>1.8864628681437519E-2</v>
      </c>
    </row>
    <row r="67" spans="1:20" x14ac:dyDescent="0.25">
      <c r="A67">
        <v>8.2815630288661679E-2</v>
      </c>
      <c r="B67">
        <v>0.28928639039804693</v>
      </c>
      <c r="D67">
        <v>6.9783190719838295E-2</v>
      </c>
      <c r="E67">
        <v>3.6710373444748257</v>
      </c>
      <c r="J67">
        <v>20</v>
      </c>
      <c r="K67">
        <v>-0.11704213420671294</v>
      </c>
      <c r="L67">
        <v>21.727201871975293</v>
      </c>
      <c r="M67">
        <v>10</v>
      </c>
      <c r="N67">
        <v>1.1708649446973141</v>
      </c>
      <c r="O67">
        <v>43.848356084163441</v>
      </c>
      <c r="P67" s="1">
        <f t="shared" si="5"/>
        <v>2.3419842127192405</v>
      </c>
      <c r="Q67" s="1">
        <f t="shared" si="6"/>
        <v>0.35129763190788604</v>
      </c>
      <c r="R67" s="1">
        <f t="shared" si="7"/>
        <v>0.59270366280957476</v>
      </c>
      <c r="S67" s="1">
        <f t="shared" si="8"/>
        <v>-2.1729359201173164</v>
      </c>
      <c r="T67" s="56">
        <f t="shared" si="9"/>
        <v>1.9201186520631151E-2</v>
      </c>
    </row>
    <row r="68" spans="1:20" x14ac:dyDescent="0.25">
      <c r="A68">
        <v>8.3575372396758274E-2</v>
      </c>
      <c r="B68">
        <v>0.5049332685302943</v>
      </c>
      <c r="D68">
        <v>7.0120056811631915E-2</v>
      </c>
      <c r="E68">
        <v>-1.8450912227763183</v>
      </c>
      <c r="J68">
        <v>20</v>
      </c>
      <c r="K68">
        <v>-0.36988842566643143</v>
      </c>
      <c r="L68">
        <v>20.504009664509514</v>
      </c>
      <c r="M68">
        <v>10</v>
      </c>
      <c r="N68">
        <v>0.68915039378225629</v>
      </c>
      <c r="O68">
        <v>23.950537244235129</v>
      </c>
      <c r="P68" s="1">
        <f t="shared" si="5"/>
        <v>1.5876623895980231</v>
      </c>
      <c r="Q68" s="1">
        <f t="shared" si="6"/>
        <v>0.23814935843970345</v>
      </c>
      <c r="R68" s="1">
        <f t="shared" si="7"/>
        <v>0.48800549017373096</v>
      </c>
      <c r="S68" s="1">
        <f t="shared" si="8"/>
        <v>-2.1701371004487422</v>
      </c>
      <c r="T68" s="56">
        <f t="shared" si="9"/>
        <v>1.9317026850422664E-2</v>
      </c>
    </row>
    <row r="69" spans="1:20" x14ac:dyDescent="0.25">
      <c r="A69">
        <v>8.5614137362313825E-2</v>
      </c>
      <c r="B69">
        <v>0.36108076528762467</v>
      </c>
      <c r="D69">
        <v>7.0650130578378545E-2</v>
      </c>
      <c r="E69">
        <v>0.1335031322469149</v>
      </c>
      <c r="J69">
        <v>20</v>
      </c>
      <c r="K69">
        <v>-0.19903262682419154</v>
      </c>
      <c r="L69">
        <v>13.38976245115499</v>
      </c>
      <c r="M69">
        <v>10</v>
      </c>
      <c r="N69">
        <v>1.1124579907573207</v>
      </c>
      <c r="O69">
        <v>55.563352619047059</v>
      </c>
      <c r="P69" s="1">
        <f t="shared" si="5"/>
        <v>2.4626112525072159</v>
      </c>
      <c r="Q69" s="1">
        <f t="shared" si="6"/>
        <v>0.3693916878760824</v>
      </c>
      <c r="R69" s="1">
        <f t="shared" si="7"/>
        <v>0.60777601785203927</v>
      </c>
      <c r="S69" s="1">
        <f t="shared" si="8"/>
        <v>-2.1578518715109776</v>
      </c>
      <c r="T69" s="56">
        <f t="shared" si="9"/>
        <v>1.9832935955996854E-2</v>
      </c>
    </row>
    <row r="70" spans="1:20" x14ac:dyDescent="0.25">
      <c r="A70">
        <v>8.5873480600303087E-2</v>
      </c>
      <c r="B70">
        <v>-1.4428860595216975</v>
      </c>
      <c r="D70">
        <v>7.3497934333643822E-2</v>
      </c>
      <c r="E70">
        <v>5.8543566831303906</v>
      </c>
      <c r="J70">
        <v>20</v>
      </c>
      <c r="K70">
        <v>1.5882676507317228E-2</v>
      </c>
      <c r="L70">
        <v>30.073971277638432</v>
      </c>
      <c r="M70">
        <v>10</v>
      </c>
      <c r="N70">
        <v>1.541121943091639</v>
      </c>
      <c r="O70">
        <v>65.295267882297367</v>
      </c>
      <c r="P70" s="1">
        <f t="shared" si="5"/>
        <v>3.406044255711993</v>
      </c>
      <c r="Q70" s="1">
        <f t="shared" si="6"/>
        <v>0.51090663835679895</v>
      </c>
      <c r="R70" s="1">
        <f t="shared" si="7"/>
        <v>0.71477733480909911</v>
      </c>
      <c r="S70" s="1">
        <f t="shared" si="8"/>
        <v>-2.1338662997640778</v>
      </c>
      <c r="T70" s="56">
        <f t="shared" si="9"/>
        <v>2.0875831657236589E-2</v>
      </c>
    </row>
    <row r="71" spans="1:20" x14ac:dyDescent="0.25">
      <c r="A71">
        <v>8.6910465815454918E-2</v>
      </c>
      <c r="B71">
        <v>-1.25298356579151</v>
      </c>
      <c r="D71">
        <v>7.3541445249704518E-2</v>
      </c>
      <c r="E71">
        <v>7.1973165597682964</v>
      </c>
      <c r="J71">
        <v>20</v>
      </c>
      <c r="K71">
        <v>0.10967437447106931</v>
      </c>
      <c r="L71">
        <v>19.751682943158553</v>
      </c>
      <c r="M71">
        <v>10</v>
      </c>
      <c r="N71">
        <v>1.5437559534348111</v>
      </c>
      <c r="O71">
        <v>65.046966124374038</v>
      </c>
      <c r="P71" s="1">
        <f t="shared" si="5"/>
        <v>3.0285231809833069</v>
      </c>
      <c r="Q71" s="1">
        <f t="shared" si="6"/>
        <v>0.45427847714749603</v>
      </c>
      <c r="R71" s="1">
        <f t="shared" si="7"/>
        <v>0.67400183764400523</v>
      </c>
      <c r="S71" s="1">
        <f t="shared" si="8"/>
        <v>-2.1277116750550999</v>
      </c>
      <c r="T71" s="56">
        <f t="shared" si="9"/>
        <v>2.1151205839208164E-2</v>
      </c>
    </row>
    <row r="72" spans="1:20" x14ac:dyDescent="0.25">
      <c r="A72">
        <v>8.9922693674746479E-2</v>
      </c>
      <c r="B72">
        <v>1.3504086382454261</v>
      </c>
      <c r="D72">
        <v>7.4525904597573578E-2</v>
      </c>
      <c r="E72">
        <v>-0.66117468463744444</v>
      </c>
      <c r="J72">
        <v>20</v>
      </c>
      <c r="K72">
        <v>-4.4586840886040591E-3</v>
      </c>
      <c r="L72">
        <v>31.941782261234803</v>
      </c>
      <c r="M72">
        <v>10</v>
      </c>
      <c r="N72">
        <v>1.4233909234917519</v>
      </c>
      <c r="O72">
        <v>52.964163066549652</v>
      </c>
      <c r="P72" s="1">
        <f t="shared" si="5"/>
        <v>3.0323551902780159</v>
      </c>
      <c r="Q72" s="1">
        <f t="shared" si="6"/>
        <v>0.45485327854170238</v>
      </c>
      <c r="R72" s="1">
        <f t="shared" si="7"/>
        <v>0.67442811221189647</v>
      </c>
      <c r="S72" s="1">
        <f t="shared" si="8"/>
        <v>-2.1171264686720894</v>
      </c>
      <c r="T72" s="56">
        <f t="shared" si="9"/>
        <v>2.1632397263842928E-2</v>
      </c>
    </row>
    <row r="73" spans="1:20" x14ac:dyDescent="0.25">
      <c r="A73">
        <v>9.0017304660947373E-2</v>
      </c>
      <c r="B73">
        <v>1.5908790373941883</v>
      </c>
      <c r="D73">
        <v>7.6823244241937649E-2</v>
      </c>
      <c r="E73">
        <v>3.2620239346670132</v>
      </c>
      <c r="J73">
        <v>20</v>
      </c>
      <c r="K73">
        <v>0.16860718687894405</v>
      </c>
      <c r="L73">
        <v>10.404512164517428</v>
      </c>
      <c r="M73">
        <v>10</v>
      </c>
      <c r="N73">
        <v>2.8842294989317452</v>
      </c>
      <c r="O73">
        <v>297.88167718381391</v>
      </c>
      <c r="P73" s="1">
        <f t="shared" si="5"/>
        <v>11.01022104815469</v>
      </c>
      <c r="Q73" s="1">
        <f t="shared" si="6"/>
        <v>1.6515331572232035</v>
      </c>
      <c r="R73" s="1">
        <f t="shared" si="7"/>
        <v>1.2851198999405478</v>
      </c>
      <c r="S73" s="1">
        <f t="shared" si="8"/>
        <v>-2.1131275861329604</v>
      </c>
      <c r="T73" s="56">
        <f t="shared" si="9"/>
        <v>2.1816704077506476E-2</v>
      </c>
    </row>
    <row r="74" spans="1:20" x14ac:dyDescent="0.25">
      <c r="A74">
        <v>9.1076051002180303E-2</v>
      </c>
      <c r="B74">
        <v>-0.48263814278470818</v>
      </c>
      <c r="D74">
        <v>7.7055597933840647E-2</v>
      </c>
      <c r="E74">
        <v>-4.1133960201023001</v>
      </c>
      <c r="J74">
        <v>20</v>
      </c>
      <c r="K74">
        <v>-0.28205175794937531</v>
      </c>
      <c r="L74">
        <v>23.152763684451713</v>
      </c>
      <c r="M74">
        <v>10</v>
      </c>
      <c r="N74">
        <v>1.5455738059699797</v>
      </c>
      <c r="O74">
        <v>117.39335985006416</v>
      </c>
      <c r="P74" s="1">
        <f t="shared" si="5"/>
        <v>5.0195044119469951</v>
      </c>
      <c r="Q74" s="1">
        <f t="shared" si="6"/>
        <v>0.75292566179204923</v>
      </c>
      <c r="R74" s="1">
        <f t="shared" si="7"/>
        <v>0.86771289133678842</v>
      </c>
      <c r="S74" s="1">
        <f t="shared" si="8"/>
        <v>-2.1062560925005234</v>
      </c>
      <c r="T74" s="56">
        <f t="shared" si="9"/>
        <v>2.2136674620911546E-2</v>
      </c>
    </row>
    <row r="75" spans="1:20" x14ac:dyDescent="0.25">
      <c r="A75">
        <v>9.1371904261122516E-2</v>
      </c>
      <c r="B75">
        <v>0.321426796290325</v>
      </c>
      <c r="D75">
        <v>7.966777882839593E-2</v>
      </c>
      <c r="E75">
        <v>6.9488062274558615</v>
      </c>
      <c r="J75">
        <v>20</v>
      </c>
      <c r="K75">
        <v>2.0138656964263646E-2</v>
      </c>
      <c r="L75">
        <v>11.211670712514444</v>
      </c>
      <c r="M75">
        <v>10</v>
      </c>
      <c r="N75">
        <v>1.3782058624656202</v>
      </c>
      <c r="O75">
        <v>67.399192157841696</v>
      </c>
      <c r="P75" s="1">
        <f t="shared" si="5"/>
        <v>2.8075308167984336</v>
      </c>
      <c r="Q75" s="1">
        <f t="shared" si="6"/>
        <v>0.42112962251976505</v>
      </c>
      <c r="R75" s="1">
        <f t="shared" si="7"/>
        <v>0.64894500731553906</v>
      </c>
      <c r="S75" s="1">
        <f t="shared" si="8"/>
        <v>-2.0927308018274315</v>
      </c>
      <c r="T75" s="56">
        <f t="shared" si="9"/>
        <v>2.2778694152660553E-2</v>
      </c>
    </row>
    <row r="76" spans="1:20" x14ac:dyDescent="0.25">
      <c r="A76">
        <v>9.1536155138335906E-2</v>
      </c>
      <c r="B76">
        <v>-0.2167610091419192</v>
      </c>
      <c r="D76">
        <v>8.0414213350692432E-2</v>
      </c>
      <c r="E76">
        <v>-0.98693522318171745</v>
      </c>
      <c r="J76">
        <v>20</v>
      </c>
      <c r="K76">
        <v>0.11743236427719239</v>
      </c>
      <c r="L76">
        <v>17.948490945632894</v>
      </c>
      <c r="M76">
        <v>10</v>
      </c>
      <c r="N76">
        <v>2.9443362984693522</v>
      </c>
      <c r="O76">
        <v>322.9946802888831</v>
      </c>
      <c r="P76" s="1">
        <f t="shared" si="5"/>
        <v>12.176541829804142</v>
      </c>
      <c r="Q76" s="1">
        <f t="shared" si="6"/>
        <v>1.8264812744706211</v>
      </c>
      <c r="R76" s="1">
        <f t="shared" si="7"/>
        <v>1.3514737416874296</v>
      </c>
      <c r="S76" s="1">
        <f t="shared" si="8"/>
        <v>-2.0917194666783021</v>
      </c>
      <c r="T76" s="56">
        <f t="shared" si="9"/>
        <v>2.2827358412675084E-2</v>
      </c>
    </row>
    <row r="77" spans="1:20" x14ac:dyDescent="0.25">
      <c r="A77">
        <v>9.3074313617823368E-2</v>
      </c>
      <c r="B77">
        <v>-1.253656591870822</v>
      </c>
      <c r="D77">
        <v>8.1907495369894501E-2</v>
      </c>
      <c r="E77">
        <v>-3.8778118812388129</v>
      </c>
      <c r="J77">
        <v>20</v>
      </c>
      <c r="K77">
        <v>-0.20024043578814599</v>
      </c>
      <c r="L77">
        <v>13.397718402328399</v>
      </c>
      <c r="M77">
        <v>10</v>
      </c>
      <c r="N77">
        <v>1.393896351373769</v>
      </c>
      <c r="O77">
        <v>97.239079089284473</v>
      </c>
      <c r="P77" s="1">
        <f t="shared" si="5"/>
        <v>3.9513141961290308</v>
      </c>
      <c r="Q77" s="1">
        <f t="shared" si="6"/>
        <v>0.5926971294193546</v>
      </c>
      <c r="R77" s="1">
        <f t="shared" si="7"/>
        <v>0.76986825458603925</v>
      </c>
      <c r="S77" s="1">
        <f t="shared" si="8"/>
        <v>-2.0706618017638454</v>
      </c>
      <c r="T77" s="56">
        <f t="shared" si="9"/>
        <v>2.3861812174431823E-2</v>
      </c>
    </row>
    <row r="78" spans="1:20" x14ac:dyDescent="0.25">
      <c r="A78">
        <v>9.3104229924037218E-2</v>
      </c>
      <c r="B78">
        <v>-0.62170556702767499</v>
      </c>
      <c r="D78">
        <v>8.4700692329691463E-2</v>
      </c>
      <c r="E78">
        <v>1.2175571521311213</v>
      </c>
      <c r="J78">
        <v>20</v>
      </c>
      <c r="K78">
        <v>-0.38962116377661005</v>
      </c>
      <c r="L78">
        <v>17.00507632158844</v>
      </c>
      <c r="M78">
        <v>10</v>
      </c>
      <c r="N78">
        <v>1.0577781461051927</v>
      </c>
      <c r="O78">
        <v>75.169534641110303</v>
      </c>
      <c r="P78" s="1">
        <f t="shared" si="5"/>
        <v>3.2919503915249555</v>
      </c>
      <c r="Q78" s="1">
        <f t="shared" si="6"/>
        <v>0.49379255872874328</v>
      </c>
      <c r="R78" s="1">
        <f t="shared" si="7"/>
        <v>0.70270374890756293</v>
      </c>
      <c r="S78" s="1">
        <f t="shared" si="8"/>
        <v>-2.0597574897415281</v>
      </c>
      <c r="T78" s="56">
        <f t="shared" si="9"/>
        <v>2.4413638011419676E-2</v>
      </c>
    </row>
    <row r="79" spans="1:20" x14ac:dyDescent="0.25">
      <c r="A79">
        <v>9.5288488409184136E-2</v>
      </c>
      <c r="B79">
        <v>0.84100975072942674</v>
      </c>
      <c r="D79">
        <v>8.4927281412357392E-2</v>
      </c>
      <c r="E79">
        <v>3.2543978215926472</v>
      </c>
      <c r="J79">
        <v>20</v>
      </c>
      <c r="K79">
        <v>2.2473670924227918E-2</v>
      </c>
      <c r="L79">
        <v>22.507584010748278</v>
      </c>
      <c r="M79">
        <v>10</v>
      </c>
      <c r="N79">
        <v>1.5251545130468003</v>
      </c>
      <c r="O79">
        <v>77.136758015241725</v>
      </c>
      <c r="P79" s="1">
        <f t="shared" si="5"/>
        <v>3.5587265009282141</v>
      </c>
      <c r="Q79" s="1">
        <f t="shared" si="6"/>
        <v>0.53380897513923209</v>
      </c>
      <c r="R79" s="1">
        <f t="shared" si="7"/>
        <v>0.7306223204496507</v>
      </c>
      <c r="S79" s="1">
        <f t="shared" si="8"/>
        <v>-2.0567135715177298</v>
      </c>
      <c r="T79" s="56">
        <f t="shared" si="9"/>
        <v>2.4569681760846129E-2</v>
      </c>
    </row>
    <row r="80" spans="1:20" x14ac:dyDescent="0.25">
      <c r="A80">
        <v>9.5417426055844468E-2</v>
      </c>
      <c r="B80">
        <v>0.57802139963314403</v>
      </c>
      <c r="D80">
        <v>8.550211759217663E-2</v>
      </c>
      <c r="E80">
        <v>4.5044800992855016</v>
      </c>
      <c r="J80">
        <v>20</v>
      </c>
      <c r="K80">
        <v>2.0947595658071805E-2</v>
      </c>
      <c r="L80">
        <v>23.262974095840459</v>
      </c>
      <c r="M80">
        <v>10</v>
      </c>
      <c r="N80">
        <v>1.3693474977571896</v>
      </c>
      <c r="O80">
        <v>57.318580852491984</v>
      </c>
      <c r="P80" s="1">
        <f t="shared" si="5"/>
        <v>2.8779126767261585</v>
      </c>
      <c r="Q80" s="1">
        <f t="shared" si="6"/>
        <v>0.43168690150892375</v>
      </c>
      <c r="R80" s="1">
        <f t="shared" si="7"/>
        <v>0.65702884374198045</v>
      </c>
      <c r="S80" s="1">
        <f t="shared" si="8"/>
        <v>-2.0522689603999229</v>
      </c>
      <c r="T80" s="56">
        <f t="shared" si="9"/>
        <v>2.4799115128241987E-2</v>
      </c>
    </row>
    <row r="81" spans="1:20" x14ac:dyDescent="0.25">
      <c r="A81">
        <v>9.5763622809015292E-2</v>
      </c>
      <c r="B81">
        <v>-5.5456439440604299E-3</v>
      </c>
      <c r="D81">
        <v>8.5538229610642169E-2</v>
      </c>
      <c r="E81">
        <v>-3.6420572121187433</v>
      </c>
      <c r="J81">
        <v>20</v>
      </c>
      <c r="K81">
        <v>-0.11626576679191203</v>
      </c>
      <c r="L81">
        <v>10.757806504184209</v>
      </c>
      <c r="M81">
        <v>10</v>
      </c>
      <c r="N81">
        <v>1.3618219975342072</v>
      </c>
      <c r="O81">
        <v>86.452333054327838</v>
      </c>
      <c r="P81" s="1">
        <f t="shared" si="5"/>
        <v>3.4717906985182876</v>
      </c>
      <c r="Q81" s="1">
        <f t="shared" si="6"/>
        <v>0.52076860477774312</v>
      </c>
      <c r="R81" s="1">
        <f t="shared" si="7"/>
        <v>0.72164298983482345</v>
      </c>
      <c r="S81" s="1">
        <f t="shared" si="8"/>
        <v>-2.0482257641890738</v>
      </c>
      <c r="T81" s="56">
        <f t="shared" si="9"/>
        <v>2.5009470191042691E-2</v>
      </c>
    </row>
    <row r="82" spans="1:20" x14ac:dyDescent="0.25">
      <c r="A82">
        <v>9.6449950166267784E-2</v>
      </c>
      <c r="B82">
        <v>-0.76579226515605114</v>
      </c>
      <c r="D82">
        <v>8.5596036478212234E-2</v>
      </c>
      <c r="E82">
        <v>-1.9189922147688776</v>
      </c>
      <c r="J82">
        <v>20</v>
      </c>
      <c r="K82">
        <v>-2.6078623704961501E-3</v>
      </c>
      <c r="L82">
        <v>11.456972432200073</v>
      </c>
      <c r="M82">
        <v>10</v>
      </c>
      <c r="N82">
        <v>1.7056532863080065</v>
      </c>
      <c r="O82">
        <v>118.46916561094788</v>
      </c>
      <c r="P82" s="1">
        <f t="shared" si="5"/>
        <v>4.6402192158267122</v>
      </c>
      <c r="Q82" s="1">
        <f t="shared" si="6"/>
        <v>0.69603288237400684</v>
      </c>
      <c r="R82" s="1">
        <f t="shared" si="7"/>
        <v>0.83428585171630887</v>
      </c>
      <c r="S82" s="1">
        <f t="shared" si="8"/>
        <v>-2.0475729573553658</v>
      </c>
      <c r="T82" s="56">
        <f t="shared" si="9"/>
        <v>2.504358115301715E-2</v>
      </c>
    </row>
    <row r="83" spans="1:20" x14ac:dyDescent="0.25">
      <c r="A83">
        <v>9.6998672149015253E-2</v>
      </c>
      <c r="B83">
        <v>0.75455773185240105</v>
      </c>
      <c r="D83">
        <v>8.5653904333345965E-2</v>
      </c>
      <c r="E83">
        <v>-0.96938765977938601</v>
      </c>
      <c r="J83">
        <v>20</v>
      </c>
      <c r="K83">
        <v>0.10577258535704459</v>
      </c>
      <c r="L83">
        <v>18.052525983215642</v>
      </c>
      <c r="M83">
        <v>10</v>
      </c>
      <c r="N83">
        <v>2.054448369790407</v>
      </c>
      <c r="O83">
        <v>151.64860356181521</v>
      </c>
      <c r="P83" s="1">
        <f t="shared" si="5"/>
        <v>6.0607546266082446</v>
      </c>
      <c r="Q83" s="1">
        <f t="shared" si="6"/>
        <v>0.90911319399123669</v>
      </c>
      <c r="R83" s="1">
        <f t="shared" si="7"/>
        <v>0.95347427547429753</v>
      </c>
      <c r="S83" s="1">
        <f t="shared" si="8"/>
        <v>-2.0437633552976671</v>
      </c>
      <c r="T83" s="56">
        <f t="shared" si="9"/>
        <v>2.5243464405621779E-2</v>
      </c>
    </row>
    <row r="84" spans="1:20" x14ac:dyDescent="0.25">
      <c r="A84">
        <v>9.7102689789759333E-2</v>
      </c>
      <c r="B84">
        <v>-2.7521309675648808</v>
      </c>
      <c r="D84">
        <v>8.7305917587025994E-2</v>
      </c>
      <c r="E84">
        <v>-0.41478233811176324</v>
      </c>
      <c r="J84">
        <v>20</v>
      </c>
      <c r="K84">
        <v>-8.5461465459957253E-2</v>
      </c>
      <c r="L84">
        <v>16.61793237130081</v>
      </c>
      <c r="M84">
        <v>10</v>
      </c>
      <c r="N84">
        <v>1.2718720620341628</v>
      </c>
      <c r="O84">
        <v>65.899604616029876</v>
      </c>
      <c r="P84" s="1">
        <f t="shared" si="5"/>
        <v>2.9470548924046676</v>
      </c>
      <c r="Q84" s="1">
        <f t="shared" si="6"/>
        <v>0.44205823386070014</v>
      </c>
      <c r="R84" s="1">
        <f t="shared" si="7"/>
        <v>0.66487460010192911</v>
      </c>
      <c r="S84" s="1">
        <f t="shared" si="8"/>
        <v>-2.0414880148617995</v>
      </c>
      <c r="T84" s="56">
        <f t="shared" si="9"/>
        <v>2.5363518481372284E-2</v>
      </c>
    </row>
    <row r="85" spans="1:20" x14ac:dyDescent="0.25">
      <c r="A85">
        <v>0.10069809452600675</v>
      </c>
      <c r="B85">
        <v>-0.57720853874343447</v>
      </c>
      <c r="D85">
        <v>8.7597879608471207E-2</v>
      </c>
      <c r="E85">
        <v>-0.43419891312623804</v>
      </c>
      <c r="J85">
        <v>20</v>
      </c>
      <c r="K85">
        <v>-0.41701872532939888</v>
      </c>
      <c r="L85">
        <v>29.19635961730506</v>
      </c>
      <c r="M85">
        <v>10</v>
      </c>
      <c r="N85">
        <v>0.64752941511869722</v>
      </c>
      <c r="O85">
        <v>22.439822206226481</v>
      </c>
      <c r="P85" s="1">
        <f t="shared" si="5"/>
        <v>1.8441493508404123</v>
      </c>
      <c r="Q85" s="1">
        <f t="shared" si="6"/>
        <v>0.27662240262606186</v>
      </c>
      <c r="R85" s="1">
        <f t="shared" si="7"/>
        <v>0.52594904945827392</v>
      </c>
      <c r="S85" s="1">
        <f t="shared" si="8"/>
        <v>-2.0240518383759372</v>
      </c>
      <c r="T85" s="56">
        <f t="shared" si="9"/>
        <v>2.6300353693402428E-2</v>
      </c>
    </row>
    <row r="86" spans="1:20" x14ac:dyDescent="0.25">
      <c r="A86">
        <v>0.10180992860976279</v>
      </c>
      <c r="B86">
        <v>-0.41286170926468913</v>
      </c>
      <c r="D86">
        <v>8.7984507709109483E-2</v>
      </c>
      <c r="E86">
        <v>6.5531760321846377</v>
      </c>
      <c r="J86">
        <v>20</v>
      </c>
      <c r="K86">
        <v>-0.27118602474729414</v>
      </c>
      <c r="L86">
        <v>19.211007557645658</v>
      </c>
      <c r="M86">
        <v>10</v>
      </c>
      <c r="N86">
        <v>1.6107767316952959</v>
      </c>
      <c r="O86">
        <v>144.93307832100939</v>
      </c>
      <c r="P86" s="1">
        <f t="shared" si="5"/>
        <v>5.8622887813805376</v>
      </c>
      <c r="Q86" s="1">
        <f t="shared" si="6"/>
        <v>0.87934331720708059</v>
      </c>
      <c r="R86" s="1">
        <f t="shared" si="7"/>
        <v>0.93773307353803015</v>
      </c>
      <c r="S86" s="1">
        <f t="shared" si="8"/>
        <v>-2.0069279942766851</v>
      </c>
      <c r="T86" s="56">
        <f t="shared" si="9"/>
        <v>2.7249945555497864E-2</v>
      </c>
    </row>
    <row r="87" spans="1:20" x14ac:dyDescent="0.25">
      <c r="A87">
        <v>0.10289750375377305</v>
      </c>
      <c r="B87">
        <v>0.15642513062630314</v>
      </c>
      <c r="D87">
        <v>8.8575599712470643E-2</v>
      </c>
      <c r="E87">
        <v>-1.233071774322525</v>
      </c>
      <c r="J87">
        <v>20</v>
      </c>
      <c r="K87">
        <v>-0.11319281156829675</v>
      </c>
      <c r="L87">
        <v>16.16376877011044</v>
      </c>
      <c r="M87">
        <v>10</v>
      </c>
      <c r="N87">
        <v>1.4794322817124339</v>
      </c>
      <c r="O87">
        <v>102.41923043341693</v>
      </c>
      <c r="P87" s="1">
        <f t="shared" si="5"/>
        <v>4.2351071144116919</v>
      </c>
      <c r="Q87" s="1">
        <f t="shared" si="6"/>
        <v>0.63526606716175371</v>
      </c>
      <c r="R87" s="1">
        <f t="shared" si="7"/>
        <v>0.7970358004266519</v>
      </c>
      <c r="S87" s="1">
        <f t="shared" si="8"/>
        <v>-1.9981851410290494</v>
      </c>
      <c r="T87" s="56">
        <f t="shared" si="9"/>
        <v>2.7746301744786928E-2</v>
      </c>
    </row>
    <row r="88" spans="1:20" x14ac:dyDescent="0.25">
      <c r="A88">
        <v>0.10321431584725982</v>
      </c>
      <c r="B88">
        <v>-1.0807843864313327</v>
      </c>
      <c r="D88">
        <v>8.971789493291582E-2</v>
      </c>
      <c r="E88">
        <v>-5.8469111115755368</v>
      </c>
      <c r="J88">
        <v>20</v>
      </c>
      <c r="K88">
        <v>0.19504409465298522</v>
      </c>
      <c r="L88">
        <v>11.123554757864355</v>
      </c>
      <c r="M88">
        <v>10</v>
      </c>
      <c r="N88">
        <v>1.6709408293991146</v>
      </c>
      <c r="O88">
        <v>92.181609760615217</v>
      </c>
      <c r="P88" s="1">
        <f t="shared" si="5"/>
        <v>3.6894701613742704</v>
      </c>
      <c r="Q88" s="1">
        <f t="shared" si="6"/>
        <v>0.55342052420614052</v>
      </c>
      <c r="R88" s="1">
        <f t="shared" si="7"/>
        <v>0.74392239125203141</v>
      </c>
      <c r="S88" s="1">
        <f t="shared" si="8"/>
        <v>-1.9839391206684547</v>
      </c>
      <c r="T88" s="56">
        <f t="shared" si="9"/>
        <v>2.8572105368228011E-2</v>
      </c>
    </row>
    <row r="89" spans="1:20" x14ac:dyDescent="0.25">
      <c r="A89">
        <v>0.10410807136997646</v>
      </c>
      <c r="B89">
        <v>3.0030378184164874E-2</v>
      </c>
      <c r="D89">
        <v>8.9726604959094569E-2</v>
      </c>
      <c r="E89">
        <v>-0.41778708123274555</v>
      </c>
      <c r="J89">
        <v>20</v>
      </c>
      <c r="K89">
        <v>0.15244631867972203</v>
      </c>
      <c r="L89">
        <v>19.665279417045042</v>
      </c>
      <c r="M89">
        <v>10</v>
      </c>
      <c r="N89">
        <v>2.5810389809066692</v>
      </c>
      <c r="O89">
        <v>280.53858113870797</v>
      </c>
      <c r="P89" s="1">
        <f t="shared" si="5"/>
        <v>10.72156644841975</v>
      </c>
      <c r="Q89" s="1">
        <f t="shared" si="6"/>
        <v>1.6082349672629626</v>
      </c>
      <c r="R89" s="1">
        <f t="shared" si="7"/>
        <v>1.2681620429830576</v>
      </c>
      <c r="S89" s="1">
        <f t="shared" si="8"/>
        <v>-1.9150491655737032</v>
      </c>
      <c r="T89" s="56">
        <f t="shared" si="9"/>
        <v>3.2876327699386358E-2</v>
      </c>
    </row>
    <row r="90" spans="1:20" x14ac:dyDescent="0.25">
      <c r="A90">
        <v>0.10540355341458174</v>
      </c>
      <c r="B90">
        <v>-0.23953134586918168</v>
      </c>
      <c r="D90">
        <v>9.4436365816446655E-2</v>
      </c>
      <c r="E90">
        <v>0.54205952096708643</v>
      </c>
      <c r="J90">
        <v>20</v>
      </c>
      <c r="K90">
        <v>-8.0275469827029156E-2</v>
      </c>
      <c r="L90">
        <v>17.099154025138823</v>
      </c>
      <c r="M90">
        <v>10</v>
      </c>
      <c r="N90">
        <v>1.3308086829511012</v>
      </c>
      <c r="O90">
        <v>84.282443107375826</v>
      </c>
      <c r="P90" s="1">
        <f t="shared" si="5"/>
        <v>3.6207713261612375</v>
      </c>
      <c r="Q90" s="1">
        <f t="shared" si="6"/>
        <v>0.54311569892418565</v>
      </c>
      <c r="R90" s="1">
        <f t="shared" si="7"/>
        <v>0.73696383827443368</v>
      </c>
      <c r="S90" s="1">
        <f t="shared" si="8"/>
        <v>-1.9147264485624123</v>
      </c>
      <c r="T90" s="56">
        <f t="shared" si="9"/>
        <v>3.2897751026113926E-2</v>
      </c>
    </row>
    <row r="91" spans="1:20" x14ac:dyDescent="0.25">
      <c r="A91">
        <v>0.10559864346839365</v>
      </c>
      <c r="B91">
        <v>1.4297961570264306</v>
      </c>
      <c r="D91">
        <v>9.5406274970214811E-2</v>
      </c>
      <c r="E91">
        <v>2.3582545020417456</v>
      </c>
      <c r="J91">
        <v>20</v>
      </c>
      <c r="K91">
        <v>6.6565917222760618E-3</v>
      </c>
      <c r="L91">
        <v>22.898400984971101</v>
      </c>
      <c r="M91">
        <v>10</v>
      </c>
      <c r="N91">
        <v>1.8946986949686107</v>
      </c>
      <c r="O91">
        <v>159.03777906682359</v>
      </c>
      <c r="P91" s="1">
        <f t="shared" si="5"/>
        <v>6.4977207161355244</v>
      </c>
      <c r="Q91" s="1">
        <f t="shared" si="6"/>
        <v>0.97465810742032866</v>
      </c>
      <c r="R91" s="1">
        <f t="shared" si="7"/>
        <v>0.98724774368966206</v>
      </c>
      <c r="S91" s="1">
        <f t="shared" si="8"/>
        <v>-1.9124298995003164</v>
      </c>
      <c r="T91" s="56">
        <f t="shared" si="9"/>
        <v>3.3050556229680249E-2</v>
      </c>
    </row>
    <row r="92" spans="1:20" x14ac:dyDescent="0.25">
      <c r="A92">
        <v>0.10580912937123021</v>
      </c>
      <c r="B92">
        <v>-0.53258986554283183</v>
      </c>
      <c r="D92">
        <v>9.6469410510768405E-2</v>
      </c>
      <c r="E92">
        <v>4.4503469746359769</v>
      </c>
      <c r="J92">
        <v>20</v>
      </c>
      <c r="K92">
        <v>-0.20404291944942088</v>
      </c>
      <c r="L92">
        <v>21.884447776749333</v>
      </c>
      <c r="M92">
        <v>10</v>
      </c>
      <c r="N92">
        <v>1.3043621686392726</v>
      </c>
      <c r="O92">
        <v>95.342903453664775</v>
      </c>
      <c r="P92" s="1">
        <f t="shared" si="5"/>
        <v>4.1866911153719331</v>
      </c>
      <c r="Q92" s="1">
        <f t="shared" si="6"/>
        <v>0.62800366730578994</v>
      </c>
      <c r="R92" s="1">
        <f t="shared" si="7"/>
        <v>0.79246682410419556</v>
      </c>
      <c r="S92" s="1">
        <f t="shared" si="8"/>
        <v>-1.9034299508926376</v>
      </c>
      <c r="T92" s="56">
        <f t="shared" si="9"/>
        <v>3.3655340068988543E-2</v>
      </c>
    </row>
    <row r="93" spans="1:20" x14ac:dyDescent="0.25">
      <c r="A93">
        <v>0.10679606212059312</v>
      </c>
      <c r="B93">
        <v>-0.7370795174210798</v>
      </c>
      <c r="D93">
        <v>9.6797411132941935E-2</v>
      </c>
      <c r="E93">
        <v>4.9296324925762747</v>
      </c>
      <c r="J93">
        <v>20</v>
      </c>
      <c r="K93">
        <v>-8.8682384102867218E-2</v>
      </c>
      <c r="L93">
        <v>16.000444048436396</v>
      </c>
      <c r="M93">
        <v>10</v>
      </c>
      <c r="N93">
        <v>1.361798805419312</v>
      </c>
      <c r="O93">
        <v>93.339863287428585</v>
      </c>
      <c r="P93" s="1">
        <f t="shared" si="5"/>
        <v>3.905010976280892</v>
      </c>
      <c r="Q93" s="1">
        <f t="shared" si="6"/>
        <v>0.58575164644213373</v>
      </c>
      <c r="R93" s="1">
        <f t="shared" si="7"/>
        <v>0.76534413595593309</v>
      </c>
      <c r="S93" s="1">
        <f t="shared" si="8"/>
        <v>-1.8952012844659658</v>
      </c>
      <c r="T93" s="56">
        <f t="shared" si="9"/>
        <v>3.4216672143958224E-2</v>
      </c>
    </row>
    <row r="94" spans="1:20" x14ac:dyDescent="0.25">
      <c r="A94">
        <v>0.10681487476313312</v>
      </c>
      <c r="B94">
        <v>-1.3118187780492008</v>
      </c>
      <c r="D94">
        <v>9.7444109144124047E-2</v>
      </c>
      <c r="E94">
        <v>-7.7743641213601222E-3</v>
      </c>
      <c r="J94">
        <v>20</v>
      </c>
      <c r="K94">
        <v>0.32909258607105585</v>
      </c>
      <c r="L94">
        <v>17.795637576093263</v>
      </c>
      <c r="M94">
        <v>10</v>
      </c>
      <c r="N94">
        <v>1.5580825413508137</v>
      </c>
      <c r="O94">
        <v>62.020697351627923</v>
      </c>
      <c r="P94" s="1">
        <f t="shared" si="5"/>
        <v>2.8505833902757565</v>
      </c>
      <c r="Q94" s="1">
        <f t="shared" si="6"/>
        <v>0.42758750854136346</v>
      </c>
      <c r="R94" s="1">
        <f t="shared" si="7"/>
        <v>0.653901757560999</v>
      </c>
      <c r="S94" s="1">
        <f t="shared" si="8"/>
        <v>-1.879471864189189</v>
      </c>
      <c r="T94" s="56">
        <f t="shared" si="9"/>
        <v>3.531227809902529E-2</v>
      </c>
    </row>
    <row r="95" spans="1:20" x14ac:dyDescent="0.25">
      <c r="A95">
        <v>0.10747761281556623</v>
      </c>
      <c r="B95">
        <v>-1.3069529813947156</v>
      </c>
      <c r="D95">
        <v>9.85351885503708E-2</v>
      </c>
      <c r="E95">
        <v>-0.80020800282909477</v>
      </c>
      <c r="J95">
        <v>20</v>
      </c>
      <c r="K95">
        <v>-0.36286155591369607</v>
      </c>
      <c r="L95">
        <v>18.542441303369809</v>
      </c>
      <c r="M95">
        <v>10</v>
      </c>
      <c r="N95">
        <v>0.6705758971747855</v>
      </c>
      <c r="O95">
        <v>39.4325085041135</v>
      </c>
      <c r="P95" s="1">
        <f t="shared" si="5"/>
        <v>2.0705339216958327</v>
      </c>
      <c r="Q95" s="1">
        <f t="shared" si="6"/>
        <v>0.31058008825437489</v>
      </c>
      <c r="R95" s="1">
        <f t="shared" si="7"/>
        <v>0.55729712744134519</v>
      </c>
      <c r="S95" s="1">
        <f t="shared" si="8"/>
        <v>-1.8543742685938203</v>
      </c>
      <c r="T95" s="56">
        <f t="shared" si="9"/>
        <v>3.7123194462211531E-2</v>
      </c>
    </row>
    <row r="96" spans="1:20" x14ac:dyDescent="0.25">
      <c r="A96">
        <v>0.10825268521612397</v>
      </c>
      <c r="B96">
        <v>-0.78480297815985978</v>
      </c>
      <c r="D96">
        <v>9.8582361130940988E-2</v>
      </c>
      <c r="E96">
        <v>5.5294760807100829</v>
      </c>
      <c r="J96">
        <v>20</v>
      </c>
      <c r="K96">
        <v>1.1137387900816975E-2</v>
      </c>
      <c r="L96">
        <v>16.515259512586123</v>
      </c>
      <c r="M96">
        <v>10</v>
      </c>
      <c r="N96">
        <v>1.2790425182629406</v>
      </c>
      <c r="O96">
        <v>71.792495119525313</v>
      </c>
      <c r="P96" s="1">
        <f t="shared" si="5"/>
        <v>3.1538483797182657</v>
      </c>
      <c r="Q96" s="1">
        <f t="shared" si="6"/>
        <v>0.47307725695773983</v>
      </c>
      <c r="R96" s="1">
        <f t="shared" si="7"/>
        <v>0.68780611872659281</v>
      </c>
      <c r="S96" s="1">
        <f t="shared" si="8"/>
        <v>-1.8434048430821299</v>
      </c>
      <c r="T96" s="56">
        <f t="shared" si="9"/>
        <v>3.7939487167321283E-2</v>
      </c>
    </row>
    <row r="97" spans="1:20" x14ac:dyDescent="0.25">
      <c r="A97">
        <v>0.1084434676094238</v>
      </c>
      <c r="B97">
        <v>1.2877853805548511</v>
      </c>
      <c r="D97">
        <v>0.10011047107643423</v>
      </c>
      <c r="E97">
        <v>-3.0284006732017588</v>
      </c>
      <c r="J97">
        <v>20</v>
      </c>
      <c r="K97">
        <v>7.7616732596652582E-2</v>
      </c>
      <c r="L97">
        <v>22.21773203021635</v>
      </c>
      <c r="M97">
        <v>10</v>
      </c>
      <c r="N97">
        <v>1.3666844972703984</v>
      </c>
      <c r="O97">
        <v>69.184990298095784</v>
      </c>
      <c r="P97" s="1">
        <f t="shared" si="5"/>
        <v>3.264382940296862</v>
      </c>
      <c r="Q97" s="1">
        <f t="shared" si="6"/>
        <v>0.4896574410445293</v>
      </c>
      <c r="R97" s="1">
        <f t="shared" si="7"/>
        <v>0.69975527225204193</v>
      </c>
      <c r="S97" s="1">
        <f t="shared" si="8"/>
        <v>-1.8421694209249801</v>
      </c>
      <c r="T97" s="56">
        <f t="shared" si="9"/>
        <v>3.803238160486816E-2</v>
      </c>
    </row>
    <row r="98" spans="1:20" x14ac:dyDescent="0.25">
      <c r="A98">
        <v>0.10874534762580312</v>
      </c>
      <c r="B98">
        <v>-0.4612604698195355</v>
      </c>
      <c r="D98">
        <v>0.10062093802988215</v>
      </c>
      <c r="E98">
        <v>2.7180119525382906</v>
      </c>
      <c r="J98">
        <v>20</v>
      </c>
      <c r="K98">
        <v>-0.19468870959826745</v>
      </c>
      <c r="L98">
        <v>15.120158602004313</v>
      </c>
      <c r="M98">
        <v>10</v>
      </c>
      <c r="N98">
        <v>1.3916797990987106</v>
      </c>
      <c r="O98">
        <v>123.55484373676012</v>
      </c>
      <c r="P98" s="1">
        <f t="shared" si="5"/>
        <v>4.9526786549558732</v>
      </c>
      <c r="Q98" s="1">
        <f t="shared" si="6"/>
        <v>0.74290179824338098</v>
      </c>
      <c r="R98" s="1">
        <f t="shared" si="7"/>
        <v>0.86191751243572079</v>
      </c>
      <c r="S98" s="1">
        <f t="shared" si="8"/>
        <v>-1.840510821289624</v>
      </c>
      <c r="T98" s="56">
        <f t="shared" si="9"/>
        <v>3.8157403274668218E-2</v>
      </c>
    </row>
    <row r="99" spans="1:20" x14ac:dyDescent="0.25">
      <c r="A99">
        <v>0.11296461329542151</v>
      </c>
      <c r="B99">
        <v>-0.11349925443937536</v>
      </c>
      <c r="D99">
        <v>0.10251377247808746</v>
      </c>
      <c r="E99">
        <v>1.0500282280645479</v>
      </c>
      <c r="J99">
        <v>20</v>
      </c>
      <c r="K99">
        <v>-0.23326225573327974</v>
      </c>
      <c r="L99">
        <v>15.695746212272905</v>
      </c>
      <c r="M99">
        <v>10</v>
      </c>
      <c r="N99">
        <v>1.3110500242419221</v>
      </c>
      <c r="O99">
        <v>118.17944049542295</v>
      </c>
      <c r="P99" s="1">
        <f t="shared" si="5"/>
        <v>4.781256668131995</v>
      </c>
      <c r="Q99" s="1">
        <f t="shared" si="6"/>
        <v>0.71718850021979919</v>
      </c>
      <c r="R99" s="1">
        <f t="shared" si="7"/>
        <v>0.84686982483720552</v>
      </c>
      <c r="S99" s="1">
        <f t="shared" si="8"/>
        <v>-1.8235533191563016</v>
      </c>
      <c r="T99" s="56">
        <f t="shared" si="9"/>
        <v>3.9456016007913555E-2</v>
      </c>
    </row>
    <row r="100" spans="1:20" x14ac:dyDescent="0.25">
      <c r="A100">
        <v>0.11567241601509004</v>
      </c>
      <c r="B100">
        <v>0.75903926699538715</v>
      </c>
      <c r="D100">
        <v>0.10467606970571108</v>
      </c>
      <c r="E100">
        <v>-0.42356464632575808</v>
      </c>
      <c r="J100">
        <v>20</v>
      </c>
      <c r="K100">
        <v>-5.8321631968283327E-2</v>
      </c>
      <c r="L100">
        <v>20.874006016884447</v>
      </c>
      <c r="M100">
        <v>10</v>
      </c>
      <c r="N100">
        <v>1.0823822515249049</v>
      </c>
      <c r="O100">
        <v>52.883661267009629</v>
      </c>
      <c r="P100" s="1">
        <f t="shared" si="5"/>
        <v>2.634202402996217</v>
      </c>
      <c r="Q100" s="1">
        <f t="shared" si="6"/>
        <v>0.39513036044943256</v>
      </c>
      <c r="R100" s="1">
        <f t="shared" si="7"/>
        <v>0.62859395514865757</v>
      </c>
      <c r="S100" s="1">
        <f t="shared" si="8"/>
        <v>-1.8146911438615738</v>
      </c>
      <c r="T100" s="56">
        <f t="shared" si="9"/>
        <v>4.0149638750941213E-2</v>
      </c>
    </row>
    <row r="101" spans="1:20" x14ac:dyDescent="0.25">
      <c r="A101">
        <v>0.11664413101872417</v>
      </c>
      <c r="B101">
        <v>-1.2923555914312601</v>
      </c>
      <c r="D101">
        <v>0.10817224126827629</v>
      </c>
      <c r="E101">
        <v>1.6995506905459479</v>
      </c>
      <c r="J101">
        <v>20</v>
      </c>
      <c r="K101">
        <v>0.12647791436393163</v>
      </c>
      <c r="L101">
        <v>15.853651355460975</v>
      </c>
      <c r="M101">
        <v>10</v>
      </c>
      <c r="N101">
        <v>1.2830499792926275</v>
      </c>
      <c r="O101">
        <v>60.151609464606842</v>
      </c>
      <c r="P101" s="1">
        <f t="shared" si="5"/>
        <v>2.7144736007167078</v>
      </c>
      <c r="Q101" s="1">
        <f t="shared" si="6"/>
        <v>0.40717104010750615</v>
      </c>
      <c r="R101" s="1">
        <f t="shared" si="7"/>
        <v>0.63809955344562508</v>
      </c>
      <c r="S101" s="1">
        <f t="shared" si="8"/>
        <v>-1.8125260528445926</v>
      </c>
      <c r="T101" s="56">
        <f t="shared" si="9"/>
        <v>4.0320674223015336E-2</v>
      </c>
    </row>
    <row r="102" spans="1:20" x14ac:dyDescent="0.25">
      <c r="A102">
        <v>0.1174242243413306</v>
      </c>
      <c r="B102">
        <v>0.81813141150632873</v>
      </c>
      <c r="D102">
        <v>0.10880901524769537</v>
      </c>
      <c r="E102">
        <v>1.1867014075050974</v>
      </c>
      <c r="J102">
        <v>20</v>
      </c>
      <c r="K102">
        <v>0.19006370166607667</v>
      </c>
      <c r="L102">
        <v>12.417546801051641</v>
      </c>
      <c r="M102">
        <v>10</v>
      </c>
      <c r="N102">
        <v>1.0963237821215444</v>
      </c>
      <c r="O102">
        <v>34.526976767655448</v>
      </c>
      <c r="P102" s="1">
        <f t="shared" si="5"/>
        <v>1.6765901274538246</v>
      </c>
      <c r="Q102" s="1">
        <f t="shared" si="6"/>
        <v>0.25148851911807368</v>
      </c>
      <c r="R102" s="1">
        <f t="shared" si="7"/>
        <v>0.50148631000065569</v>
      </c>
      <c r="S102" s="1">
        <f t="shared" si="8"/>
        <v>-1.8071481960380589</v>
      </c>
      <c r="T102" s="56">
        <f t="shared" si="9"/>
        <v>4.074820870715791E-2</v>
      </c>
    </row>
    <row r="103" spans="1:20" x14ac:dyDescent="0.25">
      <c r="A103">
        <v>0.11972924746352986</v>
      </c>
      <c r="B103">
        <v>-1.2111513569834642</v>
      </c>
      <c r="D103">
        <v>0.109191831024123</v>
      </c>
      <c r="E103">
        <v>1.6033375197821442</v>
      </c>
      <c r="J103">
        <v>20</v>
      </c>
      <c r="K103">
        <v>1.7361060145049123E-2</v>
      </c>
      <c r="L103">
        <v>25.189341807818671</v>
      </c>
      <c r="M103">
        <v>10</v>
      </c>
      <c r="N103">
        <v>1.1999154560271563</v>
      </c>
      <c r="O103">
        <v>55.260373934731049</v>
      </c>
      <c r="P103" s="1">
        <f t="shared" si="5"/>
        <v>2.8732041336624903</v>
      </c>
      <c r="Q103" s="1">
        <f t="shared" si="6"/>
        <v>0.43098062004937354</v>
      </c>
      <c r="R103" s="1">
        <f t="shared" si="7"/>
        <v>0.65649114239978401</v>
      </c>
      <c r="S103" s="1">
        <f t="shared" si="8"/>
        <v>-1.801325744562698</v>
      </c>
      <c r="T103" s="56">
        <f t="shared" si="9"/>
        <v>4.1215453482003235E-2</v>
      </c>
    </row>
    <row r="104" spans="1:20" x14ac:dyDescent="0.25">
      <c r="A104">
        <v>0.11981851727790738</v>
      </c>
      <c r="B104">
        <v>-6.2118488131090999E-2</v>
      </c>
      <c r="D104">
        <v>0.10921112055983861</v>
      </c>
      <c r="E104">
        <v>2.4817661562792637</v>
      </c>
      <c r="J104">
        <v>20</v>
      </c>
      <c r="K104">
        <v>6.6508562213130062E-2</v>
      </c>
      <c r="L104">
        <v>16.141899057519492</v>
      </c>
      <c r="M104">
        <v>10</v>
      </c>
      <c r="N104">
        <v>1.7486217950590799</v>
      </c>
      <c r="O104">
        <v>148.08194565790609</v>
      </c>
      <c r="P104" s="1">
        <f t="shared" si="5"/>
        <v>5.8651373112651992</v>
      </c>
      <c r="Q104" s="1">
        <f t="shared" si="6"/>
        <v>0.87977059668977986</v>
      </c>
      <c r="R104" s="1">
        <f t="shared" si="7"/>
        <v>0.93796087161980257</v>
      </c>
      <c r="S104" s="1">
        <f t="shared" si="8"/>
        <v>-1.7933724995809692</v>
      </c>
      <c r="T104" s="56">
        <f t="shared" si="9"/>
        <v>4.1861084094211354E-2</v>
      </c>
    </row>
    <row r="105" spans="1:20" x14ac:dyDescent="0.25">
      <c r="A105">
        <v>0.12123357591947659</v>
      </c>
      <c r="B105">
        <v>-1.0308281161997002</v>
      </c>
      <c r="D105">
        <v>0.1093662557671109</v>
      </c>
      <c r="E105">
        <v>1.5378470800442301</v>
      </c>
      <c r="J105">
        <v>20</v>
      </c>
      <c r="K105">
        <v>-0.23987189479157678</v>
      </c>
      <c r="L105">
        <v>19.155068207991487</v>
      </c>
      <c r="M105">
        <v>10</v>
      </c>
      <c r="N105">
        <v>0.8939889505654719</v>
      </c>
      <c r="O105">
        <v>57.082969155622479</v>
      </c>
      <c r="P105" s="1">
        <f t="shared" si="5"/>
        <v>2.722787048700499</v>
      </c>
      <c r="Q105" s="1">
        <f t="shared" si="6"/>
        <v>0.40841805730507486</v>
      </c>
      <c r="R105" s="1">
        <f t="shared" si="7"/>
        <v>0.63907594017070835</v>
      </c>
      <c r="S105" s="1">
        <f t="shared" si="8"/>
        <v>-1.7742192657951958</v>
      </c>
      <c r="T105" s="56">
        <f t="shared" si="9"/>
        <v>4.3451414073600474E-2</v>
      </c>
    </row>
    <row r="106" spans="1:20" x14ac:dyDescent="0.25">
      <c r="A106">
        <v>0.12166301607428376</v>
      </c>
      <c r="B106">
        <v>0.81855887401616201</v>
      </c>
      <c r="D106">
        <v>0.11012933442470951</v>
      </c>
      <c r="E106">
        <v>0.10568282618805824</v>
      </c>
      <c r="J106">
        <v>20</v>
      </c>
      <c r="K106">
        <v>0.15127727692743065</v>
      </c>
      <c r="L106">
        <v>15.121729918560808</v>
      </c>
      <c r="M106">
        <v>10</v>
      </c>
      <c r="N106">
        <v>1.2471779166389751</v>
      </c>
      <c r="O106">
        <v>56.931467500697124</v>
      </c>
      <c r="P106" s="1">
        <f t="shared" si="5"/>
        <v>2.5733284792592115</v>
      </c>
      <c r="Q106" s="1">
        <f t="shared" si="6"/>
        <v>0.38599927188888172</v>
      </c>
      <c r="R106" s="1">
        <f t="shared" si="7"/>
        <v>0.62128839671193092</v>
      </c>
      <c r="S106" s="1">
        <f t="shared" si="8"/>
        <v>-1.7639161547381581</v>
      </c>
      <c r="T106" s="56">
        <f t="shared" si="9"/>
        <v>4.4327971624355353E-2</v>
      </c>
    </row>
    <row r="107" spans="1:20" x14ac:dyDescent="0.25">
      <c r="A107">
        <v>0.12200381800609938</v>
      </c>
      <c r="B107">
        <v>-1.099772362067597</v>
      </c>
      <c r="D107">
        <v>0.11030191145282575</v>
      </c>
      <c r="E107">
        <v>-2.2880981339312711</v>
      </c>
      <c r="J107">
        <v>20</v>
      </c>
      <c r="K107">
        <v>-9.8836437700811075E-2</v>
      </c>
      <c r="L107">
        <v>24.387173710534373</v>
      </c>
      <c r="M107">
        <v>10</v>
      </c>
      <c r="N107">
        <v>1.281021351360323</v>
      </c>
      <c r="O107">
        <v>91.39346076722984</v>
      </c>
      <c r="P107" s="1">
        <f t="shared" si="5"/>
        <v>4.1350226599201507</v>
      </c>
      <c r="Q107" s="1">
        <f t="shared" si="6"/>
        <v>0.62025339898802256</v>
      </c>
      <c r="R107" s="1">
        <f t="shared" si="7"/>
        <v>0.78756167948169153</v>
      </c>
      <c r="S107" s="1">
        <f t="shared" si="8"/>
        <v>-1.7520631399552646</v>
      </c>
      <c r="T107" s="56">
        <f t="shared" si="9"/>
        <v>4.5354925982205661E-2</v>
      </c>
    </row>
    <row r="108" spans="1:20" x14ac:dyDescent="0.25">
      <c r="A108">
        <v>0.12209826076344099</v>
      </c>
      <c r="B108">
        <v>0.37286326914909296</v>
      </c>
      <c r="D108">
        <v>0.11126531625218283</v>
      </c>
      <c r="E108">
        <v>3.3325279639484506</v>
      </c>
      <c r="J108">
        <v>20</v>
      </c>
      <c r="K108">
        <v>-7.7653737662330968E-2</v>
      </c>
      <c r="L108">
        <v>15.22744861080554</v>
      </c>
      <c r="M108">
        <v>10</v>
      </c>
      <c r="N108">
        <v>0.96951952968993282</v>
      </c>
      <c r="O108">
        <v>52.273757303020282</v>
      </c>
      <c r="P108" s="1">
        <f t="shared" si="5"/>
        <v>2.4107573540652081</v>
      </c>
      <c r="Q108" s="1">
        <f t="shared" si="6"/>
        <v>0.36161360310978119</v>
      </c>
      <c r="R108" s="1">
        <f t="shared" si="7"/>
        <v>0.60134316584607594</v>
      </c>
      <c r="S108" s="1">
        <f t="shared" si="8"/>
        <v>-1.7413904852130733</v>
      </c>
      <c r="T108" s="56">
        <f t="shared" si="9"/>
        <v>4.6296802513480777E-2</v>
      </c>
    </row>
    <row r="109" spans="1:20" x14ac:dyDescent="0.25">
      <c r="A109">
        <v>0.12485039871473091</v>
      </c>
      <c r="B109">
        <v>0.97319798442185856</v>
      </c>
      <c r="D109">
        <v>0.11148552641726472</v>
      </c>
      <c r="E109">
        <v>0.36639289305639977</v>
      </c>
      <c r="J109">
        <v>20</v>
      </c>
      <c r="K109">
        <v>-7.1656813815934584E-3</v>
      </c>
      <c r="L109">
        <v>17.663737097575467</v>
      </c>
      <c r="M109">
        <v>10</v>
      </c>
      <c r="N109">
        <v>1.2972186561910348</v>
      </c>
      <c r="O109">
        <v>88.705143055386145</v>
      </c>
      <c r="P109" s="1">
        <f t="shared" si="5"/>
        <v>3.798888576891486</v>
      </c>
      <c r="Q109" s="1">
        <f t="shared" si="6"/>
        <v>0.56983328653372289</v>
      </c>
      <c r="R109" s="1">
        <f t="shared" si="7"/>
        <v>0.75487302676259593</v>
      </c>
      <c r="S109" s="1">
        <f t="shared" si="8"/>
        <v>-1.7279519751377355</v>
      </c>
      <c r="T109" s="56">
        <f t="shared" si="9"/>
        <v>4.7506264778447223E-2</v>
      </c>
    </row>
    <row r="110" spans="1:20" x14ac:dyDescent="0.25">
      <c r="A110">
        <v>0.12514853379878543</v>
      </c>
      <c r="B110">
        <v>-1.1031397662009113</v>
      </c>
      <c r="D110">
        <v>0.11235267644323099</v>
      </c>
      <c r="E110">
        <v>-2.2745273361124418</v>
      </c>
      <c r="J110">
        <v>20</v>
      </c>
      <c r="K110">
        <v>-0.31020914548207656</v>
      </c>
      <c r="L110">
        <v>11.194648376887136</v>
      </c>
      <c r="M110">
        <v>10</v>
      </c>
      <c r="N110">
        <v>0.96326379775746318</v>
      </c>
      <c r="O110">
        <v>90.301458773574339</v>
      </c>
      <c r="P110" s="1">
        <f t="shared" si="5"/>
        <v>3.6248609696593381</v>
      </c>
      <c r="Q110" s="1">
        <f t="shared" si="6"/>
        <v>0.54372914544890072</v>
      </c>
      <c r="R110" s="1">
        <f t="shared" si="7"/>
        <v>0.73737991934205849</v>
      </c>
      <c r="S110" s="1">
        <f t="shared" si="8"/>
        <v>-1.7270241700856468</v>
      </c>
      <c r="T110" s="56">
        <f t="shared" si="9"/>
        <v>4.7590742900896814E-2</v>
      </c>
    </row>
    <row r="111" spans="1:20" x14ac:dyDescent="0.25">
      <c r="A111">
        <v>0.12660552437034533</v>
      </c>
      <c r="B111">
        <v>3.3551259548403323E-2</v>
      </c>
      <c r="D111">
        <v>0.11276246808648827</v>
      </c>
      <c r="E111">
        <v>2.1329226422039937</v>
      </c>
      <c r="J111">
        <v>20</v>
      </c>
      <c r="K111">
        <v>0.45050853714201367</v>
      </c>
      <c r="L111">
        <v>19.536011590744909</v>
      </c>
      <c r="M111">
        <v>10</v>
      </c>
      <c r="N111">
        <v>1.3984287045332167</v>
      </c>
      <c r="O111">
        <v>36.758193412119937</v>
      </c>
      <c r="P111" s="1">
        <f t="shared" si="5"/>
        <v>2.0105073215308873</v>
      </c>
      <c r="Q111" s="1">
        <f t="shared" si="6"/>
        <v>0.3015760982296331</v>
      </c>
      <c r="R111" s="1">
        <f t="shared" si="7"/>
        <v>0.54915944700026154</v>
      </c>
      <c r="S111" s="1">
        <f t="shared" si="8"/>
        <v>-1.7261292190622217</v>
      </c>
      <c r="T111" s="56">
        <f t="shared" si="9"/>
        <v>4.7672349750879521E-2</v>
      </c>
    </row>
    <row r="112" spans="1:20" x14ac:dyDescent="0.25">
      <c r="A112">
        <v>0.12666271573691612</v>
      </c>
      <c r="B112">
        <v>0.32005800676415674</v>
      </c>
      <c r="D112">
        <v>0.11283306305328478</v>
      </c>
      <c r="E112">
        <v>1.0907031048645877</v>
      </c>
      <c r="J112">
        <v>20</v>
      </c>
      <c r="K112">
        <v>0.19085985059064114</v>
      </c>
      <c r="L112">
        <v>12.20594202918898</v>
      </c>
      <c r="M112">
        <v>10</v>
      </c>
      <c r="N112">
        <v>1.7237502981970465</v>
      </c>
      <c r="O112">
        <v>137.34045123147899</v>
      </c>
      <c r="P112" s="1">
        <f t="shared" si="5"/>
        <v>5.3409426164524278</v>
      </c>
      <c r="Q112" s="1">
        <f t="shared" si="6"/>
        <v>0.8011413924678642</v>
      </c>
      <c r="R112" s="1">
        <f t="shared" si="7"/>
        <v>0.89506502136317678</v>
      </c>
      <c r="S112" s="1">
        <f t="shared" si="8"/>
        <v>-1.7126023372825201</v>
      </c>
      <c r="T112" s="56">
        <f t="shared" si="9"/>
        <v>4.8920261442074578E-2</v>
      </c>
    </row>
    <row r="113" spans="1:20" x14ac:dyDescent="0.25">
      <c r="A113">
        <v>0.1318580575934214</v>
      </c>
      <c r="B113">
        <v>9.0659568741102703E-2</v>
      </c>
      <c r="D113">
        <v>0.11291293536067715</v>
      </c>
      <c r="E113">
        <v>-0.2810661533203529</v>
      </c>
      <c r="J113">
        <v>20</v>
      </c>
      <c r="K113">
        <v>0.26954967324854806</v>
      </c>
      <c r="L113">
        <v>31.871396907048592</v>
      </c>
      <c r="M113">
        <v>10</v>
      </c>
      <c r="N113">
        <v>1.5960473513132456</v>
      </c>
      <c r="O113">
        <v>80.647891224739908</v>
      </c>
      <c r="P113" s="1">
        <f t="shared" si="5"/>
        <v>4.0185460047067325</v>
      </c>
      <c r="Q113" s="1">
        <f t="shared" si="6"/>
        <v>0.6027819007060099</v>
      </c>
      <c r="R113" s="1">
        <f t="shared" si="7"/>
        <v>0.77639030178513302</v>
      </c>
      <c r="S113" s="1">
        <f t="shared" si="8"/>
        <v>-1.7085448839516899</v>
      </c>
      <c r="T113" s="56">
        <f t="shared" si="9"/>
        <v>4.9299901253854389E-2</v>
      </c>
    </row>
    <row r="114" spans="1:20" x14ac:dyDescent="0.25">
      <c r="A114">
        <v>0.13206809313946943</v>
      </c>
      <c r="B114">
        <v>0.53797521104570478</v>
      </c>
      <c r="D114">
        <v>0.11614328518847705</v>
      </c>
      <c r="E114">
        <v>4.907750050051618</v>
      </c>
      <c r="J114">
        <v>20</v>
      </c>
      <c r="K114">
        <v>7.8997004493430723E-3</v>
      </c>
      <c r="L114">
        <v>9.089481450323234</v>
      </c>
      <c r="M114">
        <v>10</v>
      </c>
      <c r="N114">
        <v>1.4066438291138184</v>
      </c>
      <c r="O114">
        <v>116.26653270776423</v>
      </c>
      <c r="P114" s="1">
        <f t="shared" si="5"/>
        <v>4.4770005056459805</v>
      </c>
      <c r="Q114" s="1">
        <f t="shared" si="6"/>
        <v>0.67155007584689708</v>
      </c>
      <c r="R114" s="1">
        <f t="shared" si="7"/>
        <v>0.81948158969368989</v>
      </c>
      <c r="S114" s="1">
        <f t="shared" si="8"/>
        <v>-1.7068646156984504</v>
      </c>
      <c r="T114" s="56">
        <f t="shared" si="9"/>
        <v>4.9457841770054273E-2</v>
      </c>
    </row>
    <row r="115" spans="1:20" x14ac:dyDescent="0.25">
      <c r="A115">
        <v>0.13241402645067302</v>
      </c>
      <c r="B115">
        <v>-2.2566837287740782E-3</v>
      </c>
      <c r="D115">
        <v>0.11648524179589026</v>
      </c>
      <c r="E115">
        <v>-0.49788173214437847</v>
      </c>
      <c r="J115">
        <v>20</v>
      </c>
      <c r="K115">
        <v>-0.3636325232037052</v>
      </c>
      <c r="L115">
        <v>13.54807205485529</v>
      </c>
      <c r="M115">
        <v>10</v>
      </c>
      <c r="N115">
        <v>1.145278243939174</v>
      </c>
      <c r="O115">
        <v>134.13846062953272</v>
      </c>
      <c r="P115" s="1">
        <f t="shared" si="5"/>
        <v>5.2745190244424283</v>
      </c>
      <c r="Q115" s="1">
        <f t="shared" si="6"/>
        <v>0.79117785366636417</v>
      </c>
      <c r="R115" s="1">
        <f t="shared" si="7"/>
        <v>0.88948178939558065</v>
      </c>
      <c r="S115" s="1">
        <f t="shared" si="8"/>
        <v>-1.6963930966683556</v>
      </c>
      <c r="T115" s="56">
        <f t="shared" si="9"/>
        <v>5.0451755828483165E-2</v>
      </c>
    </row>
    <row r="116" spans="1:20" x14ac:dyDescent="0.25">
      <c r="A116">
        <v>0.13254259954619363</v>
      </c>
      <c r="B116">
        <v>1.6306239558616653</v>
      </c>
      <c r="D116">
        <v>0.11702712185204545</v>
      </c>
      <c r="E116">
        <v>-5.0040960138630908</v>
      </c>
      <c r="J116">
        <v>20</v>
      </c>
      <c r="K116">
        <v>-8.9842728812072892E-2</v>
      </c>
      <c r="L116">
        <v>10.525283126062854</v>
      </c>
      <c r="M116">
        <v>10</v>
      </c>
      <c r="N116">
        <v>0.91364699642326741</v>
      </c>
      <c r="O116">
        <v>54.830376067011322</v>
      </c>
      <c r="P116" s="1">
        <f t="shared" si="5"/>
        <v>2.3341306854669348</v>
      </c>
      <c r="Q116" s="1">
        <f t="shared" si="6"/>
        <v>0.35011960282004023</v>
      </c>
      <c r="R116" s="1">
        <f t="shared" si="7"/>
        <v>0.59170905250810568</v>
      </c>
      <c r="S116" s="1">
        <f t="shared" si="8"/>
        <v>-1.6959174800213044</v>
      </c>
      <c r="T116" s="56">
        <f t="shared" si="9"/>
        <v>5.0497294936919242E-2</v>
      </c>
    </row>
    <row r="117" spans="1:20" x14ac:dyDescent="0.25">
      <c r="A117">
        <v>0.13424032893678328</v>
      </c>
      <c r="B117">
        <v>0.88894012151286006</v>
      </c>
      <c r="D117">
        <v>0.12189457492067934</v>
      </c>
      <c r="E117">
        <v>4.2146878024595935</v>
      </c>
      <c r="J117">
        <v>20</v>
      </c>
      <c r="K117">
        <v>-0.1682761308074987</v>
      </c>
      <c r="L117">
        <v>7.7423988000527624</v>
      </c>
      <c r="M117">
        <v>10</v>
      </c>
      <c r="N117">
        <v>1.1603377708979679</v>
      </c>
      <c r="O117">
        <v>109.1205063612191</v>
      </c>
      <c r="P117" s="1">
        <f t="shared" si="5"/>
        <v>4.1736751843311382</v>
      </c>
      <c r="Q117" s="1">
        <f t="shared" si="6"/>
        <v>0.62605127764967072</v>
      </c>
      <c r="R117" s="1">
        <f t="shared" si="7"/>
        <v>0.79123402205015847</v>
      </c>
      <c r="S117" s="1">
        <f t="shared" si="8"/>
        <v>-1.6791668010722145</v>
      </c>
      <c r="T117" s="56">
        <f t="shared" si="9"/>
        <v>5.2123275978078872E-2</v>
      </c>
    </row>
    <row r="118" spans="1:20" x14ac:dyDescent="0.25">
      <c r="A118">
        <v>0.1352702666518254</v>
      </c>
      <c r="B118">
        <v>-0.564962192584062</v>
      </c>
      <c r="D118">
        <v>0.12214183395357492</v>
      </c>
      <c r="E118">
        <v>3.6870262613319937</v>
      </c>
      <c r="J118">
        <v>20</v>
      </c>
      <c r="K118">
        <v>-2.1282914985931711E-2</v>
      </c>
      <c r="L118">
        <v>18.802590959189253</v>
      </c>
      <c r="M118">
        <v>10</v>
      </c>
      <c r="N118">
        <v>1.0620182104048581</v>
      </c>
      <c r="O118">
        <v>59.092403439956428</v>
      </c>
      <c r="P118" s="1">
        <f t="shared" si="5"/>
        <v>2.7819640856837742</v>
      </c>
      <c r="Q118" s="1">
        <f t="shared" si="6"/>
        <v>0.41729461285256614</v>
      </c>
      <c r="R118" s="1">
        <f t="shared" si="7"/>
        <v>0.64598344626821991</v>
      </c>
      <c r="S118" s="1">
        <f t="shared" si="8"/>
        <v>-1.676979699168623</v>
      </c>
      <c r="T118" s="56">
        <f t="shared" si="9"/>
        <v>5.2338778507369954E-2</v>
      </c>
    </row>
    <row r="119" spans="1:20" x14ac:dyDescent="0.25">
      <c r="A119">
        <v>0.1358046594582154</v>
      </c>
      <c r="B119">
        <v>0.16874992070370354</v>
      </c>
      <c r="D119">
        <v>0.12234761426425289</v>
      </c>
      <c r="E119">
        <v>6.1344082917003107</v>
      </c>
      <c r="J119">
        <v>20</v>
      </c>
      <c r="K119">
        <v>-0.59995949186486541</v>
      </c>
      <c r="L119">
        <v>22.697521600166045</v>
      </c>
      <c r="M119">
        <v>10</v>
      </c>
      <c r="N119">
        <v>0.701739278383684</v>
      </c>
      <c r="O119">
        <v>91.555648048527814</v>
      </c>
      <c r="P119" s="1">
        <f t="shared" si="5"/>
        <v>4.0804703445962094</v>
      </c>
      <c r="Q119" s="1">
        <f t="shared" si="6"/>
        <v>0.61207055168943136</v>
      </c>
      <c r="R119" s="1">
        <f t="shared" si="7"/>
        <v>0.78234937955457684</v>
      </c>
      <c r="S119" s="1">
        <f t="shared" si="8"/>
        <v>-1.6638330703216755</v>
      </c>
      <c r="T119" s="56">
        <f t="shared" si="9"/>
        <v>5.364992523113464E-2</v>
      </c>
    </row>
    <row r="120" spans="1:20" x14ac:dyDescent="0.25">
      <c r="A120">
        <v>0.13828123841599116</v>
      </c>
      <c r="B120">
        <v>0.90472440206212923</v>
      </c>
      <c r="D120">
        <v>0.12284291131565261</v>
      </c>
      <c r="E120">
        <v>1.9471333382625744</v>
      </c>
      <c r="J120">
        <v>20</v>
      </c>
      <c r="K120">
        <v>-0.30457010780082783</v>
      </c>
      <c r="L120">
        <v>17.253495311856625</v>
      </c>
      <c r="M120">
        <v>10</v>
      </c>
      <c r="N120">
        <v>0.83169629419899138</v>
      </c>
      <c r="O120">
        <v>70.076132886511317</v>
      </c>
      <c r="P120" s="1">
        <f t="shared" si="5"/>
        <v>3.1189152927988553</v>
      </c>
      <c r="Q120" s="1">
        <f t="shared" si="6"/>
        <v>0.46783729391982826</v>
      </c>
      <c r="R120" s="1">
        <f t="shared" si="7"/>
        <v>0.68398632582810326</v>
      </c>
      <c r="S120" s="1">
        <f t="shared" si="8"/>
        <v>-1.6612414007314251</v>
      </c>
      <c r="T120" s="56">
        <f t="shared" si="9"/>
        <v>5.3911609586577203E-2</v>
      </c>
    </row>
    <row r="121" spans="1:20" x14ac:dyDescent="0.25">
      <c r="A121">
        <v>0.13845795645683345</v>
      </c>
      <c r="B121">
        <v>1.2651526049012318</v>
      </c>
      <c r="D121">
        <v>0.12325049494939166</v>
      </c>
      <c r="E121">
        <v>0.15443742654497328</v>
      </c>
      <c r="J121">
        <v>20</v>
      </c>
      <c r="K121">
        <v>-0.22711350311510614</v>
      </c>
      <c r="L121">
        <v>8.2463710782757307</v>
      </c>
      <c r="M121">
        <v>10</v>
      </c>
      <c r="N121">
        <v>0.85191981838761421</v>
      </c>
      <c r="O121">
        <v>70.726512492958676</v>
      </c>
      <c r="P121" s="1">
        <f t="shared" si="5"/>
        <v>2.8204601275440857</v>
      </c>
      <c r="Q121" s="1">
        <f t="shared" si="6"/>
        <v>0.42306901913161282</v>
      </c>
      <c r="R121" s="1">
        <f t="shared" si="7"/>
        <v>0.65043755974852258</v>
      </c>
      <c r="S121" s="1">
        <f t="shared" si="8"/>
        <v>-1.6589345208168866</v>
      </c>
      <c r="T121" s="56">
        <f t="shared" si="9"/>
        <v>5.4145433600298554E-2</v>
      </c>
    </row>
    <row r="122" spans="1:20" x14ac:dyDescent="0.25">
      <c r="A122">
        <v>0.13953024437064476</v>
      </c>
      <c r="B122">
        <v>0.47200728658935986</v>
      </c>
      <c r="D122">
        <v>0.12638886039922903</v>
      </c>
      <c r="E122">
        <v>-3.1834331400659721</v>
      </c>
      <c r="J122">
        <v>20</v>
      </c>
      <c r="K122">
        <v>0.33974515645240899</v>
      </c>
      <c r="L122">
        <v>10.392664440811206</v>
      </c>
      <c r="M122">
        <v>10</v>
      </c>
      <c r="N122">
        <v>1.5790734516940574</v>
      </c>
      <c r="O122">
        <v>93.807740997641133</v>
      </c>
      <c r="P122" s="1">
        <f t="shared" si="5"/>
        <v>3.7214430513732979</v>
      </c>
      <c r="Q122" s="1">
        <f t="shared" si="6"/>
        <v>0.55821645770599471</v>
      </c>
      <c r="R122" s="1">
        <f t="shared" si="7"/>
        <v>0.74713884767558081</v>
      </c>
      <c r="S122" s="1">
        <f t="shared" si="8"/>
        <v>-1.6587657021145605</v>
      </c>
      <c r="T122" s="56">
        <f t="shared" si="9"/>
        <v>5.4162578137269865E-2</v>
      </c>
    </row>
    <row r="123" spans="1:20" x14ac:dyDescent="0.25">
      <c r="A123">
        <v>0.1399635432399291</v>
      </c>
      <c r="B123">
        <v>-0.32497382562723942</v>
      </c>
      <c r="D123">
        <v>0.12791987085437928</v>
      </c>
      <c r="E123">
        <v>2.4259550139049679</v>
      </c>
      <c r="J123">
        <v>20</v>
      </c>
      <c r="K123">
        <v>-8.0231586707668612E-2</v>
      </c>
      <c r="L123">
        <v>14.470086805747176</v>
      </c>
      <c r="M123">
        <v>10</v>
      </c>
      <c r="N123">
        <v>1.0223303627299174</v>
      </c>
      <c r="O123">
        <v>68.824352648735555</v>
      </c>
      <c r="P123" s="1">
        <f t="shared" si="5"/>
        <v>2.974801409088669</v>
      </c>
      <c r="Q123" s="1">
        <f t="shared" si="6"/>
        <v>0.44622021136330031</v>
      </c>
      <c r="R123" s="1">
        <f t="shared" si="7"/>
        <v>0.66799716418806776</v>
      </c>
      <c r="S123" s="1">
        <f t="shared" si="8"/>
        <v>-1.650548847430692</v>
      </c>
      <c r="T123" s="56">
        <f t="shared" si="9"/>
        <v>5.5002537843070437E-2</v>
      </c>
    </row>
    <row r="124" spans="1:20" x14ac:dyDescent="0.25">
      <c r="A124">
        <v>0.14010524657591117</v>
      </c>
      <c r="B124">
        <v>-0.86767840912216343</v>
      </c>
      <c r="D124">
        <v>0.12823387682544718</v>
      </c>
      <c r="E124">
        <v>3.8580476450533752</v>
      </c>
      <c r="J124">
        <v>20</v>
      </c>
      <c r="K124">
        <v>0.31606572292730561</v>
      </c>
      <c r="L124">
        <v>19.46767099471414</v>
      </c>
      <c r="M124">
        <v>10</v>
      </c>
      <c r="N124">
        <v>1.5441000834925944</v>
      </c>
      <c r="O124">
        <v>84.902707872462472</v>
      </c>
      <c r="P124" s="1">
        <f t="shared" si="5"/>
        <v>3.7275135309705933</v>
      </c>
      <c r="Q124" s="1">
        <f t="shared" si="6"/>
        <v>0.55912702964558902</v>
      </c>
      <c r="R124" s="1">
        <f t="shared" si="7"/>
        <v>0.74774797201034859</v>
      </c>
      <c r="S124" s="1">
        <f t="shared" si="8"/>
        <v>-1.6423105197646637</v>
      </c>
      <c r="T124" s="56">
        <f t="shared" si="9"/>
        <v>5.5855556671402025E-2</v>
      </c>
    </row>
    <row r="125" spans="1:20" x14ac:dyDescent="0.25">
      <c r="A125">
        <v>0.14046788779379893</v>
      </c>
      <c r="B125">
        <v>0.32545813155593351</v>
      </c>
      <c r="D125">
        <v>0.12960227899295629</v>
      </c>
      <c r="E125">
        <v>-1.9774192912791477</v>
      </c>
      <c r="J125">
        <v>20</v>
      </c>
      <c r="K125">
        <v>0.22400485022444627</v>
      </c>
      <c r="L125">
        <v>19.399388333885689</v>
      </c>
      <c r="M125">
        <v>10</v>
      </c>
      <c r="N125">
        <v>1.0944595453565853</v>
      </c>
      <c r="O125">
        <v>33.517935580156156</v>
      </c>
      <c r="P125" s="1">
        <f t="shared" si="5"/>
        <v>1.8899044255014945</v>
      </c>
      <c r="Q125" s="1">
        <f t="shared" si="6"/>
        <v>0.28348566382522417</v>
      </c>
      <c r="R125" s="1">
        <f t="shared" si="7"/>
        <v>0.53243371777642345</v>
      </c>
      <c r="S125" s="1">
        <f t="shared" si="8"/>
        <v>-1.6348602015052236</v>
      </c>
      <c r="T125" s="56">
        <f t="shared" si="9"/>
        <v>5.6636429149064992E-2</v>
      </c>
    </row>
    <row r="126" spans="1:20" x14ac:dyDescent="0.25">
      <c r="A126">
        <v>0.1433505176755635</v>
      </c>
      <c r="B126">
        <v>-0.84570501712732948</v>
      </c>
      <c r="D126">
        <v>0.12968309877081852</v>
      </c>
      <c r="E126">
        <v>-1.0322826290121156</v>
      </c>
      <c r="J126">
        <v>20</v>
      </c>
      <c r="K126">
        <v>-0.25621937993491883</v>
      </c>
      <c r="L126">
        <v>11.854551822709132</v>
      </c>
      <c r="M126">
        <v>10</v>
      </c>
      <c r="N126">
        <v>0.69478369027820008</v>
      </c>
      <c r="O126">
        <v>51.310059897998144</v>
      </c>
      <c r="P126" s="1">
        <f t="shared" si="5"/>
        <v>2.25587899002526</v>
      </c>
      <c r="Q126" s="1">
        <f t="shared" si="6"/>
        <v>0.338381848503789</v>
      </c>
      <c r="R126" s="1">
        <f t="shared" si="7"/>
        <v>0.58170598114837102</v>
      </c>
      <c r="S126" s="1">
        <f t="shared" si="8"/>
        <v>-1.634851799762661</v>
      </c>
      <c r="T126" s="56">
        <f t="shared" si="9"/>
        <v>5.6637314833204729E-2</v>
      </c>
    </row>
    <row r="127" spans="1:20" x14ac:dyDescent="0.25">
      <c r="A127">
        <v>0.14412658641198695</v>
      </c>
      <c r="B127">
        <v>0.36802930480916984</v>
      </c>
      <c r="D127">
        <v>0.13159839783695038</v>
      </c>
      <c r="E127">
        <v>4.7970281650577817</v>
      </c>
      <c r="J127">
        <v>20</v>
      </c>
      <c r="K127">
        <v>-0.31920876608637627</v>
      </c>
      <c r="L127">
        <v>14.766374993690603</v>
      </c>
      <c r="M127">
        <v>10</v>
      </c>
      <c r="N127">
        <v>1.1471639675164624</v>
      </c>
      <c r="O127">
        <v>135.46804979232252</v>
      </c>
      <c r="P127" s="1">
        <f t="shared" si="5"/>
        <v>5.3655151709290392</v>
      </c>
      <c r="Q127" s="1">
        <f t="shared" si="6"/>
        <v>0.80482727563935585</v>
      </c>
      <c r="R127" s="1">
        <f t="shared" si="7"/>
        <v>0.89712166155954332</v>
      </c>
      <c r="S127" s="1">
        <f t="shared" si="8"/>
        <v>-1.6345305173589473</v>
      </c>
      <c r="T127" s="56">
        <f t="shared" si="9"/>
        <v>5.6671192000821102E-2</v>
      </c>
    </row>
    <row r="128" spans="1:20" x14ac:dyDescent="0.25">
      <c r="A128">
        <v>0.14441365808997864</v>
      </c>
      <c r="B128">
        <v>-0.2383512764936313</v>
      </c>
      <c r="D128">
        <v>0.13207543383699538</v>
      </c>
      <c r="E128">
        <v>-1.4760637475319527</v>
      </c>
      <c r="J128">
        <v>20</v>
      </c>
      <c r="K128">
        <v>-0.28896204185002716</v>
      </c>
      <c r="L128">
        <v>22.501534301045758</v>
      </c>
      <c r="M128">
        <v>10</v>
      </c>
      <c r="N128">
        <v>0.95867175900821167</v>
      </c>
      <c r="O128">
        <v>86.312635906425896</v>
      </c>
      <c r="P128" s="1">
        <f t="shared" si="5"/>
        <v>3.886220364552559</v>
      </c>
      <c r="Q128" s="1">
        <f t="shared" si="6"/>
        <v>0.58293305468288381</v>
      </c>
      <c r="R128" s="1">
        <f t="shared" si="7"/>
        <v>0.76350052696961768</v>
      </c>
      <c r="S128" s="1">
        <f t="shared" si="8"/>
        <v>-1.6340968431419125</v>
      </c>
      <c r="T128" s="56">
        <f t="shared" si="9"/>
        <v>5.6716946848046575E-2</v>
      </c>
    </row>
    <row r="129" spans="1:20" x14ac:dyDescent="0.25">
      <c r="A129">
        <v>0.14707496012658738</v>
      </c>
      <c r="B129">
        <v>-0.82876113083329983</v>
      </c>
      <c r="D129">
        <v>0.13209879532406843</v>
      </c>
      <c r="E129">
        <v>-3.0351400289418962</v>
      </c>
      <c r="J129">
        <v>20</v>
      </c>
      <c r="K129">
        <v>0.18833446802091203</v>
      </c>
      <c r="L129">
        <v>35.668587789368758</v>
      </c>
      <c r="M129">
        <v>10</v>
      </c>
      <c r="N129">
        <v>1.7437940834952315</v>
      </c>
      <c r="O129">
        <v>137.62550514523409</v>
      </c>
      <c r="P129" s="1">
        <f t="shared" si="5"/>
        <v>6.189074747664387</v>
      </c>
      <c r="Q129" s="1">
        <f t="shared" si="6"/>
        <v>0.92836121214965805</v>
      </c>
      <c r="R129" s="1">
        <f t="shared" si="7"/>
        <v>0.96351502954009915</v>
      </c>
      <c r="S129" s="1">
        <f t="shared" si="8"/>
        <v>-1.6143594731643831</v>
      </c>
      <c r="T129" s="56">
        <f t="shared" si="9"/>
        <v>5.8832018536626424E-2</v>
      </c>
    </row>
    <row r="130" spans="1:20" x14ac:dyDescent="0.25">
      <c r="A130">
        <v>0.14834714479267774</v>
      </c>
      <c r="B130">
        <v>1.2671989679802209</v>
      </c>
      <c r="D130">
        <v>0.13243655561574219</v>
      </c>
      <c r="E130">
        <v>-0.30937758651816694</v>
      </c>
      <c r="J130">
        <v>20</v>
      </c>
      <c r="K130">
        <v>-0.36528064129015547</v>
      </c>
      <c r="L130">
        <v>10.011674953509816</v>
      </c>
      <c r="M130">
        <v>10</v>
      </c>
      <c r="N130">
        <v>0.63888591853356047</v>
      </c>
      <c r="O130">
        <v>62.960221764894889</v>
      </c>
      <c r="P130" s="1">
        <f t="shared" ref="P130:P193" si="10">(L130+O130)/(J130+M130-2)</f>
        <v>2.6061391685144537</v>
      </c>
      <c r="Q130" s="1">
        <f t="shared" ref="Q130:Q193" si="11">P130*0.15</f>
        <v>0.39092087527716807</v>
      </c>
      <c r="R130" s="1">
        <f t="shared" ref="R130:R193" si="12">SQRT(Q130)</f>
        <v>0.62523665541710527</v>
      </c>
      <c r="S130" s="1">
        <f t="shared" ref="S130:S193" si="13">(K130-N130)/R130</f>
        <v>-1.6060583638587544</v>
      </c>
      <c r="T130" s="56">
        <f t="shared" ref="T130:T193" si="14">_xlfn.T.DIST(S130,28,TRUE)</f>
        <v>5.9740863025084884E-2</v>
      </c>
    </row>
    <row r="131" spans="1:20" x14ac:dyDescent="0.25">
      <c r="A131">
        <v>0.14845775334487754</v>
      </c>
      <c r="B131">
        <v>-1.854114088928327</v>
      </c>
      <c r="D131">
        <v>0.13412971424359998</v>
      </c>
      <c r="E131">
        <v>0.52567156330951548</v>
      </c>
      <c r="J131">
        <v>20</v>
      </c>
      <c r="K131">
        <v>0.15386336826850311</v>
      </c>
      <c r="L131">
        <v>26.006905119570359</v>
      </c>
      <c r="M131">
        <v>10</v>
      </c>
      <c r="N131">
        <v>2.1145868879557383</v>
      </c>
      <c r="O131">
        <v>255.3735596181275</v>
      </c>
      <c r="P131" s="1">
        <f t="shared" si="10"/>
        <v>10.049302312060638</v>
      </c>
      <c r="Q131" s="1">
        <f t="shared" si="11"/>
        <v>1.5073953468090957</v>
      </c>
      <c r="R131" s="1">
        <f t="shared" si="12"/>
        <v>1.2277602969672443</v>
      </c>
      <c r="S131" s="1">
        <f t="shared" si="13"/>
        <v>-1.5969921201479818</v>
      </c>
      <c r="T131" s="56">
        <f t="shared" si="14"/>
        <v>6.0746693166908755E-2</v>
      </c>
    </row>
    <row r="132" spans="1:20" x14ac:dyDescent="0.25">
      <c r="A132">
        <v>0.14848354355605198</v>
      </c>
      <c r="B132">
        <v>0.61374521465040743</v>
      </c>
      <c r="D132">
        <v>0.13413254650398343</v>
      </c>
      <c r="E132">
        <v>-3.4494330554935004</v>
      </c>
      <c r="J132">
        <v>20</v>
      </c>
      <c r="K132">
        <v>-0.2475483142916346</v>
      </c>
      <c r="L132">
        <v>20.76775957137421</v>
      </c>
      <c r="M132">
        <v>10</v>
      </c>
      <c r="N132">
        <v>0.90456796556281915</v>
      </c>
      <c r="O132">
        <v>77.53218635605306</v>
      </c>
      <c r="P132" s="1">
        <f t="shared" si="10"/>
        <v>3.5107123545509742</v>
      </c>
      <c r="Q132" s="1">
        <f t="shared" si="11"/>
        <v>0.52660685318264611</v>
      </c>
      <c r="R132" s="1">
        <f t="shared" si="12"/>
        <v>0.72567682420113577</v>
      </c>
      <c r="S132" s="1">
        <f t="shared" si="13"/>
        <v>-1.5876437574298525</v>
      </c>
      <c r="T132" s="56">
        <f t="shared" si="14"/>
        <v>6.1798399474210383E-2</v>
      </c>
    </row>
    <row r="133" spans="1:20" x14ac:dyDescent="0.25">
      <c r="A133">
        <v>0.15113214117183538</v>
      </c>
      <c r="B133">
        <v>0.28155682230135426</v>
      </c>
      <c r="D133">
        <v>0.13928081968757966</v>
      </c>
      <c r="E133">
        <v>-1.2481943974762544</v>
      </c>
      <c r="J133">
        <v>20</v>
      </c>
      <c r="K133">
        <v>-8.6139039012778085E-2</v>
      </c>
      <c r="L133">
        <v>15.777569330863619</v>
      </c>
      <c r="M133">
        <v>10</v>
      </c>
      <c r="N133">
        <v>1.984965134624872</v>
      </c>
      <c r="O133">
        <v>306.77157528168397</v>
      </c>
      <c r="P133" s="1">
        <f t="shared" si="10"/>
        <v>11.519612307590986</v>
      </c>
      <c r="Q133" s="1">
        <f t="shared" si="11"/>
        <v>1.7279418461386478</v>
      </c>
      <c r="R133" s="1">
        <f t="shared" si="12"/>
        <v>1.3145120182556902</v>
      </c>
      <c r="S133" s="1">
        <f t="shared" si="13"/>
        <v>-1.5755688383784656</v>
      </c>
      <c r="T133" s="56">
        <f t="shared" si="14"/>
        <v>6.3178974106197522E-2</v>
      </c>
    </row>
    <row r="134" spans="1:20" x14ac:dyDescent="0.25">
      <c r="A134">
        <v>0.15234817389708055</v>
      </c>
      <c r="B134">
        <v>-0.94067218014970422</v>
      </c>
      <c r="D134">
        <v>0.13948814085953876</v>
      </c>
      <c r="E134">
        <v>1.7205975348133506</v>
      </c>
      <c r="J134">
        <v>20</v>
      </c>
      <c r="K134">
        <v>-3.0793842142884387E-2</v>
      </c>
      <c r="L134">
        <v>18.194427249551456</v>
      </c>
      <c r="M134">
        <v>10</v>
      </c>
      <c r="N134">
        <v>0.76933337936679891</v>
      </c>
      <c r="O134">
        <v>30.235089876108336</v>
      </c>
      <c r="P134" s="1">
        <f t="shared" si="10"/>
        <v>1.7296256116307069</v>
      </c>
      <c r="Q134" s="1">
        <f t="shared" si="11"/>
        <v>0.25944384174460605</v>
      </c>
      <c r="R134" s="1">
        <f t="shared" si="12"/>
        <v>0.509356301369293</v>
      </c>
      <c r="S134" s="1">
        <f t="shared" si="13"/>
        <v>-1.5708595718924381</v>
      </c>
      <c r="T134" s="56">
        <f t="shared" si="14"/>
        <v>6.3724222125595656E-2</v>
      </c>
    </row>
    <row r="135" spans="1:20" x14ac:dyDescent="0.25">
      <c r="A135">
        <v>0.15388450500616835</v>
      </c>
      <c r="B135">
        <v>0.11403813005017582</v>
      </c>
      <c r="D135">
        <v>0.14034910715156335</v>
      </c>
      <c r="E135">
        <v>-4.0442835177145753</v>
      </c>
      <c r="J135">
        <v>20</v>
      </c>
      <c r="K135">
        <v>0.17464975599068566</v>
      </c>
      <c r="L135">
        <v>29.594764730514193</v>
      </c>
      <c r="M135">
        <v>10</v>
      </c>
      <c r="N135">
        <v>1.5281490243523876</v>
      </c>
      <c r="O135">
        <v>111.39049452163081</v>
      </c>
      <c r="P135" s="1">
        <f t="shared" si="10"/>
        <v>5.0351878304337498</v>
      </c>
      <c r="Q135" s="1">
        <f t="shared" si="11"/>
        <v>0.75527817456506241</v>
      </c>
      <c r="R135" s="1">
        <f t="shared" si="12"/>
        <v>0.8690674165823169</v>
      </c>
      <c r="S135" s="1">
        <f t="shared" si="13"/>
        <v>-1.5574157338500336</v>
      </c>
      <c r="T135" s="56">
        <f t="shared" si="14"/>
        <v>6.5302033887341515E-2</v>
      </c>
    </row>
    <row r="136" spans="1:20" x14ac:dyDescent="0.25">
      <c r="A136">
        <v>0.15569864234110065</v>
      </c>
      <c r="B136">
        <v>0.5367382982512936</v>
      </c>
      <c r="D136">
        <v>0.14197527819886968</v>
      </c>
      <c r="E136">
        <v>0.35040056559410004</v>
      </c>
      <c r="J136">
        <v>20</v>
      </c>
      <c r="K136">
        <v>-3.6438393635762623E-2</v>
      </c>
      <c r="L136">
        <v>16.017799297051699</v>
      </c>
      <c r="M136">
        <v>10</v>
      </c>
      <c r="N136">
        <v>1.0904732300787146</v>
      </c>
      <c r="O136">
        <v>82.37423282885203</v>
      </c>
      <c r="P136" s="1">
        <f t="shared" si="10"/>
        <v>3.5140011473537043</v>
      </c>
      <c r="Q136" s="1">
        <f t="shared" si="11"/>
        <v>0.5271001721030556</v>
      </c>
      <c r="R136" s="1">
        <f t="shared" si="12"/>
        <v>0.72601664726303317</v>
      </c>
      <c r="S136" s="1">
        <f t="shared" si="13"/>
        <v>-1.5521842756123487</v>
      </c>
      <c r="T136" s="56">
        <f t="shared" si="14"/>
        <v>6.5924588199720371E-2</v>
      </c>
    </row>
    <row r="137" spans="1:20" x14ac:dyDescent="0.25">
      <c r="A137">
        <v>0.15916956492046885</v>
      </c>
      <c r="B137">
        <v>-0.38774828681198414</v>
      </c>
      <c r="D137">
        <v>0.1442743558041234</v>
      </c>
      <c r="E137">
        <v>0.17906881680573861</v>
      </c>
      <c r="J137">
        <v>20</v>
      </c>
      <c r="K137">
        <v>0.26939227382172248</v>
      </c>
      <c r="L137">
        <v>19.701240243952704</v>
      </c>
      <c r="M137">
        <v>10</v>
      </c>
      <c r="N137">
        <v>1.3517409308860806</v>
      </c>
      <c r="O137">
        <v>71.476328644606212</v>
      </c>
      <c r="P137" s="1">
        <f t="shared" si="10"/>
        <v>3.2563417460199608</v>
      </c>
      <c r="Q137" s="1">
        <f t="shared" si="11"/>
        <v>0.48845126190299409</v>
      </c>
      <c r="R137" s="1">
        <f t="shared" si="12"/>
        <v>0.69889288299638175</v>
      </c>
      <c r="S137" s="1">
        <f t="shared" si="13"/>
        <v>-1.5486617239883405</v>
      </c>
      <c r="T137" s="56">
        <f t="shared" si="14"/>
        <v>6.6346504148173294E-2</v>
      </c>
    </row>
    <row r="138" spans="1:20" x14ac:dyDescent="0.25">
      <c r="A138">
        <v>0.16031554514375868</v>
      </c>
      <c r="B138">
        <v>0.58699470173451118</v>
      </c>
      <c r="D138">
        <v>0.1446436071992222</v>
      </c>
      <c r="E138">
        <v>1.6253427440915402</v>
      </c>
      <c r="J138">
        <v>20</v>
      </c>
      <c r="K138">
        <v>-3.7828669974260265E-2</v>
      </c>
      <c r="L138">
        <v>17.74944998675641</v>
      </c>
      <c r="M138">
        <v>10</v>
      </c>
      <c r="N138">
        <v>1.0005683145664079</v>
      </c>
      <c r="O138">
        <v>66.201864620271749</v>
      </c>
      <c r="P138" s="1">
        <f t="shared" si="10"/>
        <v>2.9982612359652916</v>
      </c>
      <c r="Q138" s="1">
        <f t="shared" si="11"/>
        <v>0.44973918539479374</v>
      </c>
      <c r="R138" s="1">
        <f t="shared" si="12"/>
        <v>0.67062596534491092</v>
      </c>
      <c r="S138" s="1">
        <f t="shared" si="13"/>
        <v>-1.5483996120051933</v>
      </c>
      <c r="T138" s="56">
        <f t="shared" si="14"/>
        <v>6.637798669582734E-2</v>
      </c>
    </row>
    <row r="139" spans="1:20" x14ac:dyDescent="0.25">
      <c r="A139">
        <v>0.16135610696577374</v>
      </c>
      <c r="B139">
        <v>0.35016000765608624</v>
      </c>
      <c r="D139">
        <v>0.14487182257334319</v>
      </c>
      <c r="E139">
        <v>-4.7213159211878519</v>
      </c>
      <c r="J139">
        <v>20</v>
      </c>
      <c r="K139">
        <v>6.1106845805625198E-2</v>
      </c>
      <c r="L139">
        <v>7.0486598087173844</v>
      </c>
      <c r="M139">
        <v>10</v>
      </c>
      <c r="N139">
        <v>0.94311939960789459</v>
      </c>
      <c r="O139">
        <v>53.587759582922992</v>
      </c>
      <c r="P139" s="1">
        <f t="shared" si="10"/>
        <v>2.1655864068442989</v>
      </c>
      <c r="Q139" s="1">
        <f t="shared" si="11"/>
        <v>0.32483796102664481</v>
      </c>
      <c r="R139" s="1">
        <f t="shared" si="12"/>
        <v>0.56994557724983252</v>
      </c>
      <c r="S139" s="1">
        <f t="shared" si="13"/>
        <v>-1.5475382019073798</v>
      </c>
      <c r="T139" s="56">
        <f t="shared" si="14"/>
        <v>6.6481537466087481E-2</v>
      </c>
    </row>
    <row r="140" spans="1:20" x14ac:dyDescent="0.25">
      <c r="A140">
        <v>0.16512805312174994</v>
      </c>
      <c r="B140">
        <v>-0.58019168136524968</v>
      </c>
      <c r="D140">
        <v>0.14642417857939571</v>
      </c>
      <c r="E140">
        <v>-4.3103516452447366</v>
      </c>
      <c r="J140">
        <v>20</v>
      </c>
      <c r="K140">
        <v>0.13238440033092047</v>
      </c>
      <c r="L140">
        <v>18.538728703233847</v>
      </c>
      <c r="M140">
        <v>10</v>
      </c>
      <c r="N140">
        <v>1.2233821246354637</v>
      </c>
      <c r="O140">
        <v>74.520131295451847</v>
      </c>
      <c r="P140" s="1">
        <f t="shared" si="10"/>
        <v>3.3235307142387747</v>
      </c>
      <c r="Q140" s="1">
        <f t="shared" si="11"/>
        <v>0.49852960713581618</v>
      </c>
      <c r="R140" s="1">
        <f t="shared" si="12"/>
        <v>0.70606629089329576</v>
      </c>
      <c r="S140" s="1">
        <f t="shared" si="13"/>
        <v>-1.5451774689940838</v>
      </c>
      <c r="T140" s="56">
        <f t="shared" si="14"/>
        <v>6.6765998791623274E-2</v>
      </c>
    </row>
    <row r="141" spans="1:20" x14ac:dyDescent="0.25">
      <c r="A141">
        <v>0.1655934152292089</v>
      </c>
      <c r="B141">
        <v>1.4400757208932191</v>
      </c>
      <c r="D141">
        <v>0.14681463599146127</v>
      </c>
      <c r="E141">
        <v>0.85290548327066062</v>
      </c>
      <c r="J141">
        <v>20</v>
      </c>
      <c r="K141">
        <v>-0.13477955462803948</v>
      </c>
      <c r="L141">
        <v>16.712704547150853</v>
      </c>
      <c r="M141">
        <v>10</v>
      </c>
      <c r="N141">
        <v>0.89158822561330453</v>
      </c>
      <c r="O141">
        <v>67.05166112215629</v>
      </c>
      <c r="P141" s="1">
        <f t="shared" si="10"/>
        <v>2.9915844881895408</v>
      </c>
      <c r="Q141" s="1">
        <f t="shared" si="11"/>
        <v>0.44873767322843111</v>
      </c>
      <c r="R141" s="1">
        <f t="shared" si="12"/>
        <v>0.66987884966494582</v>
      </c>
      <c r="S141" s="1">
        <f t="shared" si="13"/>
        <v>-1.5321692582990249</v>
      </c>
      <c r="T141" s="56">
        <f t="shared" si="14"/>
        <v>6.8351301046810461E-2</v>
      </c>
    </row>
    <row r="142" spans="1:20" x14ac:dyDescent="0.25">
      <c r="A142">
        <v>0.16577400405313736</v>
      </c>
      <c r="B142">
        <v>1.3988096725370269</v>
      </c>
      <c r="D142">
        <v>0.1472291894196498</v>
      </c>
      <c r="E142">
        <v>-4.6003212935374904</v>
      </c>
      <c r="J142">
        <v>20</v>
      </c>
      <c r="K142">
        <v>-0.21991360199535848</v>
      </c>
      <c r="L142">
        <v>16.510201063092552</v>
      </c>
      <c r="M142">
        <v>10</v>
      </c>
      <c r="N142">
        <v>0.71510237034999591</v>
      </c>
      <c r="O142">
        <v>53.885016528354583</v>
      </c>
      <c r="P142" s="1">
        <f t="shared" si="10"/>
        <v>2.5141149139802548</v>
      </c>
      <c r="Q142" s="1">
        <f t="shared" si="11"/>
        <v>0.3771172370970382</v>
      </c>
      <c r="R142" s="1">
        <f t="shared" si="12"/>
        <v>0.61409871934163662</v>
      </c>
      <c r="S142" s="1">
        <f t="shared" si="13"/>
        <v>-1.5225825146611069</v>
      </c>
      <c r="T142" s="56">
        <f t="shared" si="14"/>
        <v>6.95391213647156E-2</v>
      </c>
    </row>
    <row r="143" spans="1:20" x14ac:dyDescent="0.25">
      <c r="A143">
        <v>0.16906018517316024</v>
      </c>
      <c r="B143">
        <v>-0.86167347035370767</v>
      </c>
      <c r="D143">
        <v>0.14775792686219713</v>
      </c>
      <c r="E143">
        <v>-9.2691610689143999E-2</v>
      </c>
      <c r="J143">
        <v>20</v>
      </c>
      <c r="K143">
        <v>-1.1741974503820529E-2</v>
      </c>
      <c r="L143">
        <v>13.527992753161977</v>
      </c>
      <c r="M143">
        <v>10</v>
      </c>
      <c r="N143">
        <v>1.2392492828894319</v>
      </c>
      <c r="O143">
        <v>113.10555459934623</v>
      </c>
      <c r="P143" s="1">
        <f t="shared" si="10"/>
        <v>4.5226266911610074</v>
      </c>
      <c r="Q143" s="1">
        <f t="shared" si="11"/>
        <v>0.67839400367415104</v>
      </c>
      <c r="R143" s="1">
        <f t="shared" si="12"/>
        <v>0.82364677117933938</v>
      </c>
      <c r="S143" s="1">
        <f t="shared" si="13"/>
        <v>-1.5188443652878278</v>
      </c>
      <c r="T143" s="56">
        <f t="shared" si="14"/>
        <v>7.0006804623268096E-2</v>
      </c>
    </row>
    <row r="144" spans="1:20" x14ac:dyDescent="0.25">
      <c r="A144">
        <v>0.17117633364247797</v>
      </c>
      <c r="B144">
        <v>0.72002194428932853</v>
      </c>
      <c r="D144">
        <v>0.15017666444974553</v>
      </c>
      <c r="E144">
        <v>1.6431256392479554</v>
      </c>
      <c r="J144">
        <v>20</v>
      </c>
      <c r="K144">
        <v>3.5656739783007652E-2</v>
      </c>
      <c r="L144">
        <v>22.413367606094585</v>
      </c>
      <c r="M144">
        <v>10</v>
      </c>
      <c r="N144">
        <v>1.5684889797284995</v>
      </c>
      <c r="O144">
        <v>168.26373051505371</v>
      </c>
      <c r="P144" s="1">
        <f t="shared" si="10"/>
        <v>6.8098963614695824</v>
      </c>
      <c r="Q144" s="1">
        <f t="shared" si="11"/>
        <v>1.0214844542204373</v>
      </c>
      <c r="R144" s="1">
        <f t="shared" si="12"/>
        <v>1.0106851409912176</v>
      </c>
      <c r="S144" s="1">
        <f t="shared" si="13"/>
        <v>-1.5166268680295276</v>
      </c>
      <c r="T144" s="56">
        <f t="shared" si="14"/>
        <v>7.0285441116000588E-2</v>
      </c>
    </row>
    <row r="145" spans="1:20" x14ac:dyDescent="0.25">
      <c r="A145">
        <v>0.17195197369966375</v>
      </c>
      <c r="B145">
        <v>0.36451183405006304</v>
      </c>
      <c r="D145">
        <v>0.15126283138136876</v>
      </c>
      <c r="E145">
        <v>0.44492207621260604</v>
      </c>
      <c r="J145">
        <v>20</v>
      </c>
      <c r="K145">
        <v>0.14723264030180871</v>
      </c>
      <c r="L145">
        <v>18.044287088466682</v>
      </c>
      <c r="M145">
        <v>10</v>
      </c>
      <c r="N145">
        <v>1.1467584465663094</v>
      </c>
      <c r="O145">
        <v>63.130458213001035</v>
      </c>
      <c r="P145" s="1">
        <f t="shared" si="10"/>
        <v>2.8990980464809897</v>
      </c>
      <c r="Q145" s="1">
        <f t="shared" si="11"/>
        <v>0.43486470697214846</v>
      </c>
      <c r="R145" s="1">
        <f t="shared" si="12"/>
        <v>0.65944272455774999</v>
      </c>
      <c r="S145" s="1">
        <f t="shared" si="13"/>
        <v>-1.5157128421347354</v>
      </c>
      <c r="T145" s="56">
        <f t="shared" si="14"/>
        <v>7.040055310099963E-2</v>
      </c>
    </row>
    <row r="146" spans="1:20" x14ac:dyDescent="0.25">
      <c r="A146">
        <v>0.17413242653950234</v>
      </c>
      <c r="B146">
        <v>-0.95807990874163806</v>
      </c>
      <c r="D146">
        <v>0.15199542423463097</v>
      </c>
      <c r="E146">
        <v>0.72149145694311301</v>
      </c>
      <c r="J146">
        <v>20</v>
      </c>
      <c r="K146">
        <v>0.44712004410030204</v>
      </c>
      <c r="L146">
        <v>3.9202105002990133</v>
      </c>
      <c r="M146">
        <v>10</v>
      </c>
      <c r="N146">
        <v>1.6420997292243555</v>
      </c>
      <c r="O146">
        <v>112.2959334947227</v>
      </c>
      <c r="P146" s="1">
        <f t="shared" si="10"/>
        <v>4.1505765712507756</v>
      </c>
      <c r="Q146" s="1">
        <f t="shared" si="11"/>
        <v>0.62258648568761632</v>
      </c>
      <c r="R146" s="1">
        <f t="shared" si="12"/>
        <v>0.78904149807701263</v>
      </c>
      <c r="S146" s="1">
        <f t="shared" si="13"/>
        <v>-1.5144700095449481</v>
      </c>
      <c r="T146" s="56">
        <f t="shared" si="14"/>
        <v>7.05573199234628E-2</v>
      </c>
    </row>
    <row r="147" spans="1:20" x14ac:dyDescent="0.25">
      <c r="A147">
        <v>0.17735865079401336</v>
      </c>
      <c r="B147">
        <v>-0.56092858358169906</v>
      </c>
      <c r="D147">
        <v>0.15455750204455554</v>
      </c>
      <c r="E147">
        <v>2.2668571057238296</v>
      </c>
      <c r="J147">
        <v>20</v>
      </c>
      <c r="K147">
        <v>0.18449537719789078</v>
      </c>
      <c r="L147">
        <v>16.097577698730323</v>
      </c>
      <c r="M147">
        <v>10</v>
      </c>
      <c r="N147">
        <v>1.0192246656970383</v>
      </c>
      <c r="O147">
        <v>41.114365546697215</v>
      </c>
      <c r="P147" s="1">
        <f t="shared" si="10"/>
        <v>2.0432836873366975</v>
      </c>
      <c r="Q147" s="1">
        <f t="shared" si="11"/>
        <v>0.30649255310050461</v>
      </c>
      <c r="R147" s="1">
        <f t="shared" si="12"/>
        <v>0.55361769579783537</v>
      </c>
      <c r="S147" s="1">
        <f t="shared" si="13"/>
        <v>-1.5077720507040397</v>
      </c>
      <c r="T147" s="56">
        <f t="shared" si="14"/>
        <v>7.1407053945471102E-2</v>
      </c>
    </row>
    <row r="148" spans="1:20" x14ac:dyDescent="0.25">
      <c r="A148">
        <v>0.17782670283008162</v>
      </c>
      <c r="B148">
        <v>-0.81995040090987459</v>
      </c>
      <c r="D148">
        <v>0.15588501568139412</v>
      </c>
      <c r="E148">
        <v>-6.1059533925345022</v>
      </c>
      <c r="J148">
        <v>20</v>
      </c>
      <c r="K148">
        <v>-0.13934146636529476</v>
      </c>
      <c r="L148">
        <v>31.598751956383452</v>
      </c>
      <c r="M148">
        <v>10</v>
      </c>
      <c r="N148">
        <v>1.2669519230712467</v>
      </c>
      <c r="O148">
        <v>131.15603458519698</v>
      </c>
      <c r="P148" s="1">
        <f t="shared" si="10"/>
        <v>5.8126709479135865</v>
      </c>
      <c r="Q148" s="1">
        <f t="shared" si="11"/>
        <v>0.871900642187038</v>
      </c>
      <c r="R148" s="1">
        <f t="shared" si="12"/>
        <v>0.93375620061504172</v>
      </c>
      <c r="S148" s="1">
        <f t="shared" si="13"/>
        <v>-1.5060605632500768</v>
      </c>
      <c r="T148" s="56">
        <f t="shared" si="14"/>
        <v>7.16255042452624E-2</v>
      </c>
    </row>
    <row r="149" spans="1:20" x14ac:dyDescent="0.25">
      <c r="A149">
        <v>0.17805902761523185</v>
      </c>
      <c r="B149">
        <v>0.26908310246653855</v>
      </c>
      <c r="D149">
        <v>0.15603234091414442</v>
      </c>
      <c r="E149">
        <v>4.0944162230971415</v>
      </c>
      <c r="J149">
        <v>20</v>
      </c>
      <c r="K149">
        <v>-0.18120954337064177</v>
      </c>
      <c r="L149">
        <v>15.262674862064152</v>
      </c>
      <c r="M149">
        <v>10</v>
      </c>
      <c r="N149">
        <v>1.2337472946910566</v>
      </c>
      <c r="O149">
        <v>150.42838483880166</v>
      </c>
      <c r="P149" s="1">
        <f t="shared" si="10"/>
        <v>5.9175378464594939</v>
      </c>
      <c r="Q149" s="1">
        <f t="shared" si="11"/>
        <v>0.88763067696892406</v>
      </c>
      <c r="R149" s="1">
        <f t="shared" si="12"/>
        <v>0.94214153765181374</v>
      </c>
      <c r="S149" s="1">
        <f t="shared" si="13"/>
        <v>-1.5018516661395971</v>
      </c>
      <c r="T149" s="56">
        <f t="shared" si="14"/>
        <v>7.2165017323825714E-2</v>
      </c>
    </row>
    <row r="150" spans="1:20" x14ac:dyDescent="0.25">
      <c r="A150">
        <v>0.1787288605298184</v>
      </c>
      <c r="B150">
        <v>-0.89474724518368021</v>
      </c>
      <c r="D150">
        <v>0.15663126835598151</v>
      </c>
      <c r="E150">
        <v>-6.8184151621153433</v>
      </c>
      <c r="J150">
        <v>20</v>
      </c>
      <c r="K150">
        <v>1.5253931451297831E-3</v>
      </c>
      <c r="L150">
        <v>20.300932998365127</v>
      </c>
      <c r="M150">
        <v>10</v>
      </c>
      <c r="N150">
        <v>0.95596919550189341</v>
      </c>
      <c r="O150">
        <v>55.206341171577662</v>
      </c>
      <c r="P150" s="1">
        <f t="shared" si="10"/>
        <v>2.6966883632122425</v>
      </c>
      <c r="Q150" s="1">
        <f t="shared" si="11"/>
        <v>0.40450325448183638</v>
      </c>
      <c r="R150" s="1">
        <f t="shared" si="12"/>
        <v>0.63600570318341987</v>
      </c>
      <c r="S150" s="1">
        <f t="shared" si="13"/>
        <v>-1.5006843454067398</v>
      </c>
      <c r="T150" s="56">
        <f t="shared" si="14"/>
        <v>7.2315229371215373E-2</v>
      </c>
    </row>
    <row r="151" spans="1:20" x14ac:dyDescent="0.25">
      <c r="A151">
        <v>0.17959612129603764</v>
      </c>
      <c r="B151">
        <v>0.45048182073514909</v>
      </c>
      <c r="D151">
        <v>0.15691184617889209</v>
      </c>
      <c r="E151">
        <v>-8.6915740700987953</v>
      </c>
      <c r="J151">
        <v>20</v>
      </c>
      <c r="K151">
        <v>-0.27387591217120644</v>
      </c>
      <c r="L151">
        <v>23.521318164690037</v>
      </c>
      <c r="M151">
        <v>10</v>
      </c>
      <c r="N151">
        <v>1.039321656435277</v>
      </c>
      <c r="O151">
        <v>122.59557521458005</v>
      </c>
      <c r="P151" s="1">
        <f t="shared" si="10"/>
        <v>5.2184604778310746</v>
      </c>
      <c r="Q151" s="1">
        <f t="shared" si="11"/>
        <v>0.78276907167466114</v>
      </c>
      <c r="R151" s="1">
        <f t="shared" si="12"/>
        <v>0.88474237587823334</v>
      </c>
      <c r="S151" s="1">
        <f t="shared" si="13"/>
        <v>-1.4842711329418883</v>
      </c>
      <c r="T151" s="56">
        <f t="shared" si="14"/>
        <v>7.4454147218208824E-2</v>
      </c>
    </row>
    <row r="152" spans="1:20" x14ac:dyDescent="0.25">
      <c r="A152">
        <v>0.17961069295864462</v>
      </c>
      <c r="B152">
        <v>0.62281969803734683</v>
      </c>
      <c r="D152">
        <v>0.15706451791993159</v>
      </c>
      <c r="E152">
        <v>4.4639211830599379</v>
      </c>
      <c r="J152">
        <v>20</v>
      </c>
      <c r="K152">
        <v>-0.13216651950642699</v>
      </c>
      <c r="L152">
        <v>20.5532458296932</v>
      </c>
      <c r="M152">
        <v>10</v>
      </c>
      <c r="N152">
        <v>1.5083402297477733</v>
      </c>
      <c r="O152">
        <v>210.19022326476269</v>
      </c>
      <c r="P152" s="1">
        <f t="shared" si="10"/>
        <v>8.240838181944854</v>
      </c>
      <c r="Q152" s="1">
        <f t="shared" si="11"/>
        <v>1.2361257272917281</v>
      </c>
      <c r="R152" s="1">
        <f t="shared" si="12"/>
        <v>1.1118119118320904</v>
      </c>
      <c r="S152" s="1">
        <f t="shared" si="13"/>
        <v>-1.4755254299721472</v>
      </c>
      <c r="T152" s="56">
        <f t="shared" si="14"/>
        <v>7.5614487380941994E-2</v>
      </c>
    </row>
    <row r="153" spans="1:20" x14ac:dyDescent="0.25">
      <c r="A153">
        <v>0.17963445054467486</v>
      </c>
      <c r="B153">
        <v>-2.3531174520030618</v>
      </c>
      <c r="D153">
        <v>0.15750323789077403</v>
      </c>
      <c r="E153">
        <v>-1.005966399816316</v>
      </c>
      <c r="J153">
        <v>20</v>
      </c>
      <c r="K153">
        <v>0.10273066664012731</v>
      </c>
      <c r="L153">
        <v>14.082707646978331</v>
      </c>
      <c r="M153">
        <v>10</v>
      </c>
      <c r="N153">
        <v>1.9590182739648299</v>
      </c>
      <c r="O153">
        <v>287.90132445286241</v>
      </c>
      <c r="P153" s="1">
        <f t="shared" si="10"/>
        <v>10.785144003565742</v>
      </c>
      <c r="Q153" s="1">
        <f t="shared" si="11"/>
        <v>1.6177716005348612</v>
      </c>
      <c r="R153" s="1">
        <f t="shared" si="12"/>
        <v>1.2719165069039953</v>
      </c>
      <c r="S153" s="1">
        <f t="shared" si="13"/>
        <v>-1.4594413998471802</v>
      </c>
      <c r="T153" s="56">
        <f t="shared" si="14"/>
        <v>7.7786320256543778E-2</v>
      </c>
    </row>
    <row r="154" spans="1:20" x14ac:dyDescent="0.25">
      <c r="A154">
        <v>0.17992550332924173</v>
      </c>
      <c r="B154">
        <v>-0.75679736255551688</v>
      </c>
      <c r="D154">
        <v>0.16086462871543961</v>
      </c>
      <c r="E154">
        <v>0.10545431564423779</v>
      </c>
      <c r="J154">
        <v>20</v>
      </c>
      <c r="K154">
        <v>-0.17680866903901915</v>
      </c>
      <c r="L154">
        <v>19.71234591609231</v>
      </c>
      <c r="M154">
        <v>10</v>
      </c>
      <c r="N154">
        <v>0.74515628170956916</v>
      </c>
      <c r="O154">
        <v>55.109925271515735</v>
      </c>
      <c r="P154" s="1">
        <f t="shared" si="10"/>
        <v>2.6722239709860012</v>
      </c>
      <c r="Q154" s="1">
        <f t="shared" si="11"/>
        <v>0.40083359564790016</v>
      </c>
      <c r="R154" s="1">
        <f t="shared" si="12"/>
        <v>0.63311420426957743</v>
      </c>
      <c r="S154" s="1">
        <f t="shared" si="13"/>
        <v>-1.4562379812853155</v>
      </c>
      <c r="T154" s="56">
        <f t="shared" si="14"/>
        <v>7.8224784633920061E-2</v>
      </c>
    </row>
    <row r="155" spans="1:20" x14ac:dyDescent="0.25">
      <c r="A155">
        <v>0.1814635133682666</v>
      </c>
      <c r="B155">
        <v>-2.6789348339661956</v>
      </c>
      <c r="D155">
        <v>0.16166762621550657</v>
      </c>
      <c r="E155">
        <v>0.11717656548171362</v>
      </c>
      <c r="J155">
        <v>20</v>
      </c>
      <c r="K155">
        <v>-3.3409833122277632E-2</v>
      </c>
      <c r="L155">
        <v>26.323095844027694</v>
      </c>
      <c r="M155">
        <v>10</v>
      </c>
      <c r="N155">
        <v>0.9905721719860594</v>
      </c>
      <c r="O155">
        <v>67.946711897076298</v>
      </c>
      <c r="P155" s="1">
        <f t="shared" si="10"/>
        <v>3.3667788478965712</v>
      </c>
      <c r="Q155" s="1">
        <f t="shared" si="11"/>
        <v>0.50501682718448571</v>
      </c>
      <c r="R155" s="1">
        <f t="shared" si="12"/>
        <v>0.71064535964465825</v>
      </c>
      <c r="S155" s="1">
        <f t="shared" si="13"/>
        <v>-1.4409184429493151</v>
      </c>
      <c r="T155" s="56">
        <f t="shared" si="14"/>
        <v>8.0349007759740659E-2</v>
      </c>
    </row>
    <row r="156" spans="1:20" x14ac:dyDescent="0.25">
      <c r="A156">
        <v>0.18181992054342266</v>
      </c>
      <c r="B156">
        <v>-0.11812062439275905</v>
      </c>
      <c r="D156">
        <v>0.16260195627289165</v>
      </c>
      <c r="E156">
        <v>4.2254994207269192</v>
      </c>
      <c r="J156">
        <v>20</v>
      </c>
      <c r="K156">
        <v>0.36226526844984619</v>
      </c>
      <c r="L156">
        <v>17.798309910391062</v>
      </c>
      <c r="M156">
        <v>10</v>
      </c>
      <c r="N156">
        <v>1.2900751437427971</v>
      </c>
      <c r="O156">
        <v>59.676087024601379</v>
      </c>
      <c r="P156" s="1">
        <f t="shared" si="10"/>
        <v>2.7669427476783013</v>
      </c>
      <c r="Q156" s="1">
        <f t="shared" si="11"/>
        <v>0.41504141215174517</v>
      </c>
      <c r="R156" s="1">
        <f t="shared" si="12"/>
        <v>0.64423707759779336</v>
      </c>
      <c r="S156" s="1">
        <f t="shared" si="13"/>
        <v>-1.4401683907305258</v>
      </c>
      <c r="T156" s="56">
        <f t="shared" si="14"/>
        <v>8.045417969958607E-2</v>
      </c>
    </row>
    <row r="157" spans="1:20" x14ac:dyDescent="0.25">
      <c r="A157">
        <v>0.18189594751332361</v>
      </c>
      <c r="B157">
        <v>-0.75242382990836632</v>
      </c>
      <c r="D157">
        <v>0.16261558395808751</v>
      </c>
      <c r="E157">
        <v>-6.2107271821787435</v>
      </c>
      <c r="J157">
        <v>20</v>
      </c>
      <c r="K157">
        <v>-0.31466498739973758</v>
      </c>
      <c r="L157">
        <v>8.9890259879825312</v>
      </c>
      <c r="M157">
        <v>10</v>
      </c>
      <c r="N157">
        <v>0.7799993647950032</v>
      </c>
      <c r="O157">
        <v>99.324225824307035</v>
      </c>
      <c r="P157" s="1">
        <f t="shared" si="10"/>
        <v>3.8683304218674843</v>
      </c>
      <c r="Q157" s="1">
        <f t="shared" si="11"/>
        <v>0.58024956328012267</v>
      </c>
      <c r="R157" s="1">
        <f t="shared" si="12"/>
        <v>0.76174113928559917</v>
      </c>
      <c r="S157" s="1">
        <f t="shared" si="13"/>
        <v>-1.4370555766771038</v>
      </c>
      <c r="T157" s="56">
        <f t="shared" si="14"/>
        <v>8.0891828976976693E-2</v>
      </c>
    </row>
    <row r="158" spans="1:20" x14ac:dyDescent="0.25">
      <c r="A158">
        <v>0.18225493638497181</v>
      </c>
      <c r="B158">
        <v>0.4397543307277374</v>
      </c>
      <c r="D158">
        <v>0.16341152629905054</v>
      </c>
      <c r="E158">
        <v>-2.4673220229942672</v>
      </c>
      <c r="J158">
        <v>20</v>
      </c>
      <c r="K158">
        <v>7.0793760187370935E-2</v>
      </c>
      <c r="L158">
        <v>14.883222079164289</v>
      </c>
      <c r="M158">
        <v>10</v>
      </c>
      <c r="N158">
        <v>1.2644768469272094</v>
      </c>
      <c r="O158">
        <v>114.92899794053558</v>
      </c>
      <c r="P158" s="1">
        <f t="shared" si="10"/>
        <v>4.6361507149892818</v>
      </c>
      <c r="Q158" s="1">
        <f t="shared" si="11"/>
        <v>0.69542260724839222</v>
      </c>
      <c r="R158" s="1">
        <f t="shared" si="12"/>
        <v>0.8339200244917927</v>
      </c>
      <c r="S158" s="1">
        <f t="shared" si="13"/>
        <v>-1.4314119480069956</v>
      </c>
      <c r="T158" s="56">
        <f t="shared" si="14"/>
        <v>8.1690129779135118E-2</v>
      </c>
    </row>
    <row r="159" spans="1:20" x14ac:dyDescent="0.25">
      <c r="A159">
        <v>0.18328042200742811</v>
      </c>
      <c r="B159">
        <v>-0.21981691133987624</v>
      </c>
      <c r="D159">
        <v>0.16646750598390347</v>
      </c>
      <c r="E159">
        <v>2.2702745320657414</v>
      </c>
      <c r="J159">
        <v>20</v>
      </c>
      <c r="K159">
        <v>-0.21113203274580883</v>
      </c>
      <c r="L159">
        <v>19.688823722516272</v>
      </c>
      <c r="M159">
        <v>10</v>
      </c>
      <c r="N159">
        <v>0.89919796778303862</v>
      </c>
      <c r="O159">
        <v>92.678029391236194</v>
      </c>
      <c r="P159" s="1">
        <f t="shared" si="10"/>
        <v>4.0131018969197312</v>
      </c>
      <c r="Q159" s="1">
        <f t="shared" si="11"/>
        <v>0.60196528453795961</v>
      </c>
      <c r="R159" s="1">
        <f t="shared" si="12"/>
        <v>0.77586421784869009</v>
      </c>
      <c r="S159" s="1">
        <f t="shared" si="13"/>
        <v>-1.431088037037668</v>
      </c>
      <c r="T159" s="56">
        <f t="shared" si="14"/>
        <v>8.1736136865336775E-2</v>
      </c>
    </row>
    <row r="160" spans="1:20" x14ac:dyDescent="0.25">
      <c r="A160">
        <v>0.18350188525887556</v>
      </c>
      <c r="B160">
        <v>-0.64828554968698882</v>
      </c>
      <c r="D160">
        <v>0.16693953349526458</v>
      </c>
      <c r="E160">
        <v>1.8883345057929546</v>
      </c>
      <c r="J160">
        <v>20</v>
      </c>
      <c r="K160">
        <v>-0.25350516352773411</v>
      </c>
      <c r="L160">
        <v>23.225427043552571</v>
      </c>
      <c r="M160">
        <v>10</v>
      </c>
      <c r="N160">
        <v>0.83772726725328539</v>
      </c>
      <c r="O160">
        <v>85.434035556576944</v>
      </c>
      <c r="P160" s="1">
        <f t="shared" si="10"/>
        <v>3.8806950928617683</v>
      </c>
      <c r="Q160" s="1">
        <f t="shared" si="11"/>
        <v>0.58210426392926518</v>
      </c>
      <c r="R160" s="1">
        <f t="shared" si="12"/>
        <v>0.7629575767559198</v>
      </c>
      <c r="S160" s="1">
        <f t="shared" si="13"/>
        <v>-1.4302661956919254</v>
      </c>
      <c r="T160" s="56">
        <f t="shared" si="14"/>
        <v>8.1852960489887314E-2</v>
      </c>
    </row>
    <row r="161" spans="1:20" x14ac:dyDescent="0.25">
      <c r="A161">
        <v>0.18407072820004811</v>
      </c>
      <c r="B161">
        <v>4.7408548198291101E-2</v>
      </c>
      <c r="D161">
        <v>0.16715297292096076</v>
      </c>
      <c r="E161">
        <v>-4.7266910348753299</v>
      </c>
      <c r="J161">
        <v>20</v>
      </c>
      <c r="K161">
        <v>-0.18633625131769804</v>
      </c>
      <c r="L161">
        <v>25.356866717132593</v>
      </c>
      <c r="M161">
        <v>10</v>
      </c>
      <c r="N161">
        <v>0.95321922458424524</v>
      </c>
      <c r="O161">
        <v>93.386516543873711</v>
      </c>
      <c r="P161" s="1">
        <f t="shared" si="10"/>
        <v>4.2408351164645106</v>
      </c>
      <c r="Q161" s="1">
        <f t="shared" si="11"/>
        <v>0.63612526746967657</v>
      </c>
      <c r="R161" s="1">
        <f t="shared" si="12"/>
        <v>0.79757461561265641</v>
      </c>
      <c r="S161" s="1">
        <f t="shared" si="13"/>
        <v>-1.4287760086579417</v>
      </c>
      <c r="T161" s="56">
        <f t="shared" si="14"/>
        <v>8.2065126840346531E-2</v>
      </c>
    </row>
    <row r="162" spans="1:20" x14ac:dyDescent="0.25">
      <c r="A162">
        <v>0.18460692447915894</v>
      </c>
      <c r="B162">
        <v>-1.0682470019673929</v>
      </c>
      <c r="D162">
        <v>0.16741900154039613</v>
      </c>
      <c r="E162">
        <v>3.5748309949212853</v>
      </c>
      <c r="J162">
        <v>20</v>
      </c>
      <c r="K162">
        <v>-0.45852908669985482</v>
      </c>
      <c r="L162">
        <v>17.182415229443599</v>
      </c>
      <c r="M162">
        <v>10</v>
      </c>
      <c r="N162">
        <v>0.57745273466025537</v>
      </c>
      <c r="O162">
        <v>83.768383454453812</v>
      </c>
      <c r="P162" s="1">
        <f t="shared" si="10"/>
        <v>3.6053856672820501</v>
      </c>
      <c r="Q162" s="1">
        <f t="shared" si="11"/>
        <v>0.54080785009230747</v>
      </c>
      <c r="R162" s="1">
        <f t="shared" si="12"/>
        <v>0.73539638977377875</v>
      </c>
      <c r="S162" s="1">
        <f t="shared" si="13"/>
        <v>-1.4087393353655122</v>
      </c>
      <c r="T162" s="56">
        <f t="shared" si="14"/>
        <v>8.4960456793920211E-2</v>
      </c>
    </row>
    <row r="163" spans="1:20" x14ac:dyDescent="0.25">
      <c r="A163">
        <v>0.18514477889071912</v>
      </c>
      <c r="B163">
        <v>-0.50571543397381902</v>
      </c>
      <c r="D163">
        <v>0.16828999393144228</v>
      </c>
      <c r="E163">
        <v>2.3588922852013638</v>
      </c>
      <c r="J163">
        <v>20</v>
      </c>
      <c r="K163">
        <v>-0.18079089159073192</v>
      </c>
      <c r="L163">
        <v>15.296766144147218</v>
      </c>
      <c r="M163">
        <v>10</v>
      </c>
      <c r="N163">
        <v>0.67478151436262124</v>
      </c>
      <c r="O163">
        <v>53.952112890952002</v>
      </c>
      <c r="P163" s="1">
        <f t="shared" si="10"/>
        <v>2.4731742512535435</v>
      </c>
      <c r="Q163" s="1">
        <f t="shared" si="11"/>
        <v>0.3709761376880315</v>
      </c>
      <c r="R163" s="1">
        <f t="shared" si="12"/>
        <v>0.60907810475178925</v>
      </c>
      <c r="S163" s="1">
        <f t="shared" si="13"/>
        <v>-1.4047006439379641</v>
      </c>
      <c r="T163" s="56">
        <f t="shared" si="14"/>
        <v>8.5553718471045509E-2</v>
      </c>
    </row>
    <row r="164" spans="1:20" x14ac:dyDescent="0.25">
      <c r="A164">
        <v>0.18610860889569592</v>
      </c>
      <c r="B164">
        <v>-1.7894035408971831</v>
      </c>
      <c r="D164">
        <v>0.16911503133823802</v>
      </c>
      <c r="E164">
        <v>1.6100359482607018</v>
      </c>
      <c r="J164">
        <v>20</v>
      </c>
      <c r="K164">
        <v>-0.25233589440176729</v>
      </c>
      <c r="L164">
        <v>18.574209432595051</v>
      </c>
      <c r="M164">
        <v>10</v>
      </c>
      <c r="N164">
        <v>0.82293820128143125</v>
      </c>
      <c r="O164">
        <v>91.530503193670597</v>
      </c>
      <c r="P164" s="1">
        <f t="shared" si="10"/>
        <v>3.9323111652237732</v>
      </c>
      <c r="Q164" s="1">
        <f t="shared" si="11"/>
        <v>0.58984667478356601</v>
      </c>
      <c r="R164" s="1">
        <f t="shared" si="12"/>
        <v>0.76801476208700958</v>
      </c>
      <c r="S164" s="1">
        <f t="shared" si="13"/>
        <v>-1.4000695673625334</v>
      </c>
      <c r="T164" s="56">
        <f t="shared" si="14"/>
        <v>8.6238017760159713E-2</v>
      </c>
    </row>
    <row r="165" spans="1:20" x14ac:dyDescent="0.25">
      <c r="A165">
        <v>0.18667043658057336</v>
      </c>
      <c r="B165">
        <v>-0.28538011065393221</v>
      </c>
      <c r="D165">
        <v>0.16925858192253074</v>
      </c>
      <c r="E165">
        <v>2.5408173735286255</v>
      </c>
      <c r="J165">
        <v>20</v>
      </c>
      <c r="K165">
        <v>0.24461843395329197</v>
      </c>
      <c r="L165">
        <v>19.809433240639578</v>
      </c>
      <c r="M165">
        <v>10</v>
      </c>
      <c r="N165">
        <v>1.3894223195620725</v>
      </c>
      <c r="O165">
        <v>106.12012368923563</v>
      </c>
      <c r="P165" s="1">
        <f t="shared" si="10"/>
        <v>4.4974841760669717</v>
      </c>
      <c r="Q165" s="1">
        <f t="shared" si="11"/>
        <v>0.67462262641004578</v>
      </c>
      <c r="R165" s="1">
        <f t="shared" si="12"/>
        <v>0.82135414189620171</v>
      </c>
      <c r="S165" s="1">
        <f t="shared" si="13"/>
        <v>-1.3938005876075008</v>
      </c>
      <c r="T165" s="56">
        <f t="shared" si="14"/>
        <v>8.7171203587922436E-2</v>
      </c>
    </row>
    <row r="166" spans="1:20" x14ac:dyDescent="0.25">
      <c r="A166">
        <v>0.1878134256342413</v>
      </c>
      <c r="B166">
        <v>0.71043928073777352</v>
      </c>
      <c r="D166">
        <v>0.16930048054821523</v>
      </c>
      <c r="E166">
        <v>-4.7483142714099813</v>
      </c>
      <c r="J166">
        <v>20</v>
      </c>
      <c r="K166">
        <v>-0.11916705489056767</v>
      </c>
      <c r="L166">
        <v>15.709377118794018</v>
      </c>
      <c r="M166">
        <v>10</v>
      </c>
      <c r="N166">
        <v>1.0724914966431243</v>
      </c>
      <c r="O166">
        <v>121.09610790873386</v>
      </c>
      <c r="P166" s="1">
        <f t="shared" si="10"/>
        <v>4.8859101795545667</v>
      </c>
      <c r="Q166" s="1">
        <f t="shared" si="11"/>
        <v>0.73288652693318501</v>
      </c>
      <c r="R166" s="1">
        <f t="shared" si="12"/>
        <v>0.85608792009535151</v>
      </c>
      <c r="S166" s="1">
        <f t="shared" si="13"/>
        <v>-1.3919815051250395</v>
      </c>
      <c r="T166" s="56">
        <f t="shared" si="14"/>
        <v>8.7443470913992655E-2</v>
      </c>
    </row>
    <row r="167" spans="1:20" x14ac:dyDescent="0.25">
      <c r="A167">
        <v>0.18926475843108803</v>
      </c>
      <c r="B167">
        <v>0.23575466912006959</v>
      </c>
      <c r="D167">
        <v>0.16939699064959268</v>
      </c>
      <c r="E167">
        <v>0.6459704275130207</v>
      </c>
      <c r="J167">
        <v>20</v>
      </c>
      <c r="K167">
        <v>-0.45604662091136561</v>
      </c>
      <c r="L167">
        <v>19.443027934415994</v>
      </c>
      <c r="M167">
        <v>10</v>
      </c>
      <c r="N167">
        <v>0.44137470581517846</v>
      </c>
      <c r="O167">
        <v>58.278281655064788</v>
      </c>
      <c r="P167" s="1">
        <f t="shared" si="10"/>
        <v>2.7757610567671707</v>
      </c>
      <c r="Q167" s="1">
        <f t="shared" si="11"/>
        <v>0.41636415851507558</v>
      </c>
      <c r="R167" s="1">
        <f t="shared" si="12"/>
        <v>0.64526286001526201</v>
      </c>
      <c r="S167" s="1">
        <f t="shared" si="13"/>
        <v>-1.3907841010798574</v>
      </c>
      <c r="T167" s="56">
        <f t="shared" si="14"/>
        <v>8.7623054702956005E-2</v>
      </c>
    </row>
    <row r="168" spans="1:20" x14ac:dyDescent="0.25">
      <c r="A168">
        <v>0.19007903176841245</v>
      </c>
      <c r="B168">
        <v>0.98183363661519252</v>
      </c>
      <c r="D168">
        <v>0.17023530146766175</v>
      </c>
      <c r="E168">
        <v>0.30249179530983383</v>
      </c>
      <c r="J168">
        <v>20</v>
      </c>
      <c r="K168">
        <v>-0.2181931222366984</v>
      </c>
      <c r="L168">
        <v>9.2753718830090381</v>
      </c>
      <c r="M168">
        <v>10</v>
      </c>
      <c r="N168">
        <v>0.65306891997352068</v>
      </c>
      <c r="O168">
        <v>64.817052059906388</v>
      </c>
      <c r="P168" s="1">
        <f t="shared" si="10"/>
        <v>2.6461579979612653</v>
      </c>
      <c r="Q168" s="1">
        <f t="shared" si="11"/>
        <v>0.39692369969418978</v>
      </c>
      <c r="R168" s="1">
        <f t="shared" si="12"/>
        <v>0.63001880900032636</v>
      </c>
      <c r="S168" s="1">
        <f t="shared" si="13"/>
        <v>-1.3829143348794333</v>
      </c>
      <c r="T168" s="56">
        <f t="shared" si="14"/>
        <v>8.8810570470107278E-2</v>
      </c>
    </row>
    <row r="169" spans="1:20" x14ac:dyDescent="0.25">
      <c r="A169">
        <v>0.19020134955929502</v>
      </c>
      <c r="B169">
        <v>0.70180135480768513</v>
      </c>
      <c r="D169">
        <v>0.17261060445512877</v>
      </c>
      <c r="E169">
        <v>1.3017922776725754</v>
      </c>
      <c r="J169">
        <v>20</v>
      </c>
      <c r="K169">
        <v>-7.5366244800534332E-2</v>
      </c>
      <c r="L169">
        <v>8.8862477809745677</v>
      </c>
      <c r="M169">
        <v>10</v>
      </c>
      <c r="N169">
        <v>0.87011744312803785</v>
      </c>
      <c r="O169">
        <v>78.511191143717923</v>
      </c>
      <c r="P169" s="1">
        <f t="shared" si="10"/>
        <v>3.1213371044533034</v>
      </c>
      <c r="Q169" s="1">
        <f t="shared" si="11"/>
        <v>0.46820056566799551</v>
      </c>
      <c r="R169" s="1">
        <f t="shared" si="12"/>
        <v>0.6842518291301789</v>
      </c>
      <c r="S169" s="1">
        <f t="shared" si="13"/>
        <v>-1.38177736277369</v>
      </c>
      <c r="T169" s="56">
        <f t="shared" si="14"/>
        <v>8.8983174636462353E-2</v>
      </c>
    </row>
    <row r="170" spans="1:20" x14ac:dyDescent="0.25">
      <c r="A170">
        <v>0.19255643126457822</v>
      </c>
      <c r="B170">
        <v>1.2461373444239143</v>
      </c>
      <c r="D170">
        <v>0.17343271542354921</v>
      </c>
      <c r="E170">
        <v>-0.24518658733541088</v>
      </c>
      <c r="J170">
        <v>20</v>
      </c>
      <c r="K170">
        <v>7.9106030170805752E-2</v>
      </c>
      <c r="L170">
        <v>14.968879777119366</v>
      </c>
      <c r="M170">
        <v>10</v>
      </c>
      <c r="N170">
        <v>1.0486551184385462</v>
      </c>
      <c r="O170">
        <v>77.155864290766502</v>
      </c>
      <c r="P170" s="1">
        <f t="shared" si="10"/>
        <v>3.290169430995924</v>
      </c>
      <c r="Q170" s="1">
        <f t="shared" si="11"/>
        <v>0.49352541464938859</v>
      </c>
      <c r="R170" s="1">
        <f t="shared" si="12"/>
        <v>0.70251364018742624</v>
      </c>
      <c r="S170" s="1">
        <f t="shared" si="13"/>
        <v>-1.3801142537375799</v>
      </c>
      <c r="T170" s="56">
        <f t="shared" si="14"/>
        <v>8.9236125848411368E-2</v>
      </c>
    </row>
    <row r="171" spans="1:20" x14ac:dyDescent="0.25">
      <c r="A171">
        <v>0.19335013766335118</v>
      </c>
      <c r="B171">
        <v>0.56909357226686552</v>
      </c>
      <c r="D171">
        <v>0.17429413209256306</v>
      </c>
      <c r="E171">
        <v>-1.2350567465091444</v>
      </c>
      <c r="J171">
        <v>20</v>
      </c>
      <c r="K171">
        <v>-0.12146176686655963</v>
      </c>
      <c r="L171">
        <v>12.664744990682875</v>
      </c>
      <c r="M171">
        <v>10</v>
      </c>
      <c r="N171">
        <v>0.54760482385063369</v>
      </c>
      <c r="O171">
        <v>31.455966490956715</v>
      </c>
      <c r="P171" s="1">
        <f t="shared" si="10"/>
        <v>1.5757396957728425</v>
      </c>
      <c r="Q171" s="1">
        <f t="shared" si="11"/>
        <v>0.23636095436592636</v>
      </c>
      <c r="R171" s="1">
        <f t="shared" si="12"/>
        <v>0.48616967651831838</v>
      </c>
      <c r="S171" s="1">
        <f t="shared" si="13"/>
        <v>-1.3761997570656457</v>
      </c>
      <c r="T171" s="56">
        <f t="shared" si="14"/>
        <v>8.9833728585192341E-2</v>
      </c>
    </row>
    <row r="172" spans="1:20" x14ac:dyDescent="0.25">
      <c r="A172">
        <v>0.19352566376941827</v>
      </c>
      <c r="B172">
        <v>0.8651159077999182</v>
      </c>
      <c r="D172">
        <v>0.17467653850811693</v>
      </c>
      <c r="E172">
        <v>-4.0670800024145137</v>
      </c>
      <c r="J172">
        <v>20</v>
      </c>
      <c r="K172">
        <v>-0.31190148774840054</v>
      </c>
      <c r="L172">
        <v>30.805326828795689</v>
      </c>
      <c r="M172">
        <v>10</v>
      </c>
      <c r="N172">
        <v>0.72662987463445461</v>
      </c>
      <c r="O172">
        <v>76.011355848511187</v>
      </c>
      <c r="P172" s="1">
        <f t="shared" si="10"/>
        <v>3.8148815241895311</v>
      </c>
      <c r="Q172" s="1">
        <f t="shared" si="11"/>
        <v>0.5722322286284296</v>
      </c>
      <c r="R172" s="1">
        <f t="shared" si="12"/>
        <v>0.7564603285225403</v>
      </c>
      <c r="S172" s="1">
        <f t="shared" si="13"/>
        <v>-1.3728827847604832</v>
      </c>
      <c r="T172" s="56">
        <f t="shared" si="14"/>
        <v>9.0342561309000521E-2</v>
      </c>
    </row>
    <row r="173" spans="1:20" x14ac:dyDescent="0.25">
      <c r="A173">
        <v>0.19476002104549162</v>
      </c>
      <c r="B173">
        <v>0.1424996298737824</v>
      </c>
      <c r="D173">
        <v>0.17480575419345756</v>
      </c>
      <c r="E173">
        <v>-0.32803359658828413</v>
      </c>
      <c r="J173">
        <v>20</v>
      </c>
      <c r="K173">
        <v>-1.7073375602194574E-2</v>
      </c>
      <c r="L173">
        <v>14.507533484077184</v>
      </c>
      <c r="M173">
        <v>10</v>
      </c>
      <c r="N173">
        <v>0.87280431785075052</v>
      </c>
      <c r="O173">
        <v>65.68829148144971</v>
      </c>
      <c r="P173" s="1">
        <f t="shared" si="10"/>
        <v>2.8641366059116748</v>
      </c>
      <c r="Q173" s="1">
        <f t="shared" si="11"/>
        <v>0.42962049088675119</v>
      </c>
      <c r="R173" s="1">
        <f t="shared" si="12"/>
        <v>0.65545441556736128</v>
      </c>
      <c r="S173" s="1">
        <f t="shared" si="13"/>
        <v>-1.3576500093948822</v>
      </c>
      <c r="T173" s="56">
        <f t="shared" si="14"/>
        <v>9.2708328197166276E-2</v>
      </c>
    </row>
    <row r="174" spans="1:20" x14ac:dyDescent="0.25">
      <c r="A174">
        <v>0.19482022442513403</v>
      </c>
      <c r="B174">
        <v>0.55538521337439306</v>
      </c>
      <c r="D174">
        <v>0.17513903155911403</v>
      </c>
      <c r="E174">
        <v>-4.5185291810412309E-2</v>
      </c>
      <c r="J174">
        <v>20</v>
      </c>
      <c r="K174">
        <v>-0.14240413293009624</v>
      </c>
      <c r="L174">
        <v>17.785924751501028</v>
      </c>
      <c r="M174">
        <v>10</v>
      </c>
      <c r="N174">
        <v>0.83215229210509278</v>
      </c>
      <c r="O174">
        <v>80.255090305657163</v>
      </c>
      <c r="P174" s="1">
        <f t="shared" si="10"/>
        <v>3.5014648234699353</v>
      </c>
      <c r="Q174" s="1">
        <f t="shared" si="11"/>
        <v>0.52521972352049029</v>
      </c>
      <c r="R174" s="1">
        <f t="shared" si="12"/>
        <v>0.72472044508244027</v>
      </c>
      <c r="S174" s="1">
        <f t="shared" si="13"/>
        <v>-1.3447342787801837</v>
      </c>
      <c r="T174" s="56">
        <f t="shared" si="14"/>
        <v>9.4751842604895428E-2</v>
      </c>
    </row>
    <row r="175" spans="1:20" x14ac:dyDescent="0.25">
      <c r="A175">
        <v>0.19709963267898067</v>
      </c>
      <c r="B175">
        <v>0.28243334782018792</v>
      </c>
      <c r="D175">
        <v>0.17543914209915623</v>
      </c>
      <c r="E175">
        <v>-5.6875403549838666</v>
      </c>
      <c r="J175">
        <v>20</v>
      </c>
      <c r="K175">
        <v>-0.26793179586093174</v>
      </c>
      <c r="L175">
        <v>15.65151697261299</v>
      </c>
      <c r="M175">
        <v>10</v>
      </c>
      <c r="N175">
        <v>0.72144404953178309</v>
      </c>
      <c r="O175">
        <v>85.581890338999173</v>
      </c>
      <c r="P175" s="1">
        <f t="shared" si="10"/>
        <v>3.6154788325575775</v>
      </c>
      <c r="Q175" s="1">
        <f t="shared" si="11"/>
        <v>0.54232182488363656</v>
      </c>
      <c r="R175" s="1">
        <f t="shared" si="12"/>
        <v>0.73642503004965587</v>
      </c>
      <c r="S175" s="1">
        <f t="shared" si="13"/>
        <v>-1.3434848151834313</v>
      </c>
      <c r="T175" s="56">
        <f t="shared" si="14"/>
        <v>9.4951374136057712E-2</v>
      </c>
    </row>
    <row r="176" spans="1:20" x14ac:dyDescent="0.25">
      <c r="A176">
        <v>0.20123457251331678</v>
      </c>
      <c r="B176">
        <v>-0.10103462955157738</v>
      </c>
      <c r="D176">
        <v>0.17697517524764284</v>
      </c>
      <c r="E176">
        <v>0.78508218962269893</v>
      </c>
      <c r="J176">
        <v>20</v>
      </c>
      <c r="K176">
        <v>0.18969956272485433</v>
      </c>
      <c r="L176">
        <v>24.920936892957261</v>
      </c>
      <c r="M176">
        <v>10</v>
      </c>
      <c r="N176">
        <v>1.3455650071136915</v>
      </c>
      <c r="O176">
        <v>113.54727433347334</v>
      </c>
      <c r="P176" s="1">
        <f t="shared" si="10"/>
        <v>4.9452932580868074</v>
      </c>
      <c r="Q176" s="1">
        <f t="shared" si="11"/>
        <v>0.74179398871302105</v>
      </c>
      <c r="R176" s="1">
        <f t="shared" si="12"/>
        <v>0.8612746302504336</v>
      </c>
      <c r="S176" s="1">
        <f t="shared" si="13"/>
        <v>-1.3420405104150637</v>
      </c>
      <c r="T176" s="56">
        <f t="shared" si="14"/>
        <v>9.5182427021425028E-2</v>
      </c>
    </row>
    <row r="177" spans="1:20" x14ac:dyDescent="0.25">
      <c r="A177">
        <v>0.20126165287015152</v>
      </c>
      <c r="B177">
        <v>0.36901155908708461</v>
      </c>
      <c r="D177">
        <v>0.1779826603707928</v>
      </c>
      <c r="E177">
        <v>3.273504031540142</v>
      </c>
      <c r="J177">
        <v>20</v>
      </c>
      <c r="K177">
        <v>-0.31290238666770165</v>
      </c>
      <c r="L177">
        <v>14.306305110653701</v>
      </c>
      <c r="M177">
        <v>10</v>
      </c>
      <c r="N177">
        <v>1.0182843618622428</v>
      </c>
      <c r="O177">
        <v>171.1161518161729</v>
      </c>
      <c r="P177" s="1">
        <f t="shared" si="10"/>
        <v>6.6222306045295216</v>
      </c>
      <c r="Q177" s="1">
        <f t="shared" si="11"/>
        <v>0.9933345906794282</v>
      </c>
      <c r="R177" s="1">
        <f t="shared" si="12"/>
        <v>0.99666172329403124</v>
      </c>
      <c r="S177" s="1">
        <f t="shared" si="13"/>
        <v>-1.3356455027993714</v>
      </c>
      <c r="T177" s="56">
        <f t="shared" si="14"/>
        <v>9.6210716828724133E-2</v>
      </c>
    </row>
    <row r="178" spans="1:20" x14ac:dyDescent="0.25">
      <c r="A178">
        <v>0.20216688710352482</v>
      </c>
      <c r="B178">
        <v>-0.60766069509554654</v>
      </c>
      <c r="D178">
        <v>0.17812618552829118</v>
      </c>
      <c r="E178">
        <v>-4.0321417634459067</v>
      </c>
      <c r="J178">
        <v>20</v>
      </c>
      <c r="K178">
        <v>-2.414253685856238E-2</v>
      </c>
      <c r="L178">
        <v>14.515452761992114</v>
      </c>
      <c r="M178">
        <v>10</v>
      </c>
      <c r="N178">
        <v>1.4845011230590899</v>
      </c>
      <c r="O178">
        <v>223.803717309712</v>
      </c>
      <c r="P178" s="1">
        <f t="shared" si="10"/>
        <v>8.5113989311322893</v>
      </c>
      <c r="Q178" s="1">
        <f t="shared" si="11"/>
        <v>1.2767098396698433</v>
      </c>
      <c r="R178" s="1">
        <f t="shared" si="12"/>
        <v>1.1299158551280901</v>
      </c>
      <c r="S178" s="1">
        <f t="shared" si="13"/>
        <v>-1.3351823085504262</v>
      </c>
      <c r="T178" s="56">
        <f t="shared" si="14"/>
        <v>9.6285529581735391E-2</v>
      </c>
    </row>
    <row r="179" spans="1:20" x14ac:dyDescent="0.25">
      <c r="A179">
        <v>0.20296822326332176</v>
      </c>
      <c r="B179">
        <v>9.7037400337285362E-2</v>
      </c>
      <c r="D179">
        <v>0.17917413797976522</v>
      </c>
      <c r="E179">
        <v>-0.33748097280295042</v>
      </c>
      <c r="J179">
        <v>20</v>
      </c>
      <c r="K179">
        <v>-1.9945218809880316E-3</v>
      </c>
      <c r="L179">
        <v>18.468245727620101</v>
      </c>
      <c r="M179">
        <v>10</v>
      </c>
      <c r="N179">
        <v>1.101489143593426</v>
      </c>
      <c r="O179">
        <v>112.54920079520126</v>
      </c>
      <c r="P179" s="1">
        <f t="shared" si="10"/>
        <v>4.6791945186721913</v>
      </c>
      <c r="Q179" s="1">
        <f t="shared" si="11"/>
        <v>0.70187917780082865</v>
      </c>
      <c r="R179" s="1">
        <f t="shared" si="12"/>
        <v>0.83778229737851861</v>
      </c>
      <c r="S179" s="1">
        <f t="shared" si="13"/>
        <v>-1.3171484631834478</v>
      </c>
      <c r="T179" s="56">
        <f t="shared" si="14"/>
        <v>9.9233427089863199E-2</v>
      </c>
    </row>
    <row r="180" spans="1:20" x14ac:dyDescent="0.25">
      <c r="A180">
        <v>0.20487889205269005</v>
      </c>
      <c r="B180">
        <v>1.7844922695076093</v>
      </c>
      <c r="D180">
        <v>0.17969555142633886</v>
      </c>
      <c r="E180">
        <v>0.52193012948009709</v>
      </c>
      <c r="J180">
        <v>20</v>
      </c>
      <c r="K180">
        <v>4.736699565910385E-2</v>
      </c>
      <c r="L180">
        <v>13.572506032166064</v>
      </c>
      <c r="M180">
        <v>10</v>
      </c>
      <c r="N180">
        <v>1.2009655813471909</v>
      </c>
      <c r="O180">
        <v>129.78044238119796</v>
      </c>
      <c r="P180" s="1">
        <f t="shared" si="10"/>
        <v>5.119748157620144</v>
      </c>
      <c r="Q180" s="1">
        <f t="shared" si="11"/>
        <v>0.76796222364302158</v>
      </c>
      <c r="R180" s="1">
        <f t="shared" si="12"/>
        <v>0.87633453865691135</v>
      </c>
      <c r="S180" s="1">
        <f t="shared" si="13"/>
        <v>-1.3163906417018738</v>
      </c>
      <c r="T180" s="56">
        <f t="shared" si="14"/>
        <v>9.9358811408903985E-2</v>
      </c>
    </row>
    <row r="181" spans="1:20" x14ac:dyDescent="0.25">
      <c r="A181">
        <v>0.20611917904608101</v>
      </c>
      <c r="B181">
        <v>0.86344925875891931</v>
      </c>
      <c r="D181">
        <v>0.17970781400754476</v>
      </c>
      <c r="E181">
        <v>-3.9579474594120256</v>
      </c>
      <c r="J181">
        <v>20</v>
      </c>
      <c r="K181">
        <v>8.5631768342864234E-3</v>
      </c>
      <c r="L181">
        <v>16.947352631608322</v>
      </c>
      <c r="M181">
        <v>10</v>
      </c>
      <c r="N181">
        <v>1.2179422094504844</v>
      </c>
      <c r="O181">
        <v>141.94642011873427</v>
      </c>
      <c r="P181" s="1">
        <f t="shared" si="10"/>
        <v>5.6747775982265205</v>
      </c>
      <c r="Q181" s="1">
        <f t="shared" si="11"/>
        <v>0.8512166397339781</v>
      </c>
      <c r="R181" s="1">
        <f t="shared" si="12"/>
        <v>0.92261402532910697</v>
      </c>
      <c r="S181" s="1">
        <f t="shared" si="13"/>
        <v>-1.3108179579047681</v>
      </c>
      <c r="T181" s="56">
        <f t="shared" si="14"/>
        <v>0.10028458479897945</v>
      </c>
    </row>
    <row r="182" spans="1:20" x14ac:dyDescent="0.25">
      <c r="A182">
        <v>0.20701601844386619</v>
      </c>
      <c r="B182">
        <v>1.545872692076955</v>
      </c>
      <c r="D182">
        <v>0.18056428557268311</v>
      </c>
      <c r="E182">
        <v>-0.27600481530498655</v>
      </c>
      <c r="J182">
        <v>20</v>
      </c>
      <c r="K182">
        <v>-0.19216543023503618</v>
      </c>
      <c r="L182">
        <v>14.829833930725831</v>
      </c>
      <c r="M182">
        <v>10</v>
      </c>
      <c r="N182">
        <v>0.75929085255665996</v>
      </c>
      <c r="O182">
        <v>84.177166077326675</v>
      </c>
      <c r="P182" s="1">
        <f t="shared" si="10"/>
        <v>3.535964286001875</v>
      </c>
      <c r="Q182" s="1">
        <f t="shared" si="11"/>
        <v>0.53039464290028127</v>
      </c>
      <c r="R182" s="1">
        <f t="shared" si="12"/>
        <v>0.72828198034846447</v>
      </c>
      <c r="S182" s="1">
        <f t="shared" si="13"/>
        <v>-1.3064394128445254</v>
      </c>
      <c r="T182" s="56">
        <f t="shared" si="14"/>
        <v>0.1010166243821911</v>
      </c>
    </row>
    <row r="183" spans="1:20" x14ac:dyDescent="0.25">
      <c r="A183">
        <v>0.20716816241987335</v>
      </c>
      <c r="B183">
        <v>-1.306234480580315</v>
      </c>
      <c r="D183">
        <v>0.18106572778264485</v>
      </c>
      <c r="E183">
        <v>-2.4465036892706848</v>
      </c>
      <c r="J183">
        <v>20</v>
      </c>
      <c r="K183">
        <v>-8.6635111529176356E-2</v>
      </c>
      <c r="L183">
        <v>25.624199774919855</v>
      </c>
      <c r="M183">
        <v>10</v>
      </c>
      <c r="N183">
        <v>1.0184224913700746</v>
      </c>
      <c r="O183">
        <v>108.24441338943828</v>
      </c>
      <c r="P183" s="1">
        <f t="shared" si="10"/>
        <v>4.7810218987270758</v>
      </c>
      <c r="Q183" s="1">
        <f t="shared" si="11"/>
        <v>0.71715328480906138</v>
      </c>
      <c r="R183" s="1">
        <f t="shared" si="12"/>
        <v>0.84684903306850468</v>
      </c>
      <c r="S183" s="1">
        <f t="shared" si="13"/>
        <v>-1.3049050772309954</v>
      </c>
      <c r="T183" s="56">
        <f t="shared" si="14"/>
        <v>0.10127411604751044</v>
      </c>
    </row>
    <row r="184" spans="1:20" x14ac:dyDescent="0.25">
      <c r="A184">
        <v>0.21293566805532194</v>
      </c>
      <c r="B184">
        <v>1.0517442206037231</v>
      </c>
      <c r="D184">
        <v>0.18194014038872375</v>
      </c>
      <c r="E184">
        <v>3.5035493476698321</v>
      </c>
      <c r="J184">
        <v>20</v>
      </c>
      <c r="K184">
        <v>1.1249881026742514E-3</v>
      </c>
      <c r="L184">
        <v>15.126961388424228</v>
      </c>
      <c r="M184">
        <v>10</v>
      </c>
      <c r="N184">
        <v>0.71063038490137842</v>
      </c>
      <c r="O184">
        <v>40.137059632373415</v>
      </c>
      <c r="P184" s="1">
        <f t="shared" si="10"/>
        <v>1.9737150364570586</v>
      </c>
      <c r="Q184" s="1">
        <f t="shared" si="11"/>
        <v>0.29605725546855877</v>
      </c>
      <c r="R184" s="1">
        <f t="shared" si="12"/>
        <v>0.54411143662723982</v>
      </c>
      <c r="S184" s="1">
        <f t="shared" si="13"/>
        <v>-1.3039707476039923</v>
      </c>
      <c r="T184" s="56">
        <f t="shared" si="14"/>
        <v>0.10143116170840645</v>
      </c>
    </row>
    <row r="185" spans="1:20" x14ac:dyDescent="0.25">
      <c r="A185">
        <v>0.21348685333330841</v>
      </c>
      <c r="B185">
        <v>0.76322976383380592</v>
      </c>
      <c r="D185">
        <v>0.18422889745076976</v>
      </c>
      <c r="E185">
        <v>-3.3426947572934296</v>
      </c>
      <c r="J185">
        <v>20</v>
      </c>
      <c r="K185">
        <v>0.25353961063956376</v>
      </c>
      <c r="L185">
        <v>8.8807782047649901</v>
      </c>
      <c r="M185">
        <v>10</v>
      </c>
      <c r="N185">
        <v>1.0148181638669485</v>
      </c>
      <c r="O185">
        <v>54.820615932316514</v>
      </c>
      <c r="P185" s="1">
        <f t="shared" si="10"/>
        <v>2.275049790610054</v>
      </c>
      <c r="Q185" s="1">
        <f t="shared" si="11"/>
        <v>0.34125746859150807</v>
      </c>
      <c r="R185" s="1">
        <f t="shared" si="12"/>
        <v>0.58417246476662021</v>
      </c>
      <c r="S185" s="1">
        <f t="shared" si="13"/>
        <v>-1.3031743177616548</v>
      </c>
      <c r="T185" s="56">
        <f t="shared" si="14"/>
        <v>0.10156517623260573</v>
      </c>
    </row>
    <row r="186" spans="1:20" x14ac:dyDescent="0.25">
      <c r="A186">
        <v>0.21526562673475125</v>
      </c>
      <c r="B186">
        <v>-0.36263145375414751</v>
      </c>
      <c r="D186">
        <v>0.18668267046385145</v>
      </c>
      <c r="E186">
        <v>1.4665756646081718</v>
      </c>
      <c r="J186">
        <v>20</v>
      </c>
      <c r="K186">
        <v>-4.246362550475169E-2</v>
      </c>
      <c r="L186">
        <v>24.314481142577534</v>
      </c>
      <c r="M186">
        <v>10</v>
      </c>
      <c r="N186">
        <v>0.96118230544561811</v>
      </c>
      <c r="O186">
        <v>88.987516356046115</v>
      </c>
      <c r="P186" s="1">
        <f t="shared" si="10"/>
        <v>4.0464999106651307</v>
      </c>
      <c r="Q186" s="1">
        <f t="shared" si="11"/>
        <v>0.60697498659976956</v>
      </c>
      <c r="R186" s="1">
        <f t="shared" si="12"/>
        <v>0.77908599435477566</v>
      </c>
      <c r="S186" s="1">
        <f t="shared" si="13"/>
        <v>-1.2882351091185646</v>
      </c>
      <c r="T186" s="56">
        <f t="shared" si="14"/>
        <v>0.10410423429887303</v>
      </c>
    </row>
    <row r="187" spans="1:20" x14ac:dyDescent="0.25">
      <c r="A187">
        <v>0.21600273540637416</v>
      </c>
      <c r="B187">
        <v>0.3215882315998897</v>
      </c>
      <c r="D187">
        <v>0.18762089581829111</v>
      </c>
      <c r="E187">
        <v>7.0982725867452245</v>
      </c>
      <c r="J187">
        <v>20</v>
      </c>
      <c r="K187">
        <v>-4.566521738524898E-2</v>
      </c>
      <c r="L187">
        <v>26.885195963706138</v>
      </c>
      <c r="M187">
        <v>10</v>
      </c>
      <c r="N187">
        <v>0.69755787649228296</v>
      </c>
      <c r="O187">
        <v>35.252831919675636</v>
      </c>
      <c r="P187" s="1">
        <f t="shared" si="10"/>
        <v>2.2192152815493489</v>
      </c>
      <c r="Q187" s="1">
        <f t="shared" si="11"/>
        <v>0.33288229223240234</v>
      </c>
      <c r="R187" s="1">
        <f t="shared" si="12"/>
        <v>0.57695952391168859</v>
      </c>
      <c r="S187" s="1">
        <f t="shared" si="13"/>
        <v>-1.2881719827391085</v>
      </c>
      <c r="T187" s="56">
        <f t="shared" si="14"/>
        <v>0.10411506525612048</v>
      </c>
    </row>
    <row r="188" spans="1:20" x14ac:dyDescent="0.25">
      <c r="A188">
        <v>0.21760977914933533</v>
      </c>
      <c r="B188">
        <v>-1.1944371181016322</v>
      </c>
      <c r="D188">
        <v>0.18992771248035534</v>
      </c>
      <c r="E188">
        <v>-0.98790042443397397</v>
      </c>
      <c r="J188">
        <v>20</v>
      </c>
      <c r="K188">
        <v>8.2579674653970869E-2</v>
      </c>
      <c r="L188">
        <v>22.385253967673126</v>
      </c>
      <c r="M188">
        <v>10</v>
      </c>
      <c r="N188">
        <v>0.93308608143161109</v>
      </c>
      <c r="O188">
        <v>60.393883219688817</v>
      </c>
      <c r="P188" s="1">
        <f t="shared" si="10"/>
        <v>2.9563977566914978</v>
      </c>
      <c r="Q188" s="1">
        <f t="shared" si="11"/>
        <v>0.44345966350372468</v>
      </c>
      <c r="R188" s="1">
        <f t="shared" si="12"/>
        <v>0.66592767137559672</v>
      </c>
      <c r="S188" s="1">
        <f t="shared" si="13"/>
        <v>-1.2771753500207643</v>
      </c>
      <c r="T188" s="56">
        <f t="shared" si="14"/>
        <v>0.10601499004672885</v>
      </c>
    </row>
    <row r="189" spans="1:20" x14ac:dyDescent="0.25">
      <c r="A189">
        <v>0.21843680760588258</v>
      </c>
      <c r="B189">
        <v>-0.9425775715499185</v>
      </c>
      <c r="D189">
        <v>0.19135794484008095</v>
      </c>
      <c r="E189">
        <v>-1.4835056879292097</v>
      </c>
      <c r="J189">
        <v>20</v>
      </c>
      <c r="K189">
        <v>5.134666025696788E-3</v>
      </c>
      <c r="L189">
        <v>17.095431204837297</v>
      </c>
      <c r="M189">
        <v>10</v>
      </c>
      <c r="N189">
        <v>1.0570646475116519</v>
      </c>
      <c r="O189">
        <v>109.67771399275495</v>
      </c>
      <c r="P189" s="1">
        <f t="shared" si="10"/>
        <v>4.5276123284854375</v>
      </c>
      <c r="Q189" s="1">
        <f t="shared" si="11"/>
        <v>0.67914184927281562</v>
      </c>
      <c r="R189" s="1">
        <f t="shared" si="12"/>
        <v>0.8241006305499442</v>
      </c>
      <c r="S189" s="1">
        <f t="shared" si="13"/>
        <v>-1.2764581684447618</v>
      </c>
      <c r="T189" s="56">
        <f t="shared" si="14"/>
        <v>0.10613981155335991</v>
      </c>
    </row>
    <row r="190" spans="1:20" x14ac:dyDescent="0.25">
      <c r="A190">
        <v>0.2207898604935159</v>
      </c>
      <c r="B190">
        <v>1.9370781956240535</v>
      </c>
      <c r="D190">
        <v>0.1921689214041532</v>
      </c>
      <c r="E190">
        <v>-3.6693079471206147</v>
      </c>
      <c r="J190">
        <v>20</v>
      </c>
      <c r="K190">
        <v>-1.1721283499355195E-2</v>
      </c>
      <c r="L190">
        <v>16.6583157779781</v>
      </c>
      <c r="M190">
        <v>10</v>
      </c>
      <c r="N190">
        <v>0.95522602464370721</v>
      </c>
      <c r="O190">
        <v>90.787277073714023</v>
      </c>
      <c r="P190" s="1">
        <f t="shared" si="10"/>
        <v>3.8373426018461472</v>
      </c>
      <c r="Q190" s="1">
        <f t="shared" si="11"/>
        <v>0.57560139027692203</v>
      </c>
      <c r="R190" s="1">
        <f t="shared" si="12"/>
        <v>0.75868398577861262</v>
      </c>
      <c r="S190" s="1">
        <f t="shared" si="13"/>
        <v>-1.2745060213057164</v>
      </c>
      <c r="T190" s="56">
        <f t="shared" si="14"/>
        <v>0.10648013893861877</v>
      </c>
    </row>
    <row r="191" spans="1:20" x14ac:dyDescent="0.25">
      <c r="A191">
        <v>0.22126789483103926</v>
      </c>
      <c r="B191">
        <v>-1.0806456884893123</v>
      </c>
      <c r="D191">
        <v>0.19508398270850913</v>
      </c>
      <c r="E191">
        <v>0.19864569026140089</v>
      </c>
      <c r="J191">
        <v>20</v>
      </c>
      <c r="K191">
        <v>0.11118942211396643</v>
      </c>
      <c r="L191">
        <v>11.761222916013606</v>
      </c>
      <c r="M191">
        <v>10</v>
      </c>
      <c r="N191">
        <v>0.93216419486452651</v>
      </c>
      <c r="O191">
        <v>66.179004890182057</v>
      </c>
      <c r="P191" s="1">
        <f t="shared" si="10"/>
        <v>2.7835795645069878</v>
      </c>
      <c r="Q191" s="1">
        <f t="shared" si="11"/>
        <v>0.41753693467604819</v>
      </c>
      <c r="R191" s="1">
        <f t="shared" si="12"/>
        <v>0.64617097944433266</v>
      </c>
      <c r="S191" s="1">
        <f t="shared" si="13"/>
        <v>-1.2705225069942756</v>
      </c>
      <c r="T191" s="56">
        <f t="shared" si="14"/>
        <v>0.10717718007973372</v>
      </c>
    </row>
    <row r="192" spans="1:20" x14ac:dyDescent="0.25">
      <c r="A192">
        <v>0.22205691534006267</v>
      </c>
      <c r="B192">
        <v>-0.67754172050626948</v>
      </c>
      <c r="D192">
        <v>0.19567834077019997</v>
      </c>
      <c r="E192">
        <v>-2.4819057705371961</v>
      </c>
      <c r="J192">
        <v>20</v>
      </c>
      <c r="K192">
        <v>4.6629168082290562E-2</v>
      </c>
      <c r="L192">
        <v>22.844302889329686</v>
      </c>
      <c r="M192">
        <v>10</v>
      </c>
      <c r="N192">
        <v>0.96773680638762016</v>
      </c>
      <c r="O192">
        <v>76.721492311370781</v>
      </c>
      <c r="P192" s="1">
        <f t="shared" si="10"/>
        <v>3.5559212571678738</v>
      </c>
      <c r="Q192" s="1">
        <f t="shared" si="11"/>
        <v>0.533388188575181</v>
      </c>
      <c r="R192" s="1">
        <f t="shared" si="12"/>
        <v>0.73033429919125459</v>
      </c>
      <c r="S192" s="1">
        <f t="shared" si="13"/>
        <v>-1.2612137199708824</v>
      </c>
      <c r="T192" s="56">
        <f t="shared" si="14"/>
        <v>0.10881956055511161</v>
      </c>
    </row>
    <row r="193" spans="1:20" x14ac:dyDescent="0.25">
      <c r="A193">
        <v>0.22285743869719543</v>
      </c>
      <c r="B193">
        <v>-0.82940914580831304</v>
      </c>
      <c r="D193">
        <v>0.19576344797038048</v>
      </c>
      <c r="E193">
        <v>-1.3187359434141399</v>
      </c>
      <c r="J193">
        <v>20</v>
      </c>
      <c r="K193">
        <v>4.6797936192888301E-2</v>
      </c>
      <c r="L193">
        <v>14.287671587365354</v>
      </c>
      <c r="M193">
        <v>10</v>
      </c>
      <c r="N193">
        <v>0.84648536017084552</v>
      </c>
      <c r="O193">
        <v>62.566672783277234</v>
      </c>
      <c r="P193" s="1">
        <f t="shared" si="10"/>
        <v>2.7447980132372356</v>
      </c>
      <c r="Q193" s="1">
        <f t="shared" si="11"/>
        <v>0.41171970198558533</v>
      </c>
      <c r="R193" s="1">
        <f t="shared" si="12"/>
        <v>0.64165388020769054</v>
      </c>
      <c r="S193" s="1">
        <f t="shared" si="13"/>
        <v>-1.2462909500665911</v>
      </c>
      <c r="T193" s="56">
        <f t="shared" si="14"/>
        <v>0.11149212988071791</v>
      </c>
    </row>
    <row r="194" spans="1:20" x14ac:dyDescent="0.25">
      <c r="A194">
        <v>0.22373957420942603</v>
      </c>
      <c r="B194">
        <v>-1.1476663530629594</v>
      </c>
      <c r="D194">
        <v>0.19582510078029558</v>
      </c>
      <c r="E194">
        <v>0.94132542130864749</v>
      </c>
      <c r="J194">
        <v>20</v>
      </c>
      <c r="K194">
        <v>4.9034895255317679E-2</v>
      </c>
      <c r="L194">
        <v>13.867485902137474</v>
      </c>
      <c r="M194">
        <v>10</v>
      </c>
      <c r="N194">
        <v>0.74921558393725718</v>
      </c>
      <c r="O194">
        <v>45.237931203416089</v>
      </c>
      <c r="P194" s="1">
        <f t="shared" ref="P194:P257" si="15">(L194+O194)/(J194+M194-2)</f>
        <v>2.1109077537697702</v>
      </c>
      <c r="Q194" s="1">
        <f t="shared" ref="Q194:Q257" si="16">P194*0.15</f>
        <v>0.31663616306546555</v>
      </c>
      <c r="R194" s="1">
        <f t="shared" ref="R194:R257" si="17">SQRT(Q194)</f>
        <v>0.56270433005750498</v>
      </c>
      <c r="S194" s="1">
        <f t="shared" ref="S194:S257" si="18">(K194-N194)/R194</f>
        <v>-1.244313667553234</v>
      </c>
      <c r="T194" s="56">
        <f t="shared" ref="T194:T257" si="19">_xlfn.T.DIST(S194,28,TRUE)</f>
        <v>0.11184993305370472</v>
      </c>
    </row>
    <row r="195" spans="1:20" x14ac:dyDescent="0.25">
      <c r="A195">
        <v>0.22429389626908247</v>
      </c>
      <c r="B195">
        <v>-1.7252887118957005</v>
      </c>
      <c r="D195">
        <v>0.19615034357163574</v>
      </c>
      <c r="E195">
        <v>-3.5865803090473491</v>
      </c>
      <c r="J195">
        <v>20</v>
      </c>
      <c r="K195">
        <v>2.0812251477764221E-2</v>
      </c>
      <c r="L195">
        <v>9.0678366920072619</v>
      </c>
      <c r="M195">
        <v>10</v>
      </c>
      <c r="N195">
        <v>0.71595638587496069</v>
      </c>
      <c r="O195">
        <v>49.2248916603357</v>
      </c>
      <c r="P195" s="1">
        <f t="shared" si="15"/>
        <v>2.0818831554408201</v>
      </c>
      <c r="Q195" s="1">
        <f t="shared" si="16"/>
        <v>0.31228247331612302</v>
      </c>
      <c r="R195" s="1">
        <f t="shared" si="17"/>
        <v>0.55882239872442752</v>
      </c>
      <c r="S195" s="1">
        <f t="shared" si="18"/>
        <v>-1.2439446521541335</v>
      </c>
      <c r="T195" s="56">
        <f t="shared" si="19"/>
        <v>0.11191680474284942</v>
      </c>
    </row>
    <row r="196" spans="1:20" x14ac:dyDescent="0.25">
      <c r="A196">
        <v>0.22452014430828571</v>
      </c>
      <c r="B196">
        <v>-0.76046944741392508</v>
      </c>
      <c r="D196">
        <v>0.19651840127010123</v>
      </c>
      <c r="E196">
        <v>2.8132565114447061</v>
      </c>
      <c r="J196">
        <v>20</v>
      </c>
      <c r="K196">
        <v>4.1693908769957488E-2</v>
      </c>
      <c r="L196">
        <v>19.622746428406078</v>
      </c>
      <c r="M196">
        <v>10</v>
      </c>
      <c r="N196">
        <v>1.4586408917693916</v>
      </c>
      <c r="O196">
        <v>224.98631862690576</v>
      </c>
      <c r="P196" s="1">
        <f t="shared" si="15"/>
        <v>8.736038037689708</v>
      </c>
      <c r="Q196" s="1">
        <f t="shared" si="16"/>
        <v>1.3104057056534562</v>
      </c>
      <c r="R196" s="1">
        <f t="shared" si="17"/>
        <v>1.144729533843456</v>
      </c>
      <c r="S196" s="1">
        <f t="shared" si="18"/>
        <v>-1.2378006691606895</v>
      </c>
      <c r="T196" s="56">
        <f t="shared" si="19"/>
        <v>0.11303462794107452</v>
      </c>
    </row>
    <row r="197" spans="1:20" x14ac:dyDescent="0.25">
      <c r="A197">
        <v>0.2262423320116369</v>
      </c>
      <c r="B197">
        <v>-1.2183522812847514</v>
      </c>
      <c r="D197">
        <v>0.19666514759023734</v>
      </c>
      <c r="E197">
        <v>-2.8250399316220864</v>
      </c>
      <c r="J197">
        <v>20</v>
      </c>
      <c r="K197">
        <v>-0.19969024833699223</v>
      </c>
      <c r="L197">
        <v>11.574701653855859</v>
      </c>
      <c r="M197">
        <v>10</v>
      </c>
      <c r="N197">
        <v>0.73272769554932893</v>
      </c>
      <c r="O197">
        <v>94.743306262230135</v>
      </c>
      <c r="P197" s="1">
        <f t="shared" si="15"/>
        <v>3.7970717112887855</v>
      </c>
      <c r="Q197" s="1">
        <f t="shared" si="16"/>
        <v>0.56956075669331785</v>
      </c>
      <c r="R197" s="1">
        <f t="shared" si="17"/>
        <v>0.75469249147803097</v>
      </c>
      <c r="S197" s="1">
        <f t="shared" si="18"/>
        <v>-1.2354938659323653</v>
      </c>
      <c r="T197" s="56">
        <f t="shared" si="19"/>
        <v>0.11345648504954209</v>
      </c>
    </row>
    <row r="198" spans="1:20" x14ac:dyDescent="0.25">
      <c r="A198">
        <v>0.22671793020532982</v>
      </c>
      <c r="B198">
        <v>-0.89087279775412753</v>
      </c>
      <c r="D198">
        <v>0.19719875150325294</v>
      </c>
      <c r="E198">
        <v>3.3004819181314815</v>
      </c>
      <c r="J198">
        <v>20</v>
      </c>
      <c r="K198">
        <v>0.12065015653206501</v>
      </c>
      <c r="L198">
        <v>24.505215423414455</v>
      </c>
      <c r="M198">
        <v>10</v>
      </c>
      <c r="N198">
        <v>0.9709751759601204</v>
      </c>
      <c r="O198">
        <v>64.531332370686002</v>
      </c>
      <c r="P198" s="1">
        <f t="shared" si="15"/>
        <v>3.1798767069321592</v>
      </c>
      <c r="Q198" s="1">
        <f t="shared" si="16"/>
        <v>0.47698150603982387</v>
      </c>
      <c r="R198" s="1">
        <f t="shared" si="17"/>
        <v>0.69063847709190362</v>
      </c>
      <c r="S198" s="1">
        <f t="shared" si="18"/>
        <v>-1.2312158207700064</v>
      </c>
      <c r="T198" s="56">
        <f t="shared" si="19"/>
        <v>0.11424196447618051</v>
      </c>
    </row>
    <row r="199" spans="1:20" x14ac:dyDescent="0.25">
      <c r="A199">
        <v>0.22694668223300385</v>
      </c>
      <c r="B199">
        <v>0.67889004640164785</v>
      </c>
      <c r="D199">
        <v>0.19779519799003031</v>
      </c>
      <c r="E199">
        <v>-1.0407477509488672</v>
      </c>
      <c r="J199">
        <v>20</v>
      </c>
      <c r="K199">
        <v>-0.35860693969880231</v>
      </c>
      <c r="L199">
        <v>12.365966195895695</v>
      </c>
      <c r="M199">
        <v>10</v>
      </c>
      <c r="N199">
        <v>0.33249079592678754</v>
      </c>
      <c r="O199">
        <v>47.051560950356063</v>
      </c>
      <c r="P199" s="1">
        <f t="shared" si="15"/>
        <v>2.1220545409375626</v>
      </c>
      <c r="Q199" s="1">
        <f t="shared" si="16"/>
        <v>0.31830818114063436</v>
      </c>
      <c r="R199" s="1">
        <f t="shared" si="17"/>
        <v>0.56418807249057856</v>
      </c>
      <c r="S199" s="1">
        <f t="shared" si="18"/>
        <v>-1.224942123598564</v>
      </c>
      <c r="T199" s="56">
        <f t="shared" si="19"/>
        <v>0.11540123278026355</v>
      </c>
    </row>
    <row r="200" spans="1:20" x14ac:dyDescent="0.25">
      <c r="A200">
        <v>0.22724908052379589</v>
      </c>
      <c r="B200">
        <v>-0.68072040448896587</v>
      </c>
      <c r="D200">
        <v>0.19827437385436242</v>
      </c>
      <c r="E200">
        <v>0.17676324773674423</v>
      </c>
      <c r="J200">
        <v>20</v>
      </c>
      <c r="K200">
        <v>3.0264686756709125E-2</v>
      </c>
      <c r="L200">
        <v>16.667117167658571</v>
      </c>
      <c r="M200">
        <v>10</v>
      </c>
      <c r="N200">
        <v>0.96898201832118502</v>
      </c>
      <c r="O200">
        <v>93.34450331288761</v>
      </c>
      <c r="P200" s="1">
        <f t="shared" si="15"/>
        <v>3.9289864457337922</v>
      </c>
      <c r="Q200" s="1">
        <f t="shared" si="16"/>
        <v>0.58934796686006885</v>
      </c>
      <c r="R200" s="1">
        <f t="shared" si="17"/>
        <v>0.76769002003417297</v>
      </c>
      <c r="S200" s="1">
        <f t="shared" si="18"/>
        <v>-1.2227817309943534</v>
      </c>
      <c r="T200" s="56">
        <f t="shared" si="19"/>
        <v>0.11580246863997301</v>
      </c>
    </row>
    <row r="201" spans="1:20" x14ac:dyDescent="0.25">
      <c r="A201">
        <v>0.22853838119115299</v>
      </c>
      <c r="B201">
        <v>0.18997297956957482</v>
      </c>
      <c r="D201">
        <v>0.20004056266008763</v>
      </c>
      <c r="E201">
        <v>1.1544814208264143</v>
      </c>
      <c r="J201">
        <v>20</v>
      </c>
      <c r="K201">
        <v>0.19574844145608949</v>
      </c>
      <c r="L201">
        <v>15.338716633684319</v>
      </c>
      <c r="M201">
        <v>10</v>
      </c>
      <c r="N201">
        <v>0.9621720630548225</v>
      </c>
      <c r="O201">
        <v>58.393725538308587</v>
      </c>
      <c r="P201" s="1">
        <f t="shared" si="15"/>
        <v>2.6333015061426037</v>
      </c>
      <c r="Q201" s="1">
        <f t="shared" si="16"/>
        <v>0.39499522592139052</v>
      </c>
      <c r="R201" s="1">
        <f t="shared" si="17"/>
        <v>0.62848645643433765</v>
      </c>
      <c r="S201" s="1">
        <f t="shared" si="18"/>
        <v>-1.21947515933274</v>
      </c>
      <c r="T201" s="56">
        <f t="shared" si="19"/>
        <v>0.11641859813178121</v>
      </c>
    </row>
    <row r="202" spans="1:20" x14ac:dyDescent="0.25">
      <c r="A202">
        <v>0.22857829878587477</v>
      </c>
      <c r="B202">
        <v>-5.8525984059087932E-3</v>
      </c>
      <c r="D202">
        <v>0.20123581329598872</v>
      </c>
      <c r="E202">
        <v>2.1380249074809399</v>
      </c>
      <c r="J202">
        <v>20</v>
      </c>
      <c r="K202">
        <v>0.16532419522263808</v>
      </c>
      <c r="L202">
        <v>10.636969960912896</v>
      </c>
      <c r="M202">
        <v>10</v>
      </c>
      <c r="N202">
        <v>0.75932188906335796</v>
      </c>
      <c r="O202">
        <v>33.693177756940969</v>
      </c>
      <c r="P202" s="1">
        <f t="shared" si="15"/>
        <v>1.5832195613519235</v>
      </c>
      <c r="Q202" s="1">
        <f t="shared" si="16"/>
        <v>0.23748293420278851</v>
      </c>
      <c r="R202" s="1">
        <f t="shared" si="17"/>
        <v>0.48732220778740271</v>
      </c>
      <c r="S202" s="1">
        <f t="shared" si="18"/>
        <v>-1.2189013436052047</v>
      </c>
      <c r="T202" s="56">
        <f t="shared" si="19"/>
        <v>0.11652576918063966</v>
      </c>
    </row>
    <row r="203" spans="1:20" x14ac:dyDescent="0.25">
      <c r="A203">
        <v>0.22900239181792548</v>
      </c>
      <c r="B203">
        <v>-1.1194515536772087</v>
      </c>
      <c r="D203">
        <v>0.20173087966160386</v>
      </c>
      <c r="E203">
        <v>-0.95282917186523264</v>
      </c>
      <c r="J203">
        <v>20</v>
      </c>
      <c r="K203">
        <v>0.13076902405373403</v>
      </c>
      <c r="L203">
        <v>11.038212332538665</v>
      </c>
      <c r="M203">
        <v>10</v>
      </c>
      <c r="N203">
        <v>0.71186945774570631</v>
      </c>
      <c r="O203">
        <v>31.582665253498899</v>
      </c>
      <c r="P203" s="1">
        <f t="shared" si="15"/>
        <v>1.5221741995013416</v>
      </c>
      <c r="Q203" s="1">
        <f t="shared" si="16"/>
        <v>0.22832612992520124</v>
      </c>
      <c r="R203" s="1">
        <f t="shared" si="17"/>
        <v>0.47783483540361649</v>
      </c>
      <c r="S203" s="1">
        <f t="shared" si="18"/>
        <v>-1.2161114900740329</v>
      </c>
      <c r="T203" s="56">
        <f t="shared" si="19"/>
        <v>0.11704787891030746</v>
      </c>
    </row>
    <row r="204" spans="1:20" x14ac:dyDescent="0.25">
      <c r="A204">
        <v>0.22935603337026111</v>
      </c>
      <c r="B204">
        <v>1.0384064808022231</v>
      </c>
      <c r="D204">
        <v>0.20213279371979109</v>
      </c>
      <c r="E204">
        <v>-5.036442192931645</v>
      </c>
      <c r="J204">
        <v>20</v>
      </c>
      <c r="K204">
        <v>0.41942354300772422</v>
      </c>
      <c r="L204">
        <v>11.037155762262159</v>
      </c>
      <c r="M204">
        <v>10</v>
      </c>
      <c r="N204">
        <v>1.3704412788229092</v>
      </c>
      <c r="O204">
        <v>104.84617379635712</v>
      </c>
      <c r="P204" s="1">
        <f t="shared" si="15"/>
        <v>4.1386903413792604</v>
      </c>
      <c r="Q204" s="1">
        <f t="shared" si="16"/>
        <v>0.62080355120688901</v>
      </c>
      <c r="R204" s="1">
        <f t="shared" si="17"/>
        <v>0.78791087770565083</v>
      </c>
      <c r="S204" s="1">
        <f t="shared" si="18"/>
        <v>-1.2070118115192057</v>
      </c>
      <c r="T204" s="56">
        <f t="shared" si="19"/>
        <v>0.11876299008011014</v>
      </c>
    </row>
    <row r="205" spans="1:20" x14ac:dyDescent="0.25">
      <c r="A205">
        <v>0.22983453507825524</v>
      </c>
      <c r="B205">
        <v>-1.0520102478039917</v>
      </c>
      <c r="D205">
        <v>0.20323272468792175</v>
      </c>
      <c r="E205">
        <v>1.5830239556180459</v>
      </c>
      <c r="J205">
        <v>20</v>
      </c>
      <c r="K205">
        <v>1.81332779902732E-2</v>
      </c>
      <c r="L205">
        <v>20.896409186215919</v>
      </c>
      <c r="M205">
        <v>10</v>
      </c>
      <c r="N205">
        <v>0.97989186201630218</v>
      </c>
      <c r="O205">
        <v>97.674654200314976</v>
      </c>
      <c r="P205" s="1">
        <f t="shared" si="15"/>
        <v>4.2346808352332461</v>
      </c>
      <c r="Q205" s="1">
        <f t="shared" si="16"/>
        <v>0.63520212528498687</v>
      </c>
      <c r="R205" s="1">
        <f t="shared" si="17"/>
        <v>0.79699568711818436</v>
      </c>
      <c r="S205" s="1">
        <f t="shared" si="18"/>
        <v>-1.2067299730361181</v>
      </c>
      <c r="T205" s="56">
        <f t="shared" si="19"/>
        <v>0.11881640842760194</v>
      </c>
    </row>
    <row r="206" spans="1:20" x14ac:dyDescent="0.25">
      <c r="A206">
        <v>0.23411322234533394</v>
      </c>
      <c r="B206">
        <v>-0.6704374300170457</v>
      </c>
      <c r="D206">
        <v>0.204359174152829</v>
      </c>
      <c r="E206">
        <v>2.1554872057549801</v>
      </c>
      <c r="J206">
        <v>20</v>
      </c>
      <c r="K206">
        <v>-0.35401302511672839</v>
      </c>
      <c r="L206">
        <v>20.0263272257342</v>
      </c>
      <c r="M206">
        <v>10</v>
      </c>
      <c r="N206">
        <v>0.58259592719878128</v>
      </c>
      <c r="O206">
        <v>93.229476754058439</v>
      </c>
      <c r="P206" s="1">
        <f t="shared" si="15"/>
        <v>4.0448501421354512</v>
      </c>
      <c r="Q206" s="1">
        <f t="shared" si="16"/>
        <v>0.60672752132031771</v>
      </c>
      <c r="R206" s="1">
        <f t="shared" si="17"/>
        <v>0.7789271604715795</v>
      </c>
      <c r="S206" s="1">
        <f t="shared" si="18"/>
        <v>-1.2024345790541777</v>
      </c>
      <c r="T206" s="56">
        <f t="shared" si="19"/>
        <v>0.11963275257175511</v>
      </c>
    </row>
    <row r="207" spans="1:20" x14ac:dyDescent="0.25">
      <c r="A207">
        <v>0.23420616099096836</v>
      </c>
      <c r="B207">
        <v>-0.94448751042364165</v>
      </c>
      <c r="D207">
        <v>0.20473480891723661</v>
      </c>
      <c r="E207">
        <v>0.80540598560219223</v>
      </c>
      <c r="J207">
        <v>20</v>
      </c>
      <c r="K207">
        <v>-8.9761556409939658E-2</v>
      </c>
      <c r="L207">
        <v>14.125635578481603</v>
      </c>
      <c r="M207">
        <v>10</v>
      </c>
      <c r="N207">
        <v>0.80846973219195206</v>
      </c>
      <c r="O207">
        <v>90.130813528733668</v>
      </c>
      <c r="P207" s="1">
        <f t="shared" si="15"/>
        <v>3.7234446109719741</v>
      </c>
      <c r="Q207" s="1">
        <f t="shared" si="16"/>
        <v>0.55851669164579609</v>
      </c>
      <c r="R207" s="1">
        <f t="shared" si="17"/>
        <v>0.74733974311941698</v>
      </c>
      <c r="S207" s="1">
        <f t="shared" si="18"/>
        <v>-1.2019048857921688</v>
      </c>
      <c r="T207" s="56">
        <f t="shared" si="19"/>
        <v>0.11973370951934645</v>
      </c>
    </row>
    <row r="208" spans="1:20" x14ac:dyDescent="0.25">
      <c r="A208">
        <v>0.23485491350513277</v>
      </c>
      <c r="B208">
        <v>0.16688773030182347</v>
      </c>
      <c r="D208">
        <v>0.20556199835973099</v>
      </c>
      <c r="E208">
        <v>-0.9850116418874677</v>
      </c>
      <c r="J208">
        <v>20</v>
      </c>
      <c r="K208">
        <v>0.57644865592010319</v>
      </c>
      <c r="L208">
        <v>21.347093331533191</v>
      </c>
      <c r="M208">
        <v>10</v>
      </c>
      <c r="N208">
        <v>1.5487565826788341</v>
      </c>
      <c r="O208">
        <v>101.38213050909307</v>
      </c>
      <c r="P208" s="1">
        <f t="shared" si="15"/>
        <v>4.3831865657366524</v>
      </c>
      <c r="Q208" s="1">
        <f t="shared" si="16"/>
        <v>0.6574779848604978</v>
      </c>
      <c r="R208" s="1">
        <f t="shared" si="17"/>
        <v>0.81085016178113811</v>
      </c>
      <c r="S208" s="1">
        <f t="shared" si="18"/>
        <v>-1.1991215795319443</v>
      </c>
      <c r="T208" s="56">
        <f t="shared" si="19"/>
        <v>0.12026523498126546</v>
      </c>
    </row>
    <row r="209" spans="1:20" x14ac:dyDescent="0.25">
      <c r="A209">
        <v>0.23523785055758983</v>
      </c>
      <c r="B209">
        <v>-1.4752686183783226</v>
      </c>
      <c r="D209">
        <v>0.20654056770603457</v>
      </c>
      <c r="E209">
        <v>2.2535352820796106</v>
      </c>
      <c r="J209">
        <v>20</v>
      </c>
      <c r="K209">
        <v>0.16167047078852192</v>
      </c>
      <c r="L209">
        <v>8.3749902545588668</v>
      </c>
      <c r="M209">
        <v>10</v>
      </c>
      <c r="N209">
        <v>0.72898148687272624</v>
      </c>
      <c r="O209">
        <v>34.13387496387184</v>
      </c>
      <c r="P209" s="1">
        <f t="shared" si="15"/>
        <v>1.5181737578010968</v>
      </c>
      <c r="Q209" s="1">
        <f t="shared" si="16"/>
        <v>0.22772606367016451</v>
      </c>
      <c r="R209" s="1">
        <f t="shared" si="17"/>
        <v>0.47720652098453614</v>
      </c>
      <c r="S209" s="1">
        <f t="shared" si="18"/>
        <v>-1.1888165629291307</v>
      </c>
      <c r="T209" s="56">
        <f t="shared" si="19"/>
        <v>0.12224842907202382</v>
      </c>
    </row>
    <row r="210" spans="1:20" x14ac:dyDescent="0.25">
      <c r="A210">
        <v>0.23607138694053653</v>
      </c>
      <c r="B210">
        <v>1.6237254385487176</v>
      </c>
      <c r="D210">
        <v>0.20893667349857936</v>
      </c>
      <c r="E210">
        <v>-4.6916845838040899</v>
      </c>
      <c r="J210">
        <v>20</v>
      </c>
      <c r="K210">
        <v>9.3521009603136918E-2</v>
      </c>
      <c r="L210">
        <v>12.288220204812283</v>
      </c>
      <c r="M210">
        <v>10</v>
      </c>
      <c r="N210">
        <v>0.8888116519756295</v>
      </c>
      <c r="O210">
        <v>71.393930826733865</v>
      </c>
      <c r="P210" s="1">
        <f t="shared" si="15"/>
        <v>2.9886482511266479</v>
      </c>
      <c r="Q210" s="1">
        <f t="shared" si="16"/>
        <v>0.44829723766899715</v>
      </c>
      <c r="R210" s="1">
        <f t="shared" si="17"/>
        <v>0.66955002626315918</v>
      </c>
      <c r="S210" s="1">
        <f t="shared" si="18"/>
        <v>-1.187798687442531</v>
      </c>
      <c r="T210" s="56">
        <f t="shared" si="19"/>
        <v>0.12244562467965941</v>
      </c>
    </row>
    <row r="211" spans="1:20" x14ac:dyDescent="0.25">
      <c r="A211">
        <v>0.23736090510254215</v>
      </c>
      <c r="B211">
        <v>2.6297493604943156</v>
      </c>
      <c r="D211">
        <v>0.20957764900930442</v>
      </c>
      <c r="E211">
        <v>7.6190856327684742</v>
      </c>
      <c r="J211">
        <v>20</v>
      </c>
      <c r="K211">
        <v>-0.28268419782762066</v>
      </c>
      <c r="L211">
        <v>17.313517814244268</v>
      </c>
      <c r="M211">
        <v>10</v>
      </c>
      <c r="N211">
        <v>0.60192041587470158</v>
      </c>
      <c r="O211">
        <v>93.07873698144158</v>
      </c>
      <c r="P211" s="1">
        <f t="shared" si="15"/>
        <v>3.9425805284173516</v>
      </c>
      <c r="Q211" s="1">
        <f t="shared" si="16"/>
        <v>0.5913870792626027</v>
      </c>
      <c r="R211" s="1">
        <f t="shared" si="17"/>
        <v>0.76901695642072987</v>
      </c>
      <c r="S211" s="1">
        <f t="shared" si="18"/>
        <v>-1.1503057329445336</v>
      </c>
      <c r="T211" s="56">
        <f t="shared" si="19"/>
        <v>0.12987392581627821</v>
      </c>
    </row>
    <row r="212" spans="1:20" x14ac:dyDescent="0.25">
      <c r="A212">
        <v>0.23832405705945026</v>
      </c>
      <c r="B212">
        <v>7.8299535744008608E-2</v>
      </c>
      <c r="D212">
        <v>0.21162699025671694</v>
      </c>
      <c r="E212">
        <v>-0.78390189969468338</v>
      </c>
      <c r="J212">
        <v>20</v>
      </c>
      <c r="K212">
        <v>3.2234765967587009E-3</v>
      </c>
      <c r="L212">
        <v>14.706091644171185</v>
      </c>
      <c r="M212">
        <v>10</v>
      </c>
      <c r="N212">
        <v>0.97302563176526746</v>
      </c>
      <c r="O212">
        <v>120.93178781211051</v>
      </c>
      <c r="P212" s="1">
        <f t="shared" si="15"/>
        <v>4.8442099805814891</v>
      </c>
      <c r="Q212" s="1">
        <f t="shared" si="16"/>
        <v>0.7266314970872233</v>
      </c>
      <c r="R212" s="1">
        <f t="shared" si="17"/>
        <v>0.85242682799594205</v>
      </c>
      <c r="S212" s="1">
        <f t="shared" si="18"/>
        <v>-1.1376954869528408</v>
      </c>
      <c r="T212" s="56">
        <f t="shared" si="19"/>
        <v>0.13244486188031535</v>
      </c>
    </row>
    <row r="213" spans="1:20" x14ac:dyDescent="0.25">
      <c r="A213">
        <v>0.23871466395066476</v>
      </c>
      <c r="B213">
        <v>-1.2997975318285171</v>
      </c>
      <c r="D213">
        <v>0.21186757795169719</v>
      </c>
      <c r="E213">
        <v>-2.2556018882369244</v>
      </c>
      <c r="J213">
        <v>20</v>
      </c>
      <c r="K213">
        <v>-0.33352074524373165</v>
      </c>
      <c r="L213">
        <v>23.931990471719281</v>
      </c>
      <c r="M213">
        <v>10</v>
      </c>
      <c r="N213">
        <v>0.43634338112497062</v>
      </c>
      <c r="O213">
        <v>62.769318810528517</v>
      </c>
      <c r="P213" s="1">
        <f t="shared" si="15"/>
        <v>3.0964753315088496</v>
      </c>
      <c r="Q213" s="1">
        <f t="shared" si="16"/>
        <v>0.46447129972632739</v>
      </c>
      <c r="R213" s="1">
        <f t="shared" si="17"/>
        <v>0.68152131274548367</v>
      </c>
      <c r="S213" s="1">
        <f t="shared" si="18"/>
        <v>-1.1296259001311828</v>
      </c>
      <c r="T213" s="56">
        <f t="shared" si="19"/>
        <v>0.1341093492483153</v>
      </c>
    </row>
    <row r="214" spans="1:20" x14ac:dyDescent="0.25">
      <c r="A214">
        <v>0.2390465009410494</v>
      </c>
      <c r="B214">
        <v>1.879006958915852</v>
      </c>
      <c r="D214">
        <v>0.21218475502723189</v>
      </c>
      <c r="E214">
        <v>-2.5624915485877864</v>
      </c>
      <c r="J214">
        <v>20</v>
      </c>
      <c r="K214">
        <v>0.12117232017772039</v>
      </c>
      <c r="L214">
        <v>12.760724382914203</v>
      </c>
      <c r="M214">
        <v>10</v>
      </c>
      <c r="N214">
        <v>1.1154664855439478</v>
      </c>
      <c r="O214">
        <v>132.02916387598876</v>
      </c>
      <c r="P214" s="1">
        <f t="shared" si="15"/>
        <v>5.1710674378179622</v>
      </c>
      <c r="Q214" s="1">
        <f t="shared" si="16"/>
        <v>0.77566011567269433</v>
      </c>
      <c r="R214" s="1">
        <f t="shared" si="17"/>
        <v>0.88071568378943632</v>
      </c>
      <c r="S214" s="1">
        <f t="shared" si="18"/>
        <v>-1.1289615748502393</v>
      </c>
      <c r="T214" s="56">
        <f t="shared" si="19"/>
        <v>0.13424704956078046</v>
      </c>
    </row>
    <row r="215" spans="1:20" x14ac:dyDescent="0.25">
      <c r="A215">
        <v>0.23937093899622242</v>
      </c>
      <c r="B215">
        <v>-0.82746851148840506</v>
      </c>
      <c r="D215">
        <v>0.21251320655962602</v>
      </c>
      <c r="E215">
        <v>4.3654150658767321E-2</v>
      </c>
      <c r="J215">
        <v>20</v>
      </c>
      <c r="K215">
        <v>-4.3587931486399611E-2</v>
      </c>
      <c r="L215">
        <v>14.406146431431843</v>
      </c>
      <c r="M215">
        <v>10</v>
      </c>
      <c r="N215">
        <v>0.61862760617259482</v>
      </c>
      <c r="O215">
        <v>49.909142604412772</v>
      </c>
      <c r="P215" s="1">
        <f t="shared" si="15"/>
        <v>2.2969746084230218</v>
      </c>
      <c r="Q215" s="1">
        <f t="shared" si="16"/>
        <v>0.34454619126345326</v>
      </c>
      <c r="R215" s="1">
        <f t="shared" si="17"/>
        <v>0.58698057145313864</v>
      </c>
      <c r="S215" s="1">
        <f t="shared" si="18"/>
        <v>-1.1281728388719969</v>
      </c>
      <c r="T215" s="56">
        <f t="shared" si="19"/>
        <v>0.13441067041972246</v>
      </c>
    </row>
    <row r="216" spans="1:20" x14ac:dyDescent="0.25">
      <c r="A216">
        <v>0.23945819339068852</v>
      </c>
      <c r="B216">
        <v>-2.0317747839726508</v>
      </c>
      <c r="D216">
        <v>0.21346303606061967</v>
      </c>
      <c r="E216">
        <v>0.8965271229044447</v>
      </c>
      <c r="J216">
        <v>20</v>
      </c>
      <c r="K216">
        <v>-5.2820325890934328E-2</v>
      </c>
      <c r="L216">
        <v>18.92780984990209</v>
      </c>
      <c r="M216">
        <v>10</v>
      </c>
      <c r="N216">
        <v>1.0681856076644181</v>
      </c>
      <c r="O216">
        <v>169.2616336945857</v>
      </c>
      <c r="P216" s="1">
        <f t="shared" si="15"/>
        <v>6.7210515551602787</v>
      </c>
      <c r="Q216" s="1">
        <f t="shared" si="16"/>
        <v>1.0081577332740417</v>
      </c>
      <c r="R216" s="1">
        <f t="shared" si="17"/>
        <v>1.0040705818188489</v>
      </c>
      <c r="S216" s="1">
        <f t="shared" si="18"/>
        <v>-1.1164612865409103</v>
      </c>
      <c r="T216" s="56">
        <f t="shared" si="19"/>
        <v>0.13685719380453612</v>
      </c>
    </row>
    <row r="217" spans="1:20" x14ac:dyDescent="0.25">
      <c r="A217">
        <v>0.24010553750748143</v>
      </c>
      <c r="B217">
        <v>1.2380314728943631</v>
      </c>
      <c r="D217">
        <v>0.21401770418342747</v>
      </c>
      <c r="E217">
        <v>0.97172073424189875</v>
      </c>
      <c r="J217">
        <v>20</v>
      </c>
      <c r="K217">
        <v>-8.7674038695695344E-2</v>
      </c>
      <c r="L217">
        <v>24.253999324235501</v>
      </c>
      <c r="M217">
        <v>10</v>
      </c>
      <c r="N217">
        <v>0.82681946992124722</v>
      </c>
      <c r="O217">
        <v>101.38040267230619</v>
      </c>
      <c r="P217" s="1">
        <f t="shared" si="15"/>
        <v>4.4869429284479176</v>
      </c>
      <c r="Q217" s="1">
        <f t="shared" si="16"/>
        <v>0.67304143926718762</v>
      </c>
      <c r="R217" s="1">
        <f t="shared" si="17"/>
        <v>0.82039102827077992</v>
      </c>
      <c r="S217" s="1">
        <f t="shared" si="18"/>
        <v>-1.1147044239921928</v>
      </c>
      <c r="T217" s="56">
        <f t="shared" si="19"/>
        <v>0.13722695063274193</v>
      </c>
    </row>
    <row r="218" spans="1:20" x14ac:dyDescent="0.25">
      <c r="A218">
        <v>0.24298886427109523</v>
      </c>
      <c r="B218">
        <v>0.77836602940806188</v>
      </c>
      <c r="D218">
        <v>0.21474893906507997</v>
      </c>
      <c r="E218">
        <v>1.7249801624075189</v>
      </c>
      <c r="J218">
        <v>20</v>
      </c>
      <c r="K218">
        <v>-0.28004342311760411</v>
      </c>
      <c r="L218">
        <v>12.514566601791376</v>
      </c>
      <c r="M218">
        <v>10</v>
      </c>
      <c r="N218">
        <v>0.30691773758917407</v>
      </c>
      <c r="O218">
        <v>39.475729911202144</v>
      </c>
      <c r="P218" s="1">
        <f t="shared" si="15"/>
        <v>1.8567963040354829</v>
      </c>
      <c r="Q218" s="1">
        <f t="shared" si="16"/>
        <v>0.27851944560532244</v>
      </c>
      <c r="R218" s="1">
        <f t="shared" si="17"/>
        <v>0.52774941554237886</v>
      </c>
      <c r="S218" s="1">
        <f t="shared" si="18"/>
        <v>-1.1121967043839285</v>
      </c>
      <c r="T218" s="56">
        <f t="shared" si="19"/>
        <v>0.13775598142919762</v>
      </c>
    </row>
    <row r="219" spans="1:20" x14ac:dyDescent="0.25">
      <c r="A219">
        <v>0.2445862838779671</v>
      </c>
      <c r="B219">
        <v>0.74644731284934096</v>
      </c>
      <c r="D219">
        <v>0.21562663151429173</v>
      </c>
      <c r="E219">
        <v>0.33395803825442272</v>
      </c>
      <c r="J219">
        <v>20</v>
      </c>
      <c r="K219">
        <v>-0.25350283294756082</v>
      </c>
      <c r="L219">
        <v>19.22607419834393</v>
      </c>
      <c r="M219">
        <v>10</v>
      </c>
      <c r="N219">
        <v>0.49550578410162416</v>
      </c>
      <c r="O219">
        <v>66.375936410297697</v>
      </c>
      <c r="P219" s="1">
        <f t="shared" si="15"/>
        <v>3.0572146645943437</v>
      </c>
      <c r="Q219" s="1">
        <f t="shared" si="16"/>
        <v>0.45858219968915154</v>
      </c>
      <c r="R219" s="1">
        <f t="shared" si="17"/>
        <v>0.67718697542787365</v>
      </c>
      <c r="S219" s="1">
        <f t="shared" si="18"/>
        <v>-1.1060588053630707</v>
      </c>
      <c r="T219" s="56">
        <f t="shared" si="19"/>
        <v>0.13905702375003906</v>
      </c>
    </row>
    <row r="220" spans="1:20" x14ac:dyDescent="0.25">
      <c r="A220">
        <v>0.24471621534054244</v>
      </c>
      <c r="B220">
        <v>-5.0854396249633282E-2</v>
      </c>
      <c r="D220">
        <v>0.21601138139232345</v>
      </c>
      <c r="E220">
        <v>4.745719021457262</v>
      </c>
      <c r="J220">
        <v>20</v>
      </c>
      <c r="K220">
        <v>-0.26705987465902581</v>
      </c>
      <c r="L220">
        <v>28.446425184407843</v>
      </c>
      <c r="M220">
        <v>10</v>
      </c>
      <c r="N220">
        <v>0.64661844248803391</v>
      </c>
      <c r="O220">
        <v>100.58119352986216</v>
      </c>
      <c r="P220" s="1">
        <f t="shared" si="15"/>
        <v>4.6081292397953577</v>
      </c>
      <c r="Q220" s="1">
        <f t="shared" si="16"/>
        <v>0.69121938596930366</v>
      </c>
      <c r="R220" s="1">
        <f t="shared" si="17"/>
        <v>0.83139604639985132</v>
      </c>
      <c r="S220" s="1">
        <f t="shared" si="18"/>
        <v>-1.0989688020571071</v>
      </c>
      <c r="T220" s="56">
        <f t="shared" si="19"/>
        <v>0.14057083008222826</v>
      </c>
    </row>
    <row r="221" spans="1:20" x14ac:dyDescent="0.25">
      <c r="A221">
        <v>0.24478149990789499</v>
      </c>
      <c r="B221">
        <v>1.0473650036146864</v>
      </c>
      <c r="D221">
        <v>0.21616348320385981</v>
      </c>
      <c r="E221">
        <v>-6.1270172898275632</v>
      </c>
      <c r="J221">
        <v>20</v>
      </c>
      <c r="K221">
        <v>0.3468479690127424</v>
      </c>
      <c r="L221">
        <v>19.973980388728133</v>
      </c>
      <c r="M221">
        <v>10</v>
      </c>
      <c r="N221">
        <v>1.2832965660436457</v>
      </c>
      <c r="O221">
        <v>116.94028177260009</v>
      </c>
      <c r="P221" s="1">
        <f t="shared" si="15"/>
        <v>4.8897950771902936</v>
      </c>
      <c r="Q221" s="1">
        <f t="shared" si="16"/>
        <v>0.73346926157854397</v>
      </c>
      <c r="R221" s="1">
        <f t="shared" si="17"/>
        <v>0.85642819989684127</v>
      </c>
      <c r="S221" s="1">
        <f t="shared" si="18"/>
        <v>-1.0934350330170126</v>
      </c>
      <c r="T221" s="56">
        <f t="shared" si="19"/>
        <v>0.14176052842363013</v>
      </c>
    </row>
    <row r="222" spans="1:20" x14ac:dyDescent="0.25">
      <c r="A222">
        <v>0.24639392458043663</v>
      </c>
      <c r="B222">
        <v>0.73437149694655091</v>
      </c>
      <c r="D222">
        <v>0.21715108545920969</v>
      </c>
      <c r="E222">
        <v>-1.2902369269340852</v>
      </c>
      <c r="J222">
        <v>20</v>
      </c>
      <c r="K222">
        <v>-7.6501748935697833E-2</v>
      </c>
      <c r="L222">
        <v>16.404260294342922</v>
      </c>
      <c r="M222">
        <v>10</v>
      </c>
      <c r="N222">
        <v>0.7003187613463524</v>
      </c>
      <c r="O222">
        <v>77.891999746352269</v>
      </c>
      <c r="P222" s="1">
        <f t="shared" si="15"/>
        <v>3.367723572881971</v>
      </c>
      <c r="Q222" s="1">
        <f t="shared" si="16"/>
        <v>0.50515853593229565</v>
      </c>
      <c r="R222" s="1">
        <f t="shared" si="17"/>
        <v>0.71074505691724343</v>
      </c>
      <c r="S222" s="1">
        <f t="shared" si="18"/>
        <v>-1.0929664620551844</v>
      </c>
      <c r="T222" s="56">
        <f t="shared" si="19"/>
        <v>0.14186159514515762</v>
      </c>
    </row>
    <row r="223" spans="1:20" x14ac:dyDescent="0.25">
      <c r="A223">
        <v>0.24713327441167077</v>
      </c>
      <c r="B223">
        <v>-0.36189703678246588</v>
      </c>
      <c r="D223">
        <v>0.21717458366801901</v>
      </c>
      <c r="E223">
        <v>5.6528854167936515</v>
      </c>
      <c r="J223">
        <v>20</v>
      </c>
      <c r="K223">
        <v>0.1361742079097894</v>
      </c>
      <c r="L223">
        <v>14.211944459884995</v>
      </c>
      <c r="M223">
        <v>10</v>
      </c>
      <c r="N223">
        <v>0.72841839596549107</v>
      </c>
      <c r="O223">
        <v>40.687600838495676</v>
      </c>
      <c r="P223" s="1">
        <f t="shared" si="15"/>
        <v>1.9606980463707384</v>
      </c>
      <c r="Q223" s="1">
        <f t="shared" si="16"/>
        <v>0.29410470695561075</v>
      </c>
      <c r="R223" s="1">
        <f t="shared" si="17"/>
        <v>0.54231421422973114</v>
      </c>
      <c r="S223" s="1">
        <f t="shared" si="18"/>
        <v>-1.0920683480459532</v>
      </c>
      <c r="T223" s="56">
        <f t="shared" si="19"/>
        <v>0.14205545436083483</v>
      </c>
    </row>
    <row r="224" spans="1:20" x14ac:dyDescent="0.25">
      <c r="A224">
        <v>0.24727365676966828</v>
      </c>
      <c r="B224">
        <v>1.3652152119902894</v>
      </c>
      <c r="D224">
        <v>0.21853456338084909</v>
      </c>
      <c r="E224">
        <v>1.5159237102579937</v>
      </c>
      <c r="J224">
        <v>20</v>
      </c>
      <c r="K224">
        <v>0.19607819012890104</v>
      </c>
      <c r="L224">
        <v>12.917139765840648</v>
      </c>
      <c r="M224">
        <v>10</v>
      </c>
      <c r="N224">
        <v>0.91435196850397915</v>
      </c>
      <c r="O224">
        <v>69.894417468480754</v>
      </c>
      <c r="P224" s="1">
        <f t="shared" si="15"/>
        <v>2.9575556155114784</v>
      </c>
      <c r="Q224" s="1">
        <f t="shared" si="16"/>
        <v>0.44363334232672175</v>
      </c>
      <c r="R224" s="1">
        <f t="shared" si="17"/>
        <v>0.66605806227889908</v>
      </c>
      <c r="S224" s="1">
        <f t="shared" si="18"/>
        <v>-1.0783951415849911</v>
      </c>
      <c r="T224" s="56">
        <f t="shared" si="19"/>
        <v>0.14503019843574666</v>
      </c>
    </row>
    <row r="225" spans="1:20" x14ac:dyDescent="0.25">
      <c r="A225">
        <v>0.2488385950548978</v>
      </c>
      <c r="B225">
        <v>-0.18016862668446265</v>
      </c>
      <c r="D225">
        <v>0.21914488901869111</v>
      </c>
      <c r="E225">
        <v>0.12637496752176958</v>
      </c>
      <c r="J225">
        <v>20</v>
      </c>
      <c r="K225">
        <v>3.0288049401860917E-2</v>
      </c>
      <c r="L225">
        <v>17.027146375661307</v>
      </c>
      <c r="M225">
        <v>10</v>
      </c>
      <c r="N225">
        <v>1.0632872965743445</v>
      </c>
      <c r="O225">
        <v>154.51475442399189</v>
      </c>
      <c r="P225" s="1">
        <f t="shared" si="15"/>
        <v>6.1264964571304716</v>
      </c>
      <c r="Q225" s="1">
        <f t="shared" si="16"/>
        <v>0.91897446856957066</v>
      </c>
      <c r="R225" s="1">
        <f t="shared" si="17"/>
        <v>0.95863156038676856</v>
      </c>
      <c r="S225" s="1">
        <f t="shared" si="18"/>
        <v>-1.0775769230419565</v>
      </c>
      <c r="T225" s="56">
        <f t="shared" si="19"/>
        <v>0.14520960216510725</v>
      </c>
    </row>
    <row r="226" spans="1:20" x14ac:dyDescent="0.25">
      <c r="A226">
        <v>0.2497230824222989</v>
      </c>
      <c r="B226">
        <v>-1.3159910849935841</v>
      </c>
      <c r="D226">
        <v>0.21988668460501248</v>
      </c>
      <c r="E226">
        <v>4.4025166482697387</v>
      </c>
      <c r="J226">
        <v>20</v>
      </c>
      <c r="K226">
        <v>-8.0719360084913205E-3</v>
      </c>
      <c r="L226">
        <v>12.822676955663391</v>
      </c>
      <c r="M226">
        <v>10</v>
      </c>
      <c r="N226">
        <v>0.62744265619585349</v>
      </c>
      <c r="O226">
        <v>52.21995354306172</v>
      </c>
      <c r="P226" s="1">
        <f t="shared" si="15"/>
        <v>2.3229510892401826</v>
      </c>
      <c r="Q226" s="1">
        <f t="shared" si="16"/>
        <v>0.34844266338602736</v>
      </c>
      <c r="R226" s="1">
        <f t="shared" si="17"/>
        <v>0.59029032127083647</v>
      </c>
      <c r="S226" s="1">
        <f t="shared" si="18"/>
        <v>-1.0766136074129506</v>
      </c>
      <c r="T226" s="56">
        <f t="shared" si="19"/>
        <v>0.14542102179394545</v>
      </c>
    </row>
    <row r="227" spans="1:20" x14ac:dyDescent="0.25">
      <c r="A227">
        <v>0.25041313933638143</v>
      </c>
      <c r="B227">
        <v>1.3139924703864381</v>
      </c>
      <c r="D227">
        <v>0.22013401858677528</v>
      </c>
      <c r="E227">
        <v>2.7144853868321661</v>
      </c>
      <c r="J227">
        <v>20</v>
      </c>
      <c r="K227">
        <v>-8.0785525824467186E-2</v>
      </c>
      <c r="L227">
        <v>13.014478382333222</v>
      </c>
      <c r="M227">
        <v>10</v>
      </c>
      <c r="N227">
        <v>0.45211265501166054</v>
      </c>
      <c r="O227">
        <v>32.901442189280715</v>
      </c>
      <c r="P227" s="1">
        <f t="shared" si="15"/>
        <v>1.6398543061290691</v>
      </c>
      <c r="Q227" s="1">
        <f t="shared" si="16"/>
        <v>0.24597814591936035</v>
      </c>
      <c r="R227" s="1">
        <f t="shared" si="17"/>
        <v>0.49596183917652409</v>
      </c>
      <c r="S227" s="1">
        <f t="shared" si="18"/>
        <v>-1.0744741605945556</v>
      </c>
      <c r="T227" s="56">
        <f t="shared" si="19"/>
        <v>0.14589134829059688</v>
      </c>
    </row>
    <row r="228" spans="1:20" x14ac:dyDescent="0.25">
      <c r="A228">
        <v>0.25109929085795735</v>
      </c>
      <c r="B228">
        <v>0.69886937126284465</v>
      </c>
      <c r="D228">
        <v>0.22117936242528335</v>
      </c>
      <c r="E228">
        <v>-1.2303501114274695</v>
      </c>
      <c r="J228">
        <v>20</v>
      </c>
      <c r="K228">
        <v>4.6312322865560418E-2</v>
      </c>
      <c r="L228">
        <v>14.680732999697417</v>
      </c>
      <c r="M228">
        <v>10</v>
      </c>
      <c r="N228">
        <v>1.01636691965723</v>
      </c>
      <c r="O228">
        <v>138.01661031412536</v>
      </c>
      <c r="P228" s="1">
        <f t="shared" si="15"/>
        <v>5.4534765469222419</v>
      </c>
      <c r="Q228" s="1">
        <f t="shared" si="16"/>
        <v>0.81802148203833625</v>
      </c>
      <c r="R228" s="1">
        <f t="shared" si="17"/>
        <v>0.90444540025273845</v>
      </c>
      <c r="S228" s="1">
        <f t="shared" si="18"/>
        <v>-1.0725408040337177</v>
      </c>
      <c r="T228" s="56">
        <f t="shared" si="19"/>
        <v>0.14631729490673165</v>
      </c>
    </row>
    <row r="229" spans="1:20" x14ac:dyDescent="0.25">
      <c r="A229">
        <v>0.25266988905627219</v>
      </c>
      <c r="B229">
        <v>1.2345799405011348</v>
      </c>
      <c r="D229">
        <v>0.22154260480211241</v>
      </c>
      <c r="E229">
        <v>-0.42356464632575808</v>
      </c>
      <c r="J229">
        <v>20</v>
      </c>
      <c r="K229">
        <v>-5.6718363339314237E-3</v>
      </c>
      <c r="L229">
        <v>23.196921894356841</v>
      </c>
      <c r="M229">
        <v>10</v>
      </c>
      <c r="N229">
        <v>0.63887432247611287</v>
      </c>
      <c r="O229">
        <v>44.451780841218017</v>
      </c>
      <c r="P229" s="1">
        <f t="shared" si="15"/>
        <v>2.416025097699102</v>
      </c>
      <c r="Q229" s="1">
        <f t="shared" si="16"/>
        <v>0.36240376465486529</v>
      </c>
      <c r="R229" s="1">
        <f t="shared" si="17"/>
        <v>0.60199980453058732</v>
      </c>
      <c r="S229" s="1">
        <f t="shared" si="18"/>
        <v>-1.0706750300569163</v>
      </c>
      <c r="T229" s="56">
        <f t="shared" si="19"/>
        <v>0.14672918610350533</v>
      </c>
    </row>
    <row r="230" spans="1:20" x14ac:dyDescent="0.25">
      <c r="A230">
        <v>0.2532914803720393</v>
      </c>
      <c r="B230">
        <v>0.53611984185408801</v>
      </c>
      <c r="D230">
        <v>0.22245639059664368</v>
      </c>
      <c r="E230">
        <v>1.2007326370166993</v>
      </c>
      <c r="J230">
        <v>20</v>
      </c>
      <c r="K230">
        <v>0.41604806710893172</v>
      </c>
      <c r="L230">
        <v>10.484561805058728</v>
      </c>
      <c r="M230">
        <v>10</v>
      </c>
      <c r="N230">
        <v>1.1216335417429946</v>
      </c>
      <c r="O230">
        <v>70.691633688330967</v>
      </c>
      <c r="P230" s="1">
        <f t="shared" si="15"/>
        <v>2.899149839049632</v>
      </c>
      <c r="Q230" s="1">
        <f t="shared" si="16"/>
        <v>0.43487247585744476</v>
      </c>
      <c r="R230" s="1">
        <f t="shared" si="17"/>
        <v>0.65944861502428287</v>
      </c>
      <c r="S230" s="1">
        <f t="shared" si="18"/>
        <v>-1.0699627818735824</v>
      </c>
      <c r="T230" s="56">
        <f t="shared" si="19"/>
        <v>0.14688663924513956</v>
      </c>
    </row>
    <row r="231" spans="1:20" x14ac:dyDescent="0.25">
      <c r="A231">
        <v>0.25504833904684332</v>
      </c>
      <c r="B231">
        <v>-0.92600657808361575</v>
      </c>
      <c r="D231">
        <v>0.223493813901955</v>
      </c>
      <c r="E231">
        <v>-1.1172987831287173</v>
      </c>
      <c r="J231">
        <v>20</v>
      </c>
      <c r="K231">
        <v>-2.7911937650060281E-2</v>
      </c>
      <c r="L231">
        <v>17.677133771606023</v>
      </c>
      <c r="M231">
        <v>10</v>
      </c>
      <c r="N231">
        <v>0.7765365774048405</v>
      </c>
      <c r="O231">
        <v>88.591973430529734</v>
      </c>
      <c r="P231" s="1">
        <f t="shared" si="15"/>
        <v>3.7953252572191341</v>
      </c>
      <c r="Q231" s="1">
        <f t="shared" si="16"/>
        <v>0.56929878858287009</v>
      </c>
      <c r="R231" s="1">
        <f t="shared" si="17"/>
        <v>0.7545189120114022</v>
      </c>
      <c r="S231" s="1">
        <f t="shared" si="18"/>
        <v>-1.0661740908659212</v>
      </c>
      <c r="T231" s="56">
        <f t="shared" si="19"/>
        <v>0.14772619410677157</v>
      </c>
    </row>
    <row r="232" spans="1:20" x14ac:dyDescent="0.25">
      <c r="A232">
        <v>0.25557442147889176</v>
      </c>
      <c r="B232">
        <v>1.0736766853369772</v>
      </c>
      <c r="D232">
        <v>0.2247085900050686</v>
      </c>
      <c r="E232">
        <v>2.6395884981411655</v>
      </c>
      <c r="J232">
        <v>20</v>
      </c>
      <c r="K232">
        <v>-9.3947676305106143E-2</v>
      </c>
      <c r="L232">
        <v>21.61828287657006</v>
      </c>
      <c r="M232">
        <v>10</v>
      </c>
      <c r="N232">
        <v>0.64022935589491681</v>
      </c>
      <c r="O232">
        <v>67.56297575185441</v>
      </c>
      <c r="P232" s="1">
        <f t="shared" si="15"/>
        <v>3.1850449510151599</v>
      </c>
      <c r="Q232" s="1">
        <f t="shared" si="16"/>
        <v>0.47775674265227397</v>
      </c>
      <c r="R232" s="1">
        <f t="shared" si="17"/>
        <v>0.69119949555267612</v>
      </c>
      <c r="S232" s="1">
        <f t="shared" si="18"/>
        <v>-1.0621781944632098</v>
      </c>
      <c r="T232" s="56">
        <f t="shared" si="19"/>
        <v>0.14861532938531791</v>
      </c>
    </row>
    <row r="233" spans="1:20" x14ac:dyDescent="0.25">
      <c r="A233">
        <v>0.25589002072953415</v>
      </c>
      <c r="B233">
        <v>-2.980073077196721E-2</v>
      </c>
      <c r="D233">
        <v>0.22586111193520475</v>
      </c>
      <c r="E233">
        <v>-1.3453734482027357E-3</v>
      </c>
      <c r="J233">
        <v>20</v>
      </c>
      <c r="K233">
        <v>0.27659058332574205</v>
      </c>
      <c r="L233">
        <v>25.391866113129684</v>
      </c>
      <c r="M233">
        <v>10</v>
      </c>
      <c r="N233">
        <v>1.0463795626947103</v>
      </c>
      <c r="O233">
        <v>73.349304073658274</v>
      </c>
      <c r="P233" s="1">
        <f t="shared" si="15"/>
        <v>3.5264703638138557</v>
      </c>
      <c r="Q233" s="1">
        <f t="shared" si="16"/>
        <v>0.52897055457207831</v>
      </c>
      <c r="R233" s="1">
        <f t="shared" si="17"/>
        <v>0.72730361924857645</v>
      </c>
      <c r="S233" s="1">
        <f t="shared" si="18"/>
        <v>-1.0584148889074498</v>
      </c>
      <c r="T233" s="56">
        <f t="shared" si="19"/>
        <v>0.14945615311384</v>
      </c>
    </row>
    <row r="234" spans="1:20" x14ac:dyDescent="0.25">
      <c r="A234">
        <v>0.25589468862237796</v>
      </c>
      <c r="B234">
        <v>0.75720436143456027</v>
      </c>
      <c r="D234">
        <v>0.22652952803746962</v>
      </c>
      <c r="E234">
        <v>-0.81014650618271844</v>
      </c>
      <c r="J234">
        <v>20</v>
      </c>
      <c r="K234">
        <v>0.20607950546036591</v>
      </c>
      <c r="L234">
        <v>15.729288977176939</v>
      </c>
      <c r="M234">
        <v>10</v>
      </c>
      <c r="N234">
        <v>1.2827430248307792</v>
      </c>
      <c r="O234">
        <v>179.64340557659239</v>
      </c>
      <c r="P234" s="1">
        <f t="shared" si="15"/>
        <v>6.9775962340631903</v>
      </c>
      <c r="Q234" s="1">
        <f t="shared" si="16"/>
        <v>1.0466394351094785</v>
      </c>
      <c r="R234" s="1">
        <f t="shared" si="17"/>
        <v>1.0230539746804557</v>
      </c>
      <c r="S234" s="1">
        <f t="shared" si="18"/>
        <v>-1.0524014822450616</v>
      </c>
      <c r="T234" s="56">
        <f t="shared" si="19"/>
        <v>0.15080664738636601</v>
      </c>
    </row>
    <row r="235" spans="1:20" x14ac:dyDescent="0.25">
      <c r="A235">
        <v>0.25899017941962643</v>
      </c>
      <c r="B235">
        <v>-1.1745351002900861</v>
      </c>
      <c r="D235">
        <v>0.22737694014712651</v>
      </c>
      <c r="E235">
        <v>0.46262652745099331</v>
      </c>
      <c r="J235">
        <v>20</v>
      </c>
      <c r="K235">
        <v>3.6027813621331006E-2</v>
      </c>
      <c r="L235">
        <v>32.191508198113667</v>
      </c>
      <c r="M235">
        <v>10</v>
      </c>
      <c r="N235">
        <v>0.75274794767210551</v>
      </c>
      <c r="O235">
        <v>54.764592350584493</v>
      </c>
      <c r="P235" s="1">
        <f t="shared" si="15"/>
        <v>3.1055750195963627</v>
      </c>
      <c r="Q235" s="1">
        <f t="shared" si="16"/>
        <v>0.46583625293945441</v>
      </c>
      <c r="R235" s="1">
        <f t="shared" si="17"/>
        <v>0.68252197982149587</v>
      </c>
      <c r="S235" s="1">
        <f t="shared" si="18"/>
        <v>-1.0501055720406582</v>
      </c>
      <c r="T235" s="56">
        <f t="shared" si="19"/>
        <v>0.15132451695166396</v>
      </c>
    </row>
    <row r="236" spans="1:20" x14ac:dyDescent="0.25">
      <c r="A236">
        <v>0.25951518784150485</v>
      </c>
      <c r="B236">
        <v>1.0611006473482121</v>
      </c>
      <c r="D236">
        <v>0.22786707501674952</v>
      </c>
      <c r="E236">
        <v>1.1298500305656489</v>
      </c>
      <c r="J236">
        <v>20</v>
      </c>
      <c r="K236">
        <v>0.13218487993071903</v>
      </c>
      <c r="L236">
        <v>22.161950463463548</v>
      </c>
      <c r="M236">
        <v>10</v>
      </c>
      <c r="N236">
        <v>1.1992282190931292</v>
      </c>
      <c r="O236">
        <v>171.15990618224319</v>
      </c>
      <c r="P236" s="1">
        <f t="shared" si="15"/>
        <v>6.9043520230609543</v>
      </c>
      <c r="Q236" s="1">
        <f t="shared" si="16"/>
        <v>1.035652803459143</v>
      </c>
      <c r="R236" s="1">
        <f t="shared" si="17"/>
        <v>1.0176702822914419</v>
      </c>
      <c r="S236" s="1">
        <f t="shared" si="18"/>
        <v>-1.0485157695278251</v>
      </c>
      <c r="T236" s="56">
        <f t="shared" si="19"/>
        <v>0.15168384549736494</v>
      </c>
    </row>
    <row r="237" spans="1:20" x14ac:dyDescent="0.25">
      <c r="A237">
        <v>0.262052506908526</v>
      </c>
      <c r="B237">
        <v>1.4437546269618906</v>
      </c>
      <c r="D237">
        <v>0.23026136787066587</v>
      </c>
      <c r="E237">
        <v>6.9809477702165168</v>
      </c>
      <c r="J237">
        <v>20</v>
      </c>
      <c r="K237">
        <v>-0.34257760717082419</v>
      </c>
      <c r="L237">
        <v>31.311201363058839</v>
      </c>
      <c r="M237">
        <v>10</v>
      </c>
      <c r="N237">
        <v>0.37911649656052759</v>
      </c>
      <c r="O237">
        <v>57.727165251991629</v>
      </c>
      <c r="P237" s="1">
        <f t="shared" si="15"/>
        <v>3.179941664823231</v>
      </c>
      <c r="Q237" s="1">
        <f t="shared" si="16"/>
        <v>0.47699124972348461</v>
      </c>
      <c r="R237" s="1">
        <f t="shared" si="17"/>
        <v>0.69064553116883676</v>
      </c>
      <c r="S237" s="1">
        <f t="shared" si="18"/>
        <v>-1.0449558726746107</v>
      </c>
      <c r="T237" s="56">
        <f t="shared" si="19"/>
        <v>0.15249062335262845</v>
      </c>
    </row>
    <row r="238" spans="1:20" x14ac:dyDescent="0.25">
      <c r="A238">
        <v>0.26356821653590401</v>
      </c>
      <c r="B238">
        <v>-0.78147650128812529</v>
      </c>
      <c r="D238">
        <v>0.23227358756491934</v>
      </c>
      <c r="E238">
        <v>1.8341945599331666</v>
      </c>
      <c r="J238">
        <v>20</v>
      </c>
      <c r="K238">
        <v>-0.15848416978769819</v>
      </c>
      <c r="L238">
        <v>11.230305753373223</v>
      </c>
      <c r="M238">
        <v>10</v>
      </c>
      <c r="N238">
        <v>0.67825078190253407</v>
      </c>
      <c r="O238">
        <v>111.56839794533184</v>
      </c>
      <c r="P238" s="1">
        <f t="shared" si="15"/>
        <v>4.3856679892394661</v>
      </c>
      <c r="Q238" s="1">
        <f t="shared" si="16"/>
        <v>0.65785019838591985</v>
      </c>
      <c r="R238" s="1">
        <f t="shared" si="17"/>
        <v>0.81107964984082781</v>
      </c>
      <c r="S238" s="1">
        <f t="shared" si="18"/>
        <v>-1.031631051098914</v>
      </c>
      <c r="T238" s="56">
        <f t="shared" si="19"/>
        <v>0.15553704022503789</v>
      </c>
    </row>
    <row r="239" spans="1:20" x14ac:dyDescent="0.25">
      <c r="A239">
        <v>0.2643933157701297</v>
      </c>
      <c r="B239">
        <v>0.81077814684249461</v>
      </c>
      <c r="D239">
        <v>0.23574695308117655</v>
      </c>
      <c r="E239">
        <v>-4.779637268939041</v>
      </c>
      <c r="J239">
        <v>20</v>
      </c>
      <c r="K239">
        <v>-2.5005306270031724E-2</v>
      </c>
      <c r="L239">
        <v>6.8663084852795278</v>
      </c>
      <c r="M239">
        <v>10</v>
      </c>
      <c r="N239">
        <v>0.76319360800880531</v>
      </c>
      <c r="O239">
        <v>102.86923232972045</v>
      </c>
      <c r="P239" s="1">
        <f t="shared" si="15"/>
        <v>3.9191264576785705</v>
      </c>
      <c r="Q239" s="1">
        <f t="shared" si="16"/>
        <v>0.58786896865178551</v>
      </c>
      <c r="R239" s="1">
        <f t="shared" si="17"/>
        <v>0.76672613666927092</v>
      </c>
      <c r="S239" s="1">
        <f t="shared" si="18"/>
        <v>-1.0280057983973858</v>
      </c>
      <c r="T239" s="56">
        <f t="shared" si="19"/>
        <v>0.15637314885418307</v>
      </c>
    </row>
    <row r="240" spans="1:20" x14ac:dyDescent="0.25">
      <c r="A240">
        <v>0.2653045855492181</v>
      </c>
      <c r="B240">
        <v>1.1325755622237921</v>
      </c>
      <c r="D240">
        <v>0.23803796302358504</v>
      </c>
      <c r="E240">
        <v>-0.4295741325677227</v>
      </c>
      <c r="J240">
        <v>20</v>
      </c>
      <c r="K240">
        <v>0.25244889911846258</v>
      </c>
      <c r="L240">
        <v>26.402675428687445</v>
      </c>
      <c r="M240">
        <v>10</v>
      </c>
      <c r="N240">
        <v>0.9558839303736022</v>
      </c>
      <c r="O240">
        <v>61.140087490874016</v>
      </c>
      <c r="P240" s="1">
        <f t="shared" si="15"/>
        <v>3.126527247127195</v>
      </c>
      <c r="Q240" s="1">
        <f t="shared" si="16"/>
        <v>0.4689790870690792</v>
      </c>
      <c r="R240" s="1">
        <f t="shared" si="17"/>
        <v>0.68482047798607715</v>
      </c>
      <c r="S240" s="1">
        <f t="shared" si="18"/>
        <v>-1.0271816539771186</v>
      </c>
      <c r="T240" s="56">
        <f t="shared" si="19"/>
        <v>0.15656365966757452</v>
      </c>
    </row>
    <row r="241" spans="1:20" x14ac:dyDescent="0.25">
      <c r="A241">
        <v>0.26656405335017985</v>
      </c>
      <c r="B241">
        <v>1.5806563169462606</v>
      </c>
      <c r="D241">
        <v>0.2380938295971462</v>
      </c>
      <c r="E241">
        <v>3.0682947419791162</v>
      </c>
      <c r="J241">
        <v>20</v>
      </c>
      <c r="K241">
        <v>-4.7970161176635884E-3</v>
      </c>
      <c r="L241">
        <v>14.728688585706148</v>
      </c>
      <c r="M241">
        <v>10</v>
      </c>
      <c r="N241">
        <v>0.81724078540901246</v>
      </c>
      <c r="O241">
        <v>108.35514304872271</v>
      </c>
      <c r="P241" s="1">
        <f t="shared" si="15"/>
        <v>4.3958511298010308</v>
      </c>
      <c r="Q241" s="1">
        <f t="shared" si="16"/>
        <v>0.65937766947015464</v>
      </c>
      <c r="R241" s="1">
        <f t="shared" si="17"/>
        <v>0.81202073216769199</v>
      </c>
      <c r="S241" s="1">
        <f t="shared" si="18"/>
        <v>-1.0123359773490554</v>
      </c>
      <c r="T241" s="56">
        <f t="shared" si="19"/>
        <v>0.1600230073689643</v>
      </c>
    </row>
    <row r="242" spans="1:20" x14ac:dyDescent="0.25">
      <c r="A242">
        <v>0.26765471139300534</v>
      </c>
      <c r="B242">
        <v>0.27702299121301621</v>
      </c>
      <c r="D242">
        <v>0.23853604242876236</v>
      </c>
      <c r="E242">
        <v>-4.1438595451381843</v>
      </c>
      <c r="J242">
        <v>20</v>
      </c>
      <c r="K242">
        <v>-0.20047298221470555</v>
      </c>
      <c r="L242">
        <v>16.640295858180632</v>
      </c>
      <c r="M242">
        <v>10</v>
      </c>
      <c r="N242">
        <v>0.63361005345541344</v>
      </c>
      <c r="O242">
        <v>110.57261800417403</v>
      </c>
      <c r="P242" s="1">
        <f t="shared" si="15"/>
        <v>4.5433183522269527</v>
      </c>
      <c r="Q242" s="1">
        <f t="shared" si="16"/>
        <v>0.6814977528340429</v>
      </c>
      <c r="R242" s="1">
        <f t="shared" si="17"/>
        <v>0.82552877165731964</v>
      </c>
      <c r="S242" s="1">
        <f t="shared" si="18"/>
        <v>-1.0103621633872626</v>
      </c>
      <c r="T242" s="56">
        <f t="shared" si="19"/>
        <v>0.16048688679376924</v>
      </c>
    </row>
    <row r="243" spans="1:20" x14ac:dyDescent="0.25">
      <c r="A243">
        <v>0.26945013063257983</v>
      </c>
      <c r="B243">
        <v>0.50319613364990801</v>
      </c>
      <c r="D243">
        <v>0.2391636591980344</v>
      </c>
      <c r="E243">
        <v>-1.7854943087058928</v>
      </c>
      <c r="J243">
        <v>20</v>
      </c>
      <c r="K243">
        <v>-6.0019544889655663E-2</v>
      </c>
      <c r="L243">
        <v>9.9646777505176711</v>
      </c>
      <c r="M243">
        <v>10</v>
      </c>
      <c r="N243">
        <v>0.51063079467894568</v>
      </c>
      <c r="O243">
        <v>49.582502627279297</v>
      </c>
      <c r="P243" s="1">
        <f t="shared" si="15"/>
        <v>2.1266850134927489</v>
      </c>
      <c r="Q243" s="1">
        <f t="shared" si="16"/>
        <v>0.31900275202391232</v>
      </c>
      <c r="R243" s="1">
        <f t="shared" si="17"/>
        <v>0.56480328613058928</v>
      </c>
      <c r="S243" s="1">
        <f t="shared" si="18"/>
        <v>-1.0103523714921521</v>
      </c>
      <c r="T243" s="56">
        <f t="shared" si="19"/>
        <v>0.1604891903600954</v>
      </c>
    </row>
    <row r="244" spans="1:20" x14ac:dyDescent="0.25">
      <c r="A244">
        <v>0.27143255752239315</v>
      </c>
      <c r="B244">
        <v>-1.0104804459842853</v>
      </c>
      <c r="D244">
        <v>0.24052273022747594</v>
      </c>
      <c r="E244">
        <v>-0.6799125492307212</v>
      </c>
      <c r="J244">
        <v>20</v>
      </c>
      <c r="K244">
        <v>-0.26218549464829266</v>
      </c>
      <c r="L244">
        <v>11.388554881948894</v>
      </c>
      <c r="M244">
        <v>10</v>
      </c>
      <c r="N244">
        <v>0.30149248800626083</v>
      </c>
      <c r="O244">
        <v>46.733598097625432</v>
      </c>
      <c r="P244" s="1">
        <f t="shared" si="15"/>
        <v>2.07579117784194</v>
      </c>
      <c r="Q244" s="1">
        <f t="shared" si="16"/>
        <v>0.31136867667629098</v>
      </c>
      <c r="R244" s="1">
        <f t="shared" si="17"/>
        <v>0.55800419055441774</v>
      </c>
      <c r="S244" s="1">
        <f t="shared" si="18"/>
        <v>-1.0101680098396724</v>
      </c>
      <c r="T244" s="56">
        <f t="shared" si="19"/>
        <v>0.16053256612287448</v>
      </c>
    </row>
    <row r="245" spans="1:20" x14ac:dyDescent="0.25">
      <c r="A245">
        <v>0.27163920167284583</v>
      </c>
      <c r="B245">
        <v>-1.2909458746435121</v>
      </c>
      <c r="D245">
        <v>0.24089638078582232</v>
      </c>
      <c r="E245">
        <v>0.31659805813433195</v>
      </c>
      <c r="J245">
        <v>20</v>
      </c>
      <c r="K245">
        <v>3.6518770230031805E-2</v>
      </c>
      <c r="L245">
        <v>19.952988389786636</v>
      </c>
      <c r="M245">
        <v>10</v>
      </c>
      <c r="N245">
        <v>0.86611134634040354</v>
      </c>
      <c r="O245">
        <v>106.85233108186821</v>
      </c>
      <c r="P245" s="1">
        <f t="shared" si="15"/>
        <v>4.5287614097019588</v>
      </c>
      <c r="Q245" s="1">
        <f t="shared" si="16"/>
        <v>0.6793142114552938</v>
      </c>
      <c r="R245" s="1">
        <f t="shared" si="17"/>
        <v>0.82420519984727947</v>
      </c>
      <c r="S245" s="1">
        <f t="shared" si="18"/>
        <v>-1.0065364502239134</v>
      </c>
      <c r="T245" s="56">
        <f t="shared" si="19"/>
        <v>0.16138862871633658</v>
      </c>
    </row>
    <row r="246" spans="1:20" x14ac:dyDescent="0.25">
      <c r="A246">
        <v>0.2721284782214507</v>
      </c>
      <c r="B246">
        <v>-0.37819972931174561</v>
      </c>
      <c r="D246">
        <v>0.24187430961525014</v>
      </c>
      <c r="E246">
        <v>-0.62936738117969071</v>
      </c>
      <c r="J246">
        <v>20</v>
      </c>
      <c r="K246">
        <v>-0.33312005598418182</v>
      </c>
      <c r="L246">
        <v>14.316901741330172</v>
      </c>
      <c r="M246">
        <v>10</v>
      </c>
      <c r="N246">
        <v>0.21824814325555053</v>
      </c>
      <c r="O246">
        <v>41.76016722181685</v>
      </c>
      <c r="P246" s="1">
        <f t="shared" si="15"/>
        <v>2.0027524629695366</v>
      </c>
      <c r="Q246" s="1">
        <f t="shared" si="16"/>
        <v>0.3004128694454305</v>
      </c>
      <c r="R246" s="1">
        <f t="shared" si="17"/>
        <v>0.54809932443438614</v>
      </c>
      <c r="S246" s="1">
        <f t="shared" si="18"/>
        <v>-1.005964019037461</v>
      </c>
      <c r="T246" s="56">
        <f t="shared" si="19"/>
        <v>0.16152385300157918</v>
      </c>
    </row>
    <row r="247" spans="1:20" x14ac:dyDescent="0.25">
      <c r="A247">
        <v>0.27273775705843117</v>
      </c>
      <c r="B247">
        <v>4.518824425758794E-2</v>
      </c>
      <c r="D247">
        <v>0.24191026806026183</v>
      </c>
      <c r="E247">
        <v>0.14247302374315041</v>
      </c>
      <c r="J247">
        <v>20</v>
      </c>
      <c r="K247">
        <v>-0.44601318904824439</v>
      </c>
      <c r="L247">
        <v>19.994429737262958</v>
      </c>
      <c r="M247">
        <v>10</v>
      </c>
      <c r="N247">
        <v>0.36692051367026579</v>
      </c>
      <c r="O247">
        <v>105.44408128029228</v>
      </c>
      <c r="P247" s="1">
        <f t="shared" si="15"/>
        <v>4.4799468220555445</v>
      </c>
      <c r="Q247" s="1">
        <f t="shared" si="16"/>
        <v>0.67199202330833163</v>
      </c>
      <c r="R247" s="1">
        <f t="shared" si="17"/>
        <v>0.81975119597859181</v>
      </c>
      <c r="S247" s="1">
        <f t="shared" si="18"/>
        <v>-0.99168346042857169</v>
      </c>
      <c r="T247" s="56">
        <f t="shared" si="19"/>
        <v>0.16492252888331949</v>
      </c>
    </row>
    <row r="248" spans="1:20" x14ac:dyDescent="0.25">
      <c r="A248">
        <v>0.27288637034190499</v>
      </c>
      <c r="B248">
        <v>-1.1201677807548549</v>
      </c>
      <c r="D248">
        <v>0.24252927752799458</v>
      </c>
      <c r="E248">
        <v>-2.3296972847219877</v>
      </c>
      <c r="J248">
        <v>20</v>
      </c>
      <c r="K248">
        <v>0.31314192483478109</v>
      </c>
      <c r="L248">
        <v>13.048326246452863</v>
      </c>
      <c r="M248">
        <v>10</v>
      </c>
      <c r="N248">
        <v>0.78404809414678311</v>
      </c>
      <c r="O248">
        <v>29.463839724057785</v>
      </c>
      <c r="P248" s="1">
        <f t="shared" si="15"/>
        <v>1.5182916418039518</v>
      </c>
      <c r="Q248" s="1">
        <f t="shared" si="16"/>
        <v>0.22774374627059277</v>
      </c>
      <c r="R248" s="1">
        <f t="shared" si="17"/>
        <v>0.4772250478239724</v>
      </c>
      <c r="S248" s="1">
        <f t="shared" si="18"/>
        <v>-0.98675912226153484</v>
      </c>
      <c r="T248" s="56">
        <f t="shared" si="19"/>
        <v>0.16610573188270156</v>
      </c>
    </row>
    <row r="249" spans="1:20" x14ac:dyDescent="0.25">
      <c r="A249">
        <v>0.27481673625421521</v>
      </c>
      <c r="B249">
        <v>-0.73017190516111441</v>
      </c>
      <c r="D249">
        <v>0.24339909905299317</v>
      </c>
      <c r="E249">
        <v>-0.28267595894249098</v>
      </c>
      <c r="J249">
        <v>20</v>
      </c>
      <c r="K249">
        <v>-2.1741811906395014E-2</v>
      </c>
      <c r="L249">
        <v>14.680188737250855</v>
      </c>
      <c r="M249">
        <v>10</v>
      </c>
      <c r="N249">
        <v>0.81459040416120843</v>
      </c>
      <c r="O249">
        <v>120.47078845268899</v>
      </c>
      <c r="P249" s="1">
        <f t="shared" si="15"/>
        <v>4.8268206139264231</v>
      </c>
      <c r="Q249" s="1">
        <f t="shared" si="16"/>
        <v>0.72402309208896343</v>
      </c>
      <c r="R249" s="1">
        <f t="shared" si="17"/>
        <v>0.85089546484216461</v>
      </c>
      <c r="S249" s="1">
        <f t="shared" si="18"/>
        <v>-0.98288479680960272</v>
      </c>
      <c r="T249" s="56">
        <f t="shared" si="19"/>
        <v>0.1670406960547629</v>
      </c>
    </row>
    <row r="250" spans="1:20" x14ac:dyDescent="0.25">
      <c r="A250">
        <v>0.27514013329762665</v>
      </c>
      <c r="B250">
        <v>-1.54909685079474E-2</v>
      </c>
      <c r="D250">
        <v>0.2435562975422576</v>
      </c>
      <c r="E250">
        <v>4.4129667423931096</v>
      </c>
      <c r="J250">
        <v>20</v>
      </c>
      <c r="K250">
        <v>0.42118870169360889</v>
      </c>
      <c r="L250">
        <v>14.651776406663481</v>
      </c>
      <c r="M250">
        <v>10</v>
      </c>
      <c r="N250">
        <v>1.1499821505367436</v>
      </c>
      <c r="O250">
        <v>90.140235252728246</v>
      </c>
      <c r="P250" s="1">
        <f t="shared" si="15"/>
        <v>3.7425718449782761</v>
      </c>
      <c r="Q250" s="1">
        <f t="shared" si="16"/>
        <v>0.56138577674674139</v>
      </c>
      <c r="R250" s="1">
        <f t="shared" si="17"/>
        <v>0.74925681628313623</v>
      </c>
      <c r="S250" s="1">
        <f t="shared" si="18"/>
        <v>-0.97268844674444888</v>
      </c>
      <c r="T250" s="56">
        <f t="shared" si="19"/>
        <v>0.16951837916069823</v>
      </c>
    </row>
    <row r="251" spans="1:20" x14ac:dyDescent="0.25">
      <c r="A251">
        <v>0.27524921064591956</v>
      </c>
      <c r="B251">
        <v>1.607922968105413</v>
      </c>
      <c r="D251">
        <v>0.24387260744197181</v>
      </c>
      <c r="E251">
        <v>0.51281017135806906</v>
      </c>
      <c r="J251">
        <v>20</v>
      </c>
      <c r="K251">
        <v>9.1377444277895847E-2</v>
      </c>
      <c r="L251">
        <v>12.338021985203834</v>
      </c>
      <c r="M251">
        <v>10</v>
      </c>
      <c r="N251">
        <v>0.92795721343463811</v>
      </c>
      <c r="O251">
        <v>126.11988691733981</v>
      </c>
      <c r="P251" s="1">
        <f t="shared" si="15"/>
        <v>4.9449253179479866</v>
      </c>
      <c r="Q251" s="1">
        <f t="shared" si="16"/>
        <v>0.74173879769219797</v>
      </c>
      <c r="R251" s="1">
        <f t="shared" si="17"/>
        <v>0.86124258933949493</v>
      </c>
      <c r="S251" s="1">
        <f t="shared" si="18"/>
        <v>-0.97136367791371403</v>
      </c>
      <c r="T251" s="56">
        <f t="shared" si="19"/>
        <v>0.1698421101351098</v>
      </c>
    </row>
    <row r="252" spans="1:20" x14ac:dyDescent="0.25">
      <c r="A252">
        <v>0.2760452969674636</v>
      </c>
      <c r="B252">
        <v>2.2039512259652838</v>
      </c>
      <c r="D252">
        <v>0.24445034195703541</v>
      </c>
      <c r="E252">
        <v>0.66084748709727137</v>
      </c>
      <c r="J252">
        <v>20</v>
      </c>
      <c r="K252">
        <v>-1.4389570424100384E-2</v>
      </c>
      <c r="L252">
        <v>12.040935193209044</v>
      </c>
      <c r="M252">
        <v>10</v>
      </c>
      <c r="N252">
        <v>0.66529764467304631</v>
      </c>
      <c r="O252">
        <v>79.368940682387858</v>
      </c>
      <c r="P252" s="1">
        <f t="shared" si="15"/>
        <v>3.2646384241284605</v>
      </c>
      <c r="Q252" s="1">
        <f t="shared" si="16"/>
        <v>0.48969576361926903</v>
      </c>
      <c r="R252" s="1">
        <f t="shared" si="17"/>
        <v>0.69978265455730537</v>
      </c>
      <c r="S252" s="1">
        <f t="shared" si="18"/>
        <v>-0.97128331299827453</v>
      </c>
      <c r="T252" s="56">
        <f t="shared" si="19"/>
        <v>0.16986176217762738</v>
      </c>
    </row>
    <row r="253" spans="1:20" x14ac:dyDescent="0.25">
      <c r="A253">
        <v>0.27643759676894397</v>
      </c>
      <c r="B253">
        <v>0.13902308637625538</v>
      </c>
      <c r="D253">
        <v>0.24553162846732812</v>
      </c>
      <c r="E253">
        <v>0.59908824937338068</v>
      </c>
      <c r="J253">
        <v>20</v>
      </c>
      <c r="K253">
        <v>-0.27513118538990966</v>
      </c>
      <c r="L253">
        <v>11.925950158492684</v>
      </c>
      <c r="M253">
        <v>10</v>
      </c>
      <c r="N253">
        <v>0.57921499433177814</v>
      </c>
      <c r="O253">
        <v>133.95525011292989</v>
      </c>
      <c r="P253" s="1">
        <f t="shared" si="15"/>
        <v>5.2100428668365213</v>
      </c>
      <c r="Q253" s="1">
        <f t="shared" si="16"/>
        <v>0.78150643002547815</v>
      </c>
      <c r="R253" s="1">
        <f t="shared" si="17"/>
        <v>0.88402852330989756</v>
      </c>
      <c r="S253" s="1">
        <f t="shared" si="18"/>
        <v>-0.9664237716255174</v>
      </c>
      <c r="T253" s="56">
        <f t="shared" si="19"/>
        <v>0.17105294715981251</v>
      </c>
    </row>
    <row r="254" spans="1:20" x14ac:dyDescent="0.25">
      <c r="A254">
        <v>0.27700327083544007</v>
      </c>
      <c r="B254">
        <v>0.55565351431141607</v>
      </c>
      <c r="D254">
        <v>0.24608473106760809</v>
      </c>
      <c r="E254">
        <v>-2.1345015318274818</v>
      </c>
      <c r="J254">
        <v>20</v>
      </c>
      <c r="K254">
        <v>-9.2768573267676402E-2</v>
      </c>
      <c r="L254">
        <v>17.559592443661902</v>
      </c>
      <c r="M254">
        <v>10</v>
      </c>
      <c r="N254">
        <v>0.62787171032141487</v>
      </c>
      <c r="O254">
        <v>88.029524227333511</v>
      </c>
      <c r="P254" s="1">
        <f t="shared" si="15"/>
        <v>3.771039881106979</v>
      </c>
      <c r="Q254" s="1">
        <f t="shared" si="16"/>
        <v>0.56565598216604684</v>
      </c>
      <c r="R254" s="1">
        <f t="shared" si="17"/>
        <v>0.752101045183456</v>
      </c>
      <c r="S254" s="1">
        <f t="shared" si="18"/>
        <v>-0.95816950156386149</v>
      </c>
      <c r="T254" s="56">
        <f t="shared" si="19"/>
        <v>0.17308913863970443</v>
      </c>
    </row>
    <row r="255" spans="1:20" x14ac:dyDescent="0.25">
      <c r="A255">
        <v>0.27835439628217884</v>
      </c>
      <c r="B255">
        <v>0.36091705624130554</v>
      </c>
      <c r="D255">
        <v>0.24723218060154362</v>
      </c>
      <c r="E255">
        <v>-0.36261031141293643</v>
      </c>
      <c r="J255">
        <v>20</v>
      </c>
      <c r="K255">
        <v>0.3299630293440714</v>
      </c>
      <c r="L255">
        <v>23.86127630463044</v>
      </c>
      <c r="M255">
        <v>10</v>
      </c>
      <c r="N255">
        <v>0.89671538830771169</v>
      </c>
      <c r="O255">
        <v>41.50217105543021</v>
      </c>
      <c r="P255" s="1">
        <f t="shared" si="15"/>
        <v>2.3344088342878804</v>
      </c>
      <c r="Q255" s="1">
        <f t="shared" si="16"/>
        <v>0.35016132514318205</v>
      </c>
      <c r="R255" s="1">
        <f t="shared" si="17"/>
        <v>0.59174430723343852</v>
      </c>
      <c r="S255" s="1">
        <f t="shared" si="18"/>
        <v>-0.95776562957294475</v>
      </c>
      <c r="T255" s="56">
        <f t="shared" si="19"/>
        <v>0.17318918325074534</v>
      </c>
    </row>
    <row r="256" spans="1:20" x14ac:dyDescent="0.25">
      <c r="A256">
        <v>0.28099683607274117</v>
      </c>
      <c r="B256">
        <v>-0.45251454139361158</v>
      </c>
      <c r="D256">
        <v>0.24820613745432063</v>
      </c>
      <c r="E256">
        <v>-3.972381140329162</v>
      </c>
      <c r="J256">
        <v>20</v>
      </c>
      <c r="K256">
        <v>2.673982635315042E-2</v>
      </c>
      <c r="L256">
        <v>31.25229412467019</v>
      </c>
      <c r="M256">
        <v>10</v>
      </c>
      <c r="N256">
        <v>0.55230702514563745</v>
      </c>
      <c r="O256">
        <v>24.965615493483416</v>
      </c>
      <c r="P256" s="1">
        <f t="shared" si="15"/>
        <v>2.0077824863626286</v>
      </c>
      <c r="Q256" s="1">
        <f t="shared" si="16"/>
        <v>0.30116737295439427</v>
      </c>
      <c r="R256" s="1">
        <f t="shared" si="17"/>
        <v>0.54878718366448231</v>
      </c>
      <c r="S256" s="1">
        <f t="shared" si="18"/>
        <v>-0.95768854382322544</v>
      </c>
      <c r="T256" s="56">
        <f t="shared" si="19"/>
        <v>0.17320828285581424</v>
      </c>
    </row>
    <row r="257" spans="1:20" x14ac:dyDescent="0.25">
      <c r="A257">
        <v>0.28155929824384474</v>
      </c>
      <c r="B257">
        <v>0.18701484805205837</v>
      </c>
      <c r="D257">
        <v>0.24924876074488611</v>
      </c>
      <c r="E257">
        <v>1.1062861597110896</v>
      </c>
      <c r="J257">
        <v>20</v>
      </c>
      <c r="K257">
        <v>-6.2882520523999119E-2</v>
      </c>
      <c r="L257">
        <v>19.123533789207087</v>
      </c>
      <c r="M257">
        <v>10</v>
      </c>
      <c r="N257">
        <v>0.90332275362925429</v>
      </c>
      <c r="O257">
        <v>176.97092429633122</v>
      </c>
      <c r="P257" s="1">
        <f t="shared" si="15"/>
        <v>7.0033735030549389</v>
      </c>
      <c r="Q257" s="1">
        <f t="shared" si="16"/>
        <v>1.0505060254582408</v>
      </c>
      <c r="R257" s="1">
        <f t="shared" si="17"/>
        <v>1.0249419619950395</v>
      </c>
      <c r="S257" s="1">
        <f t="shared" si="18"/>
        <v>-0.94269266941958774</v>
      </c>
      <c r="T257" s="56">
        <f t="shared" si="19"/>
        <v>0.17695071576254034</v>
      </c>
    </row>
    <row r="258" spans="1:20" x14ac:dyDescent="0.25">
      <c r="A258">
        <v>0.28270081066950781</v>
      </c>
      <c r="B258">
        <v>-0.96903022495098412</v>
      </c>
      <c r="D258">
        <v>0.2522281267242652</v>
      </c>
      <c r="E258">
        <v>0.17262277310692298</v>
      </c>
      <c r="J258">
        <v>20</v>
      </c>
      <c r="K258">
        <v>-9.2340371793397935E-2</v>
      </c>
      <c r="L258">
        <v>15.937590850593082</v>
      </c>
      <c r="M258">
        <v>10</v>
      </c>
      <c r="N258">
        <v>0.73406669912401412</v>
      </c>
      <c r="O258">
        <v>127.6711913057719</v>
      </c>
      <c r="P258" s="1">
        <f t="shared" ref="P258:P321" si="20">(L258+O258)/(J258+M258-2)</f>
        <v>5.1288850770130354</v>
      </c>
      <c r="Q258" s="1">
        <f t="shared" ref="Q258:Q321" si="21">P258*0.15</f>
        <v>0.76933276155195529</v>
      </c>
      <c r="R258" s="1">
        <f t="shared" ref="R258:R321" si="22">SQRT(Q258)</f>
        <v>0.87711616194889219</v>
      </c>
      <c r="S258" s="1">
        <f t="shared" ref="S258:S321" si="23">(K258-N258)/R258</f>
        <v>-0.94218657319139121</v>
      </c>
      <c r="T258" s="56">
        <f t="shared" ref="T258:T321" si="24">_xlfn.T.DIST(S258,28,TRUE)</f>
        <v>0.17707795248436475</v>
      </c>
    </row>
    <row r="259" spans="1:20" x14ac:dyDescent="0.25">
      <c r="A259">
        <v>0.28521320264821282</v>
      </c>
      <c r="B259">
        <v>1.4669149095425382</v>
      </c>
      <c r="D259">
        <v>0.25265758763741064</v>
      </c>
      <c r="E259">
        <v>-0.2093308955863904</v>
      </c>
      <c r="J259">
        <v>20</v>
      </c>
      <c r="K259">
        <v>0.18598200313135749</v>
      </c>
      <c r="L259">
        <v>16.468484030383816</v>
      </c>
      <c r="M259">
        <v>10</v>
      </c>
      <c r="N259">
        <v>0.90870127792186395</v>
      </c>
      <c r="O259">
        <v>95.097946361270033</v>
      </c>
      <c r="P259" s="1">
        <f t="shared" si="20"/>
        <v>3.9845153711304948</v>
      </c>
      <c r="Q259" s="1">
        <f t="shared" si="21"/>
        <v>0.59767730566957422</v>
      </c>
      <c r="R259" s="1">
        <f t="shared" si="22"/>
        <v>0.77309592268332017</v>
      </c>
      <c r="S259" s="1">
        <f t="shared" si="23"/>
        <v>-0.9348377783212688</v>
      </c>
      <c r="T259" s="56">
        <f t="shared" si="24"/>
        <v>0.17893236349088387</v>
      </c>
    </row>
    <row r="260" spans="1:20" x14ac:dyDescent="0.25">
      <c r="A260">
        <v>0.2853530265323404</v>
      </c>
      <c r="B260">
        <v>-0.55565351431141607</v>
      </c>
      <c r="D260">
        <v>0.25289027552919663</v>
      </c>
      <c r="E260">
        <v>2.0488614575242536</v>
      </c>
      <c r="J260">
        <v>20</v>
      </c>
      <c r="K260">
        <v>2.6356531179771991E-2</v>
      </c>
      <c r="L260">
        <v>19.826193238151426</v>
      </c>
      <c r="M260">
        <v>10</v>
      </c>
      <c r="N260">
        <v>1.307280282389911</v>
      </c>
      <c r="O260">
        <v>339.37405796860168</v>
      </c>
      <c r="P260" s="1">
        <f t="shared" si="20"/>
        <v>12.828580400241181</v>
      </c>
      <c r="Q260" s="1">
        <f t="shared" si="21"/>
        <v>1.924287060036177</v>
      </c>
      <c r="R260" s="1">
        <f t="shared" si="22"/>
        <v>1.3871867430292784</v>
      </c>
      <c r="S260" s="1">
        <f t="shared" si="23"/>
        <v>-0.9233967651773497</v>
      </c>
      <c r="T260" s="56">
        <f t="shared" si="24"/>
        <v>0.18184496608764938</v>
      </c>
    </row>
    <row r="261" spans="1:20" x14ac:dyDescent="0.25">
      <c r="A261">
        <v>0.28660210971963551</v>
      </c>
      <c r="B261">
        <v>-0.25538611225783825</v>
      </c>
      <c r="D261">
        <v>0.25423101497842515</v>
      </c>
      <c r="E261">
        <v>3.2228497241248988</v>
      </c>
      <c r="J261">
        <v>20</v>
      </c>
      <c r="K261">
        <v>1.0573728559393203E-2</v>
      </c>
      <c r="L261">
        <v>29.207696660470891</v>
      </c>
      <c r="M261">
        <v>10</v>
      </c>
      <c r="N261">
        <v>0.76406842822507315</v>
      </c>
      <c r="O261">
        <v>98.419031397567863</v>
      </c>
      <c r="P261" s="1">
        <f t="shared" si="20"/>
        <v>4.5580974306442412</v>
      </c>
      <c r="Q261" s="1">
        <f t="shared" si="21"/>
        <v>0.68371461459663618</v>
      </c>
      <c r="R261" s="1">
        <f t="shared" si="22"/>
        <v>0.82687037351487935</v>
      </c>
      <c r="S261" s="1">
        <f t="shared" si="23"/>
        <v>-0.91126097124838024</v>
      </c>
      <c r="T261" s="56">
        <f t="shared" si="24"/>
        <v>0.18496842365884886</v>
      </c>
    </row>
    <row r="262" spans="1:20" x14ac:dyDescent="0.25">
      <c r="A262">
        <v>0.28798110942776567</v>
      </c>
      <c r="B262">
        <v>-0.43352656575734727</v>
      </c>
      <c r="D262">
        <v>0.25494081231336563</v>
      </c>
      <c r="E262">
        <v>-1.956372447011745</v>
      </c>
      <c r="J262">
        <v>20</v>
      </c>
      <c r="K262">
        <v>-0.1348588511973503</v>
      </c>
      <c r="L262">
        <v>27.035309355366554</v>
      </c>
      <c r="M262">
        <v>10</v>
      </c>
      <c r="N262">
        <v>0.46466197659356112</v>
      </c>
      <c r="O262">
        <v>53.99952722777055</v>
      </c>
      <c r="P262" s="1">
        <f t="shared" si="20"/>
        <v>2.8941013065406112</v>
      </c>
      <c r="Q262" s="1">
        <f t="shared" si="21"/>
        <v>0.43411519598109166</v>
      </c>
      <c r="R262" s="1">
        <f t="shared" si="22"/>
        <v>0.65887418827959232</v>
      </c>
      <c r="S262" s="1">
        <f t="shared" si="23"/>
        <v>-0.90991700457463609</v>
      </c>
      <c r="T262" s="56">
        <f t="shared" si="24"/>
        <v>0.18531647770726101</v>
      </c>
    </row>
    <row r="263" spans="1:20" x14ac:dyDescent="0.25">
      <c r="A263">
        <v>0.28909235555889046</v>
      </c>
      <c r="B263">
        <v>3.4872209653258324</v>
      </c>
      <c r="D263">
        <v>0.25532615854582208</v>
      </c>
      <c r="E263">
        <v>0.81953612266261189</v>
      </c>
      <c r="J263">
        <v>20</v>
      </c>
      <c r="K263">
        <v>0.28258989459573058</v>
      </c>
      <c r="L263">
        <v>22.449258052299051</v>
      </c>
      <c r="M263">
        <v>10</v>
      </c>
      <c r="N263">
        <v>1.1110344041753706</v>
      </c>
      <c r="O263">
        <v>132.44237302783756</v>
      </c>
      <c r="P263" s="1">
        <f t="shared" si="20"/>
        <v>5.5318439671477364</v>
      </c>
      <c r="Q263" s="1">
        <f t="shared" si="21"/>
        <v>0.82977659507216039</v>
      </c>
      <c r="R263" s="1">
        <f t="shared" si="22"/>
        <v>0.91092074027994352</v>
      </c>
      <c r="S263" s="1">
        <f t="shared" si="23"/>
        <v>-0.90945838967838522</v>
      </c>
      <c r="T263" s="56">
        <f t="shared" si="24"/>
        <v>0.1854353456435075</v>
      </c>
    </row>
    <row r="264" spans="1:20" x14ac:dyDescent="0.25">
      <c r="A264">
        <v>0.29036211992615202</v>
      </c>
      <c r="B264">
        <v>1.3769658835371956</v>
      </c>
      <c r="D264">
        <v>0.25775155815228368</v>
      </c>
      <c r="E264">
        <v>2.3946797648477514</v>
      </c>
      <c r="J264">
        <v>20</v>
      </c>
      <c r="K264">
        <v>0.14139510540189804</v>
      </c>
      <c r="L264">
        <v>14.330036535778294</v>
      </c>
      <c r="M264">
        <v>10</v>
      </c>
      <c r="N264">
        <v>0.81071800309473474</v>
      </c>
      <c r="O264">
        <v>87.129961616151945</v>
      </c>
      <c r="P264" s="1">
        <f t="shared" si="20"/>
        <v>3.6235713625689372</v>
      </c>
      <c r="Q264" s="1">
        <f t="shared" si="21"/>
        <v>0.5435357043853406</v>
      </c>
      <c r="R264" s="1">
        <f t="shared" si="22"/>
        <v>0.73724873983299599</v>
      </c>
      <c r="S264" s="1">
        <f t="shared" si="23"/>
        <v>-0.90786577382886258</v>
      </c>
      <c r="T264" s="56">
        <f t="shared" si="24"/>
        <v>0.18584852155541931</v>
      </c>
    </row>
    <row r="265" spans="1:20" x14ac:dyDescent="0.25">
      <c r="A265">
        <v>0.29102314673431373</v>
      </c>
      <c r="B265">
        <v>1.3139924703864381</v>
      </c>
      <c r="D265">
        <v>0.2580143608845622</v>
      </c>
      <c r="E265">
        <v>-2.1263501855628419</v>
      </c>
      <c r="J265">
        <v>20</v>
      </c>
      <c r="K265">
        <v>-0.22486761963591562</v>
      </c>
      <c r="L265">
        <v>12.94723352516397</v>
      </c>
      <c r="M265">
        <v>10</v>
      </c>
      <c r="N265">
        <v>0.6211146194345929</v>
      </c>
      <c r="O265">
        <v>149.35112109522873</v>
      </c>
      <c r="P265" s="1">
        <f t="shared" si="20"/>
        <v>5.7963698078711676</v>
      </c>
      <c r="Q265" s="1">
        <f t="shared" si="21"/>
        <v>0.86945547118067512</v>
      </c>
      <c r="R265" s="1">
        <f t="shared" si="22"/>
        <v>0.93244596153379056</v>
      </c>
      <c r="S265" s="1">
        <f t="shared" si="23"/>
        <v>-0.9072721358339555</v>
      </c>
      <c r="T265" s="56">
        <f t="shared" si="24"/>
        <v>0.18600268428629541</v>
      </c>
    </row>
    <row r="266" spans="1:20" x14ac:dyDescent="0.25">
      <c r="A266">
        <v>0.29200294164377927</v>
      </c>
      <c r="B266">
        <v>-1.2713076102954801</v>
      </c>
      <c r="D266">
        <v>0.25873121019461842</v>
      </c>
      <c r="E266">
        <v>-2.5915021558375884</v>
      </c>
      <c r="J266">
        <v>20</v>
      </c>
      <c r="K266">
        <v>0.40835720938048325</v>
      </c>
      <c r="L266">
        <v>27.274220796749912</v>
      </c>
      <c r="M266">
        <v>10</v>
      </c>
      <c r="N266">
        <v>1.2467000908600312</v>
      </c>
      <c r="O266">
        <v>133.93714281000391</v>
      </c>
      <c r="P266" s="1">
        <f t="shared" si="20"/>
        <v>5.757548700241208</v>
      </c>
      <c r="Q266" s="1">
        <f t="shared" si="21"/>
        <v>0.86363230503618116</v>
      </c>
      <c r="R266" s="1">
        <f t="shared" si="22"/>
        <v>0.92931819364315749</v>
      </c>
      <c r="S266" s="1">
        <f t="shared" si="23"/>
        <v>-0.90210531464259425</v>
      </c>
      <c r="T266" s="56">
        <f t="shared" si="24"/>
        <v>0.18734799178907519</v>
      </c>
    </row>
    <row r="267" spans="1:20" x14ac:dyDescent="0.25">
      <c r="A267">
        <v>0.29249662269466326</v>
      </c>
      <c r="B267">
        <v>0.15332830116676632</v>
      </c>
      <c r="D267">
        <v>0.25930617210552642</v>
      </c>
      <c r="E267">
        <v>0.58592672417034919</v>
      </c>
      <c r="J267">
        <v>20</v>
      </c>
      <c r="K267">
        <v>0.11735687621694524</v>
      </c>
      <c r="L267">
        <v>21.83570829027725</v>
      </c>
      <c r="M267">
        <v>10</v>
      </c>
      <c r="N267">
        <v>0.8154007639404881</v>
      </c>
      <c r="O267">
        <v>90.978679105804801</v>
      </c>
      <c r="P267" s="1">
        <f t="shared" si="20"/>
        <v>4.0290852641457873</v>
      </c>
      <c r="Q267" s="1">
        <f t="shared" si="21"/>
        <v>0.60436278962186807</v>
      </c>
      <c r="R267" s="1">
        <f t="shared" si="22"/>
        <v>0.77740773704785582</v>
      </c>
      <c r="S267" s="1">
        <f t="shared" si="23"/>
        <v>-0.89791219518126886</v>
      </c>
      <c r="T267" s="56">
        <f t="shared" si="24"/>
        <v>0.18844442256882521</v>
      </c>
    </row>
    <row r="268" spans="1:20" x14ac:dyDescent="0.25">
      <c r="A268">
        <v>0.29350155971782532</v>
      </c>
      <c r="B268">
        <v>1.2484679245972075</v>
      </c>
      <c r="D268">
        <v>0.26215666904174906</v>
      </c>
      <c r="E268">
        <v>4.0434481400097866</v>
      </c>
      <c r="J268">
        <v>20</v>
      </c>
      <c r="K268">
        <v>0.18846839111574809</v>
      </c>
      <c r="L268">
        <v>14.826671334244066</v>
      </c>
      <c r="M268">
        <v>10</v>
      </c>
      <c r="N268">
        <v>0.90029720581696893</v>
      </c>
      <c r="O268">
        <v>104.72812908357545</v>
      </c>
      <c r="P268" s="1">
        <f t="shared" si="20"/>
        <v>4.2698143006364111</v>
      </c>
      <c r="Q268" s="1">
        <f t="shared" si="21"/>
        <v>0.64047214509546169</v>
      </c>
      <c r="R268" s="1">
        <f t="shared" si="22"/>
        <v>0.80029503628065923</v>
      </c>
      <c r="S268" s="1">
        <f t="shared" si="23"/>
        <v>-0.88945799040491147</v>
      </c>
      <c r="T268" s="56">
        <f t="shared" si="24"/>
        <v>0.19066771389756937</v>
      </c>
    </row>
    <row r="269" spans="1:20" x14ac:dyDescent="0.25">
      <c r="A269">
        <v>0.29444172265676138</v>
      </c>
      <c r="B269">
        <v>-0.82005726653733291</v>
      </c>
      <c r="D269">
        <v>0.26256925188904356</v>
      </c>
      <c r="E269">
        <v>-4.4246478444165405</v>
      </c>
      <c r="J269">
        <v>20</v>
      </c>
      <c r="K269">
        <v>-0.1702920258139784</v>
      </c>
      <c r="L269">
        <v>22.222858948073135</v>
      </c>
      <c r="M269">
        <v>10</v>
      </c>
      <c r="N269">
        <v>0.42819203486033075</v>
      </c>
      <c r="O269">
        <v>62.373901438278267</v>
      </c>
      <c r="P269" s="1">
        <f t="shared" si="20"/>
        <v>3.0213128709411214</v>
      </c>
      <c r="Q269" s="1">
        <f t="shared" si="21"/>
        <v>0.45319693064116817</v>
      </c>
      <c r="R269" s="1">
        <f t="shared" si="22"/>
        <v>0.67319902751056326</v>
      </c>
      <c r="S269" s="1">
        <f t="shared" si="23"/>
        <v>-0.88901504045164159</v>
      </c>
      <c r="T269" s="56">
        <f t="shared" si="24"/>
        <v>0.1907846673450907</v>
      </c>
    </row>
    <row r="270" spans="1:20" x14ac:dyDescent="0.25">
      <c r="A270">
        <v>0.29640234445309932</v>
      </c>
      <c r="B270">
        <v>0.51259576139273122</v>
      </c>
      <c r="D270">
        <v>0.26311181712693521</v>
      </c>
      <c r="E270">
        <v>-5.3283899922007549</v>
      </c>
      <c r="J270">
        <v>20</v>
      </c>
      <c r="K270">
        <v>0.20505024167505326</v>
      </c>
      <c r="L270">
        <v>18.700364740800961</v>
      </c>
      <c r="M270">
        <v>10</v>
      </c>
      <c r="N270">
        <v>0.82280552874181012</v>
      </c>
      <c r="O270">
        <v>71.437212673539349</v>
      </c>
      <c r="P270" s="1">
        <f t="shared" si="20"/>
        <v>3.2191991933692967</v>
      </c>
      <c r="Q270" s="1">
        <f t="shared" si="21"/>
        <v>0.48287987900539447</v>
      </c>
      <c r="R270" s="1">
        <f t="shared" si="22"/>
        <v>0.69489558856377442</v>
      </c>
      <c r="S270" s="1">
        <f t="shared" si="23"/>
        <v>-0.88899008316277728</v>
      </c>
      <c r="T270" s="56">
        <f t="shared" si="24"/>
        <v>0.19079125827617238</v>
      </c>
    </row>
    <row r="271" spans="1:20" x14ac:dyDescent="0.25">
      <c r="A271">
        <v>0.29721362099870952</v>
      </c>
      <c r="B271">
        <v>-0.31298100111598615</v>
      </c>
      <c r="D271">
        <v>0.26366675416235452</v>
      </c>
      <c r="E271">
        <v>2.7381822712868598</v>
      </c>
      <c r="J271">
        <v>20</v>
      </c>
      <c r="K271">
        <v>-0.2769264142443717</v>
      </c>
      <c r="L271">
        <v>21.647679687400188</v>
      </c>
      <c r="M271">
        <v>10</v>
      </c>
      <c r="N271">
        <v>0.37454628568411863</v>
      </c>
      <c r="O271">
        <v>78.830307590264425</v>
      </c>
      <c r="P271" s="1">
        <f t="shared" si="20"/>
        <v>3.5884995456308788</v>
      </c>
      <c r="Q271" s="1">
        <f t="shared" si="21"/>
        <v>0.53827493184463182</v>
      </c>
      <c r="R271" s="1">
        <f t="shared" si="22"/>
        <v>0.73367222371071938</v>
      </c>
      <c r="S271" s="1">
        <f t="shared" si="23"/>
        <v>-0.88796151588445627</v>
      </c>
      <c r="T271" s="56">
        <f t="shared" si="24"/>
        <v>0.19106301911022666</v>
      </c>
    </row>
    <row r="272" spans="1:20" x14ac:dyDescent="0.25">
      <c r="A272">
        <v>0.29764881750216665</v>
      </c>
      <c r="B272">
        <v>-0.97837073553819209</v>
      </c>
      <c r="D272">
        <v>0.26596592731725588</v>
      </c>
      <c r="E272">
        <v>2.5767992576675169</v>
      </c>
      <c r="J272">
        <v>20</v>
      </c>
      <c r="K272">
        <v>-0.22665193455395638</v>
      </c>
      <c r="L272">
        <v>24.922458083340256</v>
      </c>
      <c r="M272">
        <v>10</v>
      </c>
      <c r="N272">
        <v>0.50292146283936745</v>
      </c>
      <c r="O272">
        <v>107.61614617911864</v>
      </c>
      <c r="P272" s="1">
        <f t="shared" si="20"/>
        <v>4.7335215808021038</v>
      </c>
      <c r="Q272" s="1">
        <f t="shared" si="21"/>
        <v>0.7100282371203156</v>
      </c>
      <c r="R272" s="1">
        <f t="shared" si="22"/>
        <v>0.84263173279927905</v>
      </c>
      <c r="S272" s="1">
        <f t="shared" si="23"/>
        <v>-0.86582710927540329</v>
      </c>
      <c r="T272" s="56">
        <f t="shared" si="24"/>
        <v>0.1969717511190186</v>
      </c>
    </row>
    <row r="273" spans="1:20" x14ac:dyDescent="0.25">
      <c r="A273">
        <v>0.29766596527085321</v>
      </c>
      <c r="B273">
        <v>-1.8551418179413304E-2</v>
      </c>
      <c r="D273">
        <v>0.26643269654375656</v>
      </c>
      <c r="E273">
        <v>-6.5150974251082516E-2</v>
      </c>
      <c r="J273">
        <v>20</v>
      </c>
      <c r="K273">
        <v>9.0751768766494934E-2</v>
      </c>
      <c r="L273">
        <v>48.198400729654736</v>
      </c>
      <c r="M273">
        <v>10</v>
      </c>
      <c r="N273">
        <v>0.77763240483363916</v>
      </c>
      <c r="O273">
        <v>70.104639662895792</v>
      </c>
      <c r="P273" s="1">
        <f t="shared" si="20"/>
        <v>4.2251085854482335</v>
      </c>
      <c r="Q273" s="1">
        <f t="shared" si="21"/>
        <v>0.63376628781723499</v>
      </c>
      <c r="R273" s="1">
        <f t="shared" si="22"/>
        <v>0.79609439629809919</v>
      </c>
      <c r="S273" s="1">
        <f t="shared" si="23"/>
        <v>-0.8628130523982992</v>
      </c>
      <c r="T273" s="56">
        <f t="shared" si="24"/>
        <v>0.19778528131427187</v>
      </c>
    </row>
    <row r="274" spans="1:20" x14ac:dyDescent="0.25">
      <c r="A274">
        <v>0.29998171476290292</v>
      </c>
      <c r="B274">
        <v>-1.0947451301035471</v>
      </c>
      <c r="D274">
        <v>0.27045393656315664</v>
      </c>
      <c r="E274">
        <v>2.6655227395622205</v>
      </c>
      <c r="J274">
        <v>20</v>
      </c>
      <c r="K274">
        <v>0.1728770371300925</v>
      </c>
      <c r="L274">
        <v>16.180705409139726</v>
      </c>
      <c r="M274">
        <v>10</v>
      </c>
      <c r="N274">
        <v>0.74170918310301204</v>
      </c>
      <c r="O274">
        <v>65.685388693920444</v>
      </c>
      <c r="P274" s="1">
        <f t="shared" si="20"/>
        <v>2.9237890751092914</v>
      </c>
      <c r="Q274" s="1">
        <f t="shared" si="21"/>
        <v>0.4385683612663937</v>
      </c>
      <c r="R274" s="1">
        <f t="shared" si="22"/>
        <v>0.66224494053665195</v>
      </c>
      <c r="S274" s="1">
        <f t="shared" si="23"/>
        <v>-0.8589452499432686</v>
      </c>
      <c r="T274" s="56">
        <f t="shared" si="24"/>
        <v>0.19883237857002839</v>
      </c>
    </row>
    <row r="275" spans="1:20" x14ac:dyDescent="0.25">
      <c r="A275">
        <v>0.30019981845034505</v>
      </c>
      <c r="B275">
        <v>0.91723450168501586</v>
      </c>
      <c r="D275">
        <v>0.27154443294293695</v>
      </c>
      <c r="E275">
        <v>-0.23622010644430702</v>
      </c>
      <c r="J275">
        <v>20</v>
      </c>
      <c r="K275">
        <v>-0.14216703903002781</v>
      </c>
      <c r="L275">
        <v>22.723129589354841</v>
      </c>
      <c r="M275">
        <v>10</v>
      </c>
      <c r="N275">
        <v>0.31644082923776296</v>
      </c>
      <c r="O275">
        <v>30.654670085974914</v>
      </c>
      <c r="P275" s="1">
        <f t="shared" si="20"/>
        <v>1.906349988404634</v>
      </c>
      <c r="Q275" s="1">
        <f t="shared" si="21"/>
        <v>0.28595249826069508</v>
      </c>
      <c r="R275" s="1">
        <f t="shared" si="22"/>
        <v>0.53474526483242002</v>
      </c>
      <c r="S275" s="1">
        <f t="shared" si="23"/>
        <v>-0.85761931601490771</v>
      </c>
      <c r="T275" s="56">
        <f t="shared" si="24"/>
        <v>0.19919214688874154</v>
      </c>
    </row>
    <row r="276" spans="1:20" x14ac:dyDescent="0.25">
      <c r="A276">
        <v>0.30145857042877422</v>
      </c>
      <c r="B276">
        <v>1.3681346899829805</v>
      </c>
      <c r="D276">
        <v>0.27260280545934867</v>
      </c>
      <c r="E276">
        <v>-5.425278462780625</v>
      </c>
      <c r="J276">
        <v>20</v>
      </c>
      <c r="K276">
        <v>0.209167239972885</v>
      </c>
      <c r="L276">
        <v>25.739686855061905</v>
      </c>
      <c r="M276">
        <v>10</v>
      </c>
      <c r="N276">
        <v>0.76688695230586745</v>
      </c>
      <c r="O276">
        <v>53.619804272379731</v>
      </c>
      <c r="P276" s="1">
        <f t="shared" si="20"/>
        <v>2.8342675402657727</v>
      </c>
      <c r="Q276" s="1">
        <f t="shared" si="21"/>
        <v>0.42514013103986587</v>
      </c>
      <c r="R276" s="1">
        <f t="shared" si="22"/>
        <v>0.65202770726393666</v>
      </c>
      <c r="S276" s="1">
        <f t="shared" si="23"/>
        <v>-0.85536198250425122</v>
      </c>
      <c r="T276" s="56">
        <f t="shared" si="24"/>
        <v>0.19980558397495218</v>
      </c>
    </row>
    <row r="277" spans="1:20" x14ac:dyDescent="0.25">
      <c r="A277">
        <v>0.30206226216237331</v>
      </c>
      <c r="B277">
        <v>-2.3305619833990932</v>
      </c>
      <c r="D277">
        <v>0.27484774253819833</v>
      </c>
      <c r="E277">
        <v>0.7176920428264566</v>
      </c>
      <c r="J277">
        <v>20</v>
      </c>
      <c r="K277">
        <v>-0.11325971627229592</v>
      </c>
      <c r="L277">
        <v>12.057450439646827</v>
      </c>
      <c r="M277">
        <v>10</v>
      </c>
      <c r="N277">
        <v>0.50726077574836381</v>
      </c>
      <c r="O277">
        <v>88.471911399473541</v>
      </c>
      <c r="P277" s="1">
        <f t="shared" si="20"/>
        <v>3.5903343513971562</v>
      </c>
      <c r="Q277" s="1">
        <f t="shared" si="21"/>
        <v>0.5385501527095734</v>
      </c>
      <c r="R277" s="1">
        <f t="shared" si="22"/>
        <v>0.7338597636535017</v>
      </c>
      <c r="S277" s="1">
        <f t="shared" si="23"/>
        <v>-0.84555731592561312</v>
      </c>
      <c r="T277" s="56">
        <f t="shared" si="24"/>
        <v>0.20248390939117683</v>
      </c>
    </row>
    <row r="278" spans="1:20" x14ac:dyDescent="0.25">
      <c r="A278">
        <v>0.30373219448370437</v>
      </c>
      <c r="B278">
        <v>-0.34057848097290844</v>
      </c>
      <c r="D278">
        <v>0.27582441676623859</v>
      </c>
      <c r="E278">
        <v>1.1226468325276073</v>
      </c>
      <c r="J278">
        <v>20</v>
      </c>
      <c r="K278">
        <v>0.20619819451894728</v>
      </c>
      <c r="L278">
        <v>20.2269068566683</v>
      </c>
      <c r="M278">
        <v>10</v>
      </c>
      <c r="N278">
        <v>0.74883530146507837</v>
      </c>
      <c r="O278">
        <v>56.737553680219939</v>
      </c>
      <c r="P278" s="1">
        <f t="shared" si="20"/>
        <v>2.7487307334602944</v>
      </c>
      <c r="Q278" s="1">
        <f t="shared" si="21"/>
        <v>0.41230961001904415</v>
      </c>
      <c r="R278" s="1">
        <f t="shared" si="22"/>
        <v>0.64211339342755047</v>
      </c>
      <c r="S278" s="1">
        <f t="shared" si="23"/>
        <v>-0.84507987607854929</v>
      </c>
      <c r="T278" s="56">
        <f t="shared" si="24"/>
        <v>0.20261490634489654</v>
      </c>
    </row>
    <row r="279" spans="1:20" x14ac:dyDescent="0.25">
      <c r="A279">
        <v>0.30456977905441607</v>
      </c>
      <c r="B279">
        <v>-1.3327235137694515</v>
      </c>
      <c r="D279">
        <v>0.27603305476312956</v>
      </c>
      <c r="E279">
        <v>3.8564241970107105</v>
      </c>
      <c r="J279">
        <v>20</v>
      </c>
      <c r="K279">
        <v>9.6669623417255934E-2</v>
      </c>
      <c r="L279">
        <v>25.186225665885544</v>
      </c>
      <c r="M279">
        <v>10</v>
      </c>
      <c r="N279">
        <v>0.62373805690185691</v>
      </c>
      <c r="O279">
        <v>48.516495388135127</v>
      </c>
      <c r="P279" s="1">
        <f t="shared" si="20"/>
        <v>2.6322400376435953</v>
      </c>
      <c r="Q279" s="1">
        <f t="shared" si="21"/>
        <v>0.39483600564653926</v>
      </c>
      <c r="R279" s="1">
        <f t="shared" si="22"/>
        <v>0.62835977405188759</v>
      </c>
      <c r="S279" s="1">
        <f t="shared" si="23"/>
        <v>-0.83880040583418636</v>
      </c>
      <c r="T279" s="56">
        <f t="shared" si="24"/>
        <v>0.20434279443756304</v>
      </c>
    </row>
    <row r="280" spans="1:20" x14ac:dyDescent="0.25">
      <c r="A280">
        <v>0.30483207267979107</v>
      </c>
      <c r="B280">
        <v>8.3979330156580545E-2</v>
      </c>
      <c r="D280">
        <v>0.27834390586689872</v>
      </c>
      <c r="E280">
        <v>1.435030977745555</v>
      </c>
      <c r="J280">
        <v>20</v>
      </c>
      <c r="K280">
        <v>2.7822068204841344E-2</v>
      </c>
      <c r="L280">
        <v>22.558767848180484</v>
      </c>
      <c r="M280">
        <v>10</v>
      </c>
      <c r="N280">
        <v>0.68904364184163569</v>
      </c>
      <c r="O280">
        <v>93.45943590753798</v>
      </c>
      <c r="P280" s="1">
        <f t="shared" si="20"/>
        <v>4.1435072769899453</v>
      </c>
      <c r="Q280" s="1">
        <f t="shared" si="21"/>
        <v>0.62152609154849181</v>
      </c>
      <c r="R280" s="1">
        <f t="shared" si="22"/>
        <v>0.78836926091045167</v>
      </c>
      <c r="S280" s="1">
        <f t="shared" si="23"/>
        <v>-0.83872064325945395</v>
      </c>
      <c r="T280" s="56">
        <f t="shared" si="24"/>
        <v>0.20436480161002379</v>
      </c>
    </row>
    <row r="281" spans="1:20" x14ac:dyDescent="0.25">
      <c r="A281">
        <v>0.30491111024642448</v>
      </c>
      <c r="B281">
        <v>-4.5494061851059087E-2</v>
      </c>
      <c r="D281">
        <v>0.27835264395171022</v>
      </c>
      <c r="E281">
        <v>5.1942135962690372</v>
      </c>
      <c r="J281">
        <v>20</v>
      </c>
      <c r="K281">
        <v>-8.227584658015985E-2</v>
      </c>
      <c r="L281">
        <v>14.396896417251345</v>
      </c>
      <c r="M281">
        <v>10</v>
      </c>
      <c r="N281">
        <v>0.69578163333972043</v>
      </c>
      <c r="O281">
        <v>147.90233142538449</v>
      </c>
      <c r="P281" s="1">
        <f t="shared" si="20"/>
        <v>5.7964009943798516</v>
      </c>
      <c r="Q281" s="1">
        <f t="shared" si="21"/>
        <v>0.86946014915697767</v>
      </c>
      <c r="R281" s="1">
        <f t="shared" si="22"/>
        <v>0.9324484699740665</v>
      </c>
      <c r="S281" s="1">
        <f t="shared" si="23"/>
        <v>-0.83442410489613417</v>
      </c>
      <c r="T281" s="56">
        <f t="shared" si="24"/>
        <v>0.20555245032552655</v>
      </c>
    </row>
    <row r="282" spans="1:20" x14ac:dyDescent="0.25">
      <c r="A282">
        <v>0.30634137616357326</v>
      </c>
      <c r="B282">
        <v>0.73447267823212314</v>
      </c>
      <c r="D282">
        <v>0.27992169715075221</v>
      </c>
      <c r="E282">
        <v>-1.1660124562240526</v>
      </c>
      <c r="J282">
        <v>20</v>
      </c>
      <c r="K282">
        <v>-0.23871649545981199</v>
      </c>
      <c r="L282">
        <v>23.373786907990599</v>
      </c>
      <c r="M282">
        <v>10</v>
      </c>
      <c r="N282">
        <v>0.19588378222579195</v>
      </c>
      <c r="O282">
        <v>28.739916039977146</v>
      </c>
      <c r="P282" s="1">
        <f t="shared" si="20"/>
        <v>1.8612036767131337</v>
      </c>
      <c r="Q282" s="1">
        <f t="shared" si="21"/>
        <v>0.27918055150697002</v>
      </c>
      <c r="R282" s="1">
        <f t="shared" si="22"/>
        <v>0.52837538881648338</v>
      </c>
      <c r="S282" s="1">
        <f t="shared" si="23"/>
        <v>-0.82252180340774794</v>
      </c>
      <c r="T282" s="56">
        <f t="shared" si="24"/>
        <v>0.20886497724980702</v>
      </c>
    </row>
    <row r="283" spans="1:20" x14ac:dyDescent="0.25">
      <c r="A283">
        <v>0.30759980700326073</v>
      </c>
      <c r="B283">
        <v>1.3901126294513233</v>
      </c>
      <c r="D283">
        <v>0.28115461619498816</v>
      </c>
      <c r="E283">
        <v>-0.24403721340604534</v>
      </c>
      <c r="J283">
        <v>20</v>
      </c>
      <c r="K283">
        <v>-0.34139208082706318</v>
      </c>
      <c r="L283">
        <v>17.470388072370262</v>
      </c>
      <c r="M283">
        <v>10</v>
      </c>
      <c r="N283">
        <v>0.29181626018726092</v>
      </c>
      <c r="O283">
        <v>93.430328253338772</v>
      </c>
      <c r="P283" s="1">
        <f t="shared" si="20"/>
        <v>3.9607398687753226</v>
      </c>
      <c r="Q283" s="1">
        <f t="shared" si="21"/>
        <v>0.59411098031629839</v>
      </c>
      <c r="R283" s="1">
        <f t="shared" si="22"/>
        <v>0.77078594973980841</v>
      </c>
      <c r="S283" s="1">
        <f t="shared" si="23"/>
        <v>-0.8215099681410567</v>
      </c>
      <c r="T283" s="56">
        <f t="shared" si="24"/>
        <v>0.20914810268728273</v>
      </c>
    </row>
    <row r="284" spans="1:20" x14ac:dyDescent="0.25">
      <c r="A284">
        <v>0.30935157530483726</v>
      </c>
      <c r="B284">
        <v>0.42547299017314799</v>
      </c>
      <c r="D284">
        <v>0.28124402099870438</v>
      </c>
      <c r="E284">
        <v>-2.4857188270743791</v>
      </c>
      <c r="J284">
        <v>20</v>
      </c>
      <c r="K284">
        <v>-3.2282571282848949E-2</v>
      </c>
      <c r="L284">
        <v>20.98152379124544</v>
      </c>
      <c r="M284">
        <v>10</v>
      </c>
      <c r="N284">
        <v>0.4475683647342521</v>
      </c>
      <c r="O284">
        <v>43.425153912687904</v>
      </c>
      <c r="P284" s="1">
        <f t="shared" si="20"/>
        <v>2.3002384894261909</v>
      </c>
      <c r="Q284" s="1">
        <f t="shared" si="21"/>
        <v>0.3450357734139286</v>
      </c>
      <c r="R284" s="1">
        <f t="shared" si="22"/>
        <v>0.58739745778640262</v>
      </c>
      <c r="S284" s="1">
        <f t="shared" si="23"/>
        <v>-0.81691013411159652</v>
      </c>
      <c r="T284" s="56">
        <f t="shared" si="24"/>
        <v>0.21043820006743613</v>
      </c>
    </row>
    <row r="285" spans="1:20" x14ac:dyDescent="0.25">
      <c r="A285">
        <v>0.309468791383821</v>
      </c>
      <c r="B285">
        <v>-1.5348496162914671</v>
      </c>
      <c r="D285">
        <v>0.28149824084836883</v>
      </c>
      <c r="E285">
        <v>-0.43396699197728594</v>
      </c>
      <c r="J285">
        <v>20</v>
      </c>
      <c r="K285">
        <v>-0.34480029853511951</v>
      </c>
      <c r="L285">
        <v>22.558824466377313</v>
      </c>
      <c r="M285">
        <v>10</v>
      </c>
      <c r="N285">
        <v>0.34490267012188269</v>
      </c>
      <c r="O285">
        <v>111.64480412610452</v>
      </c>
      <c r="P285" s="1">
        <f t="shared" si="20"/>
        <v>4.7929867354457798</v>
      </c>
      <c r="Q285" s="1">
        <f t="shared" si="21"/>
        <v>0.71894801031686695</v>
      </c>
      <c r="R285" s="1">
        <f t="shared" si="22"/>
        <v>0.84790801996258236</v>
      </c>
      <c r="S285" s="1">
        <f t="shared" si="23"/>
        <v>-0.81341720141701024</v>
      </c>
      <c r="T285" s="56">
        <f t="shared" si="24"/>
        <v>0.2114211316591128</v>
      </c>
    </row>
    <row r="286" spans="1:20" x14ac:dyDescent="0.25">
      <c r="A286">
        <v>0.31058959266803599</v>
      </c>
      <c r="B286">
        <v>0.841773726278916</v>
      </c>
      <c r="D286">
        <v>0.28449110363149088</v>
      </c>
      <c r="E286">
        <v>2.5744322977061529</v>
      </c>
      <c r="J286">
        <v>20</v>
      </c>
      <c r="K286">
        <v>0.11514674724821816</v>
      </c>
      <c r="L286">
        <v>21.645540847366092</v>
      </c>
      <c r="M286">
        <v>10</v>
      </c>
      <c r="N286">
        <v>0.869306742288245</v>
      </c>
      <c r="O286">
        <v>143.5532283538364</v>
      </c>
      <c r="P286" s="1">
        <f t="shared" si="20"/>
        <v>5.8999560429000883</v>
      </c>
      <c r="Q286" s="1">
        <f t="shared" si="21"/>
        <v>0.88499340643501323</v>
      </c>
      <c r="R286" s="1">
        <f t="shared" si="22"/>
        <v>0.94074088166455971</v>
      </c>
      <c r="S286" s="1">
        <f t="shared" si="23"/>
        <v>-0.80166601636957235</v>
      </c>
      <c r="T286" s="56">
        <f t="shared" si="24"/>
        <v>0.21474873717975124</v>
      </c>
    </row>
    <row r="287" spans="1:20" x14ac:dyDescent="0.25">
      <c r="A287">
        <v>0.31119010278002035</v>
      </c>
      <c r="B287">
        <v>1.6217290976783261</v>
      </c>
      <c r="D287">
        <v>0.28481913357039301</v>
      </c>
      <c r="E287">
        <v>1.7140287093297957</v>
      </c>
      <c r="J287">
        <v>20</v>
      </c>
      <c r="K287">
        <v>0.16200095842577866</v>
      </c>
      <c r="L287">
        <v>20.893409138130117</v>
      </c>
      <c r="M287">
        <v>10</v>
      </c>
      <c r="N287">
        <v>0.61826608202864008</v>
      </c>
      <c r="O287">
        <v>40.60025218819559</v>
      </c>
      <c r="P287" s="1">
        <f t="shared" si="20"/>
        <v>2.1962021902259181</v>
      </c>
      <c r="Q287" s="1">
        <f t="shared" si="21"/>
        <v>0.32943032853388771</v>
      </c>
      <c r="R287" s="1">
        <f t="shared" si="22"/>
        <v>0.57396021511415551</v>
      </c>
      <c r="S287" s="1">
        <f t="shared" si="23"/>
        <v>-0.79494207366291825</v>
      </c>
      <c r="T287" s="56">
        <f t="shared" si="24"/>
        <v>0.21666712231727769</v>
      </c>
    </row>
    <row r="288" spans="1:20" x14ac:dyDescent="0.25">
      <c r="A288">
        <v>0.31353105868715458</v>
      </c>
      <c r="B288">
        <v>-0.40296754377777688</v>
      </c>
      <c r="D288">
        <v>0.28696200878328282</v>
      </c>
      <c r="E288">
        <v>-3.8578189139570895</v>
      </c>
      <c r="J288">
        <v>20</v>
      </c>
      <c r="K288">
        <v>-0.44303197910267045</v>
      </c>
      <c r="L288">
        <v>19.014404268432251</v>
      </c>
      <c r="M288">
        <v>10</v>
      </c>
      <c r="N288">
        <v>0.22540154645867005</v>
      </c>
      <c r="O288">
        <v>113.79331473158257</v>
      </c>
      <c r="P288" s="1">
        <f t="shared" si="20"/>
        <v>4.7431328214291009</v>
      </c>
      <c r="Q288" s="1">
        <f t="shared" si="21"/>
        <v>0.71146992321436509</v>
      </c>
      <c r="R288" s="1">
        <f t="shared" si="22"/>
        <v>0.84348676528702282</v>
      </c>
      <c r="S288" s="1">
        <f t="shared" si="23"/>
        <v>-0.79246474641944742</v>
      </c>
      <c r="T288" s="56">
        <f t="shared" si="24"/>
        <v>0.21737654682311558</v>
      </c>
    </row>
    <row r="289" spans="1:20" x14ac:dyDescent="0.25">
      <c r="A289">
        <v>0.3183362777902593</v>
      </c>
      <c r="B289">
        <v>1.0843564268725459</v>
      </c>
      <c r="D289">
        <v>0.28898121184887471</v>
      </c>
      <c r="E289">
        <v>1.7790041476928309</v>
      </c>
      <c r="J289">
        <v>20</v>
      </c>
      <c r="K289">
        <v>-0.21311871023499407</v>
      </c>
      <c r="L289">
        <v>23.694954059183999</v>
      </c>
      <c r="M289">
        <v>10</v>
      </c>
      <c r="N289">
        <v>0.73138630455105158</v>
      </c>
      <c r="O289">
        <v>245.3407279839534</v>
      </c>
      <c r="P289" s="1">
        <f t="shared" si="20"/>
        <v>9.6084172158263357</v>
      </c>
      <c r="Q289" s="1">
        <f t="shared" si="21"/>
        <v>1.4412625823739502</v>
      </c>
      <c r="R289" s="1">
        <f t="shared" si="22"/>
        <v>1.2005259607246943</v>
      </c>
      <c r="S289" s="1">
        <f t="shared" si="23"/>
        <v>-0.78674268252882906</v>
      </c>
      <c r="T289" s="56">
        <f t="shared" si="24"/>
        <v>0.21902055226288919</v>
      </c>
    </row>
    <row r="290" spans="1:20" x14ac:dyDescent="0.25">
      <c r="A290">
        <v>0.3192374040125443</v>
      </c>
      <c r="B290">
        <v>-0.44236685425858013</v>
      </c>
      <c r="D290">
        <v>0.28900780149976568</v>
      </c>
      <c r="E290">
        <v>0.76908986216039921</v>
      </c>
      <c r="J290">
        <v>20</v>
      </c>
      <c r="K290">
        <v>4.410276233102195E-2</v>
      </c>
      <c r="L290">
        <v>15.464679820989462</v>
      </c>
      <c r="M290">
        <v>10</v>
      </c>
      <c r="N290">
        <v>0.8198028319839068</v>
      </c>
      <c r="O290">
        <v>166.48768194677473</v>
      </c>
      <c r="P290" s="1">
        <f t="shared" si="20"/>
        <v>6.4982986345630067</v>
      </c>
      <c r="Q290" s="1">
        <f t="shared" si="21"/>
        <v>0.97474479518445101</v>
      </c>
      <c r="R290" s="1">
        <f t="shared" si="22"/>
        <v>0.9872916464674717</v>
      </c>
      <c r="S290" s="1">
        <f t="shared" si="23"/>
        <v>-0.78568483024072855</v>
      </c>
      <c r="T290" s="56">
        <f t="shared" si="24"/>
        <v>0.21932530746313511</v>
      </c>
    </row>
    <row r="291" spans="1:20" x14ac:dyDescent="0.25">
      <c r="A291">
        <v>0.31935277804995366</v>
      </c>
      <c r="B291">
        <v>-0.469273118142155</v>
      </c>
      <c r="D291">
        <v>0.28920858006806804</v>
      </c>
      <c r="E291">
        <v>1.6826681951442879</v>
      </c>
      <c r="J291">
        <v>20</v>
      </c>
      <c r="K291">
        <v>0.21107035763634485</v>
      </c>
      <c r="L291">
        <v>5.6943319504802528</v>
      </c>
      <c r="M291">
        <v>10</v>
      </c>
      <c r="N291">
        <v>0.77455603900489223</v>
      </c>
      <c r="O291">
        <v>90.410179915778755</v>
      </c>
      <c r="P291" s="1">
        <f t="shared" si="20"/>
        <v>3.4323039952235357</v>
      </c>
      <c r="Q291" s="1">
        <f t="shared" si="21"/>
        <v>0.51484559928353035</v>
      </c>
      <c r="R291" s="1">
        <f t="shared" si="22"/>
        <v>0.71752742057954155</v>
      </c>
      <c r="S291" s="1">
        <f t="shared" si="23"/>
        <v>-0.78531588508969341</v>
      </c>
      <c r="T291" s="56">
        <f t="shared" si="24"/>
        <v>0.21943165676420562</v>
      </c>
    </row>
    <row r="292" spans="1:20" x14ac:dyDescent="0.25">
      <c r="A292">
        <v>0.32169061572979829</v>
      </c>
      <c r="B292">
        <v>3.5388438845984638E-2</v>
      </c>
      <c r="D292">
        <v>0.29035706971804354</v>
      </c>
      <c r="E292">
        <v>-2.2643023419277597</v>
      </c>
      <c r="J292">
        <v>20</v>
      </c>
      <c r="K292">
        <v>-0.15981237311279983</v>
      </c>
      <c r="L292">
        <v>21.818881245855589</v>
      </c>
      <c r="M292">
        <v>10</v>
      </c>
      <c r="N292">
        <v>0.62558865124628937</v>
      </c>
      <c r="O292">
        <v>165.21208553083963</v>
      </c>
      <c r="P292" s="1">
        <f t="shared" si="20"/>
        <v>6.6796773848819715</v>
      </c>
      <c r="Q292" s="1">
        <f t="shared" si="21"/>
        <v>1.0019516077322956</v>
      </c>
      <c r="R292" s="1">
        <f t="shared" si="22"/>
        <v>1.0009753282335663</v>
      </c>
      <c r="S292" s="1">
        <f t="shared" si="23"/>
        <v>-0.78463574696201177</v>
      </c>
      <c r="T292" s="56">
        <f t="shared" si="24"/>
        <v>0.21962779001696647</v>
      </c>
    </row>
    <row r="293" spans="1:20" x14ac:dyDescent="0.25">
      <c r="A293">
        <v>0.32234696874218971</v>
      </c>
      <c r="B293">
        <v>-1.2469695320760366</v>
      </c>
      <c r="D293">
        <v>0.29061902450299182</v>
      </c>
      <c r="E293">
        <v>1.5275368207312567</v>
      </c>
      <c r="J293">
        <v>20</v>
      </c>
      <c r="K293">
        <v>8.1138523455592804E-2</v>
      </c>
      <c r="L293">
        <v>15.095678503153987</v>
      </c>
      <c r="M293">
        <v>10</v>
      </c>
      <c r="N293">
        <v>0.59614250972117588</v>
      </c>
      <c r="O293">
        <v>67.17574159609228</v>
      </c>
      <c r="P293" s="1">
        <f t="shared" si="20"/>
        <v>2.9382650035445095</v>
      </c>
      <c r="Q293" s="1">
        <f t="shared" si="21"/>
        <v>0.44073975053167641</v>
      </c>
      <c r="R293" s="1">
        <f t="shared" si="22"/>
        <v>0.66388233184177781</v>
      </c>
      <c r="S293" s="1">
        <f t="shared" si="23"/>
        <v>-0.77574588381774146</v>
      </c>
      <c r="T293" s="56">
        <f t="shared" si="24"/>
        <v>0.22220112905291933</v>
      </c>
    </row>
    <row r="294" spans="1:20" x14ac:dyDescent="0.25">
      <c r="A294">
        <v>0.322873254500332</v>
      </c>
      <c r="B294">
        <v>0.47714479478599969</v>
      </c>
      <c r="D294">
        <v>0.29086848911153429</v>
      </c>
      <c r="E294">
        <v>-1.3849187359937787</v>
      </c>
      <c r="J294">
        <v>20</v>
      </c>
      <c r="K294">
        <v>0.10616014378683758</v>
      </c>
      <c r="L294">
        <v>17.037800170450474</v>
      </c>
      <c r="M294">
        <v>10</v>
      </c>
      <c r="N294">
        <v>0.53914243039798748</v>
      </c>
      <c r="O294">
        <v>41.292836702639427</v>
      </c>
      <c r="P294" s="1">
        <f t="shared" si="20"/>
        <v>2.0832370311817821</v>
      </c>
      <c r="Q294" s="1">
        <f t="shared" si="21"/>
        <v>0.3124855546772673</v>
      </c>
      <c r="R294" s="1">
        <f t="shared" si="22"/>
        <v>0.55900407393619889</v>
      </c>
      <c r="S294" s="1">
        <f t="shared" si="23"/>
        <v>-0.77456016297399599</v>
      </c>
      <c r="T294" s="56">
        <f t="shared" si="24"/>
        <v>0.22254572473948692</v>
      </c>
    </row>
    <row r="295" spans="1:20" x14ac:dyDescent="0.25">
      <c r="A295">
        <v>0.32351118614730845</v>
      </c>
      <c r="B295">
        <v>-1.618036549189128</v>
      </c>
      <c r="D295">
        <v>0.29113083422097419</v>
      </c>
      <c r="E295">
        <v>-3.5179998610601615</v>
      </c>
      <c r="J295">
        <v>20</v>
      </c>
      <c r="K295">
        <v>-8.6822069533809554E-3</v>
      </c>
      <c r="L295">
        <v>22.467734830685181</v>
      </c>
      <c r="M295">
        <v>10</v>
      </c>
      <c r="N295">
        <v>0.54586166356784815</v>
      </c>
      <c r="O295">
        <v>78.131787803454486</v>
      </c>
      <c r="P295" s="1">
        <f t="shared" si="20"/>
        <v>3.5928400940764171</v>
      </c>
      <c r="Q295" s="1">
        <f t="shared" si="21"/>
        <v>0.53892601411146257</v>
      </c>
      <c r="R295" s="1">
        <f t="shared" si="22"/>
        <v>0.73411580429211754</v>
      </c>
      <c r="S295" s="1">
        <f t="shared" si="23"/>
        <v>-0.7553901813297107</v>
      </c>
      <c r="T295" s="56">
        <f t="shared" si="24"/>
        <v>0.2281613600616077</v>
      </c>
    </row>
    <row r="296" spans="1:20" x14ac:dyDescent="0.25">
      <c r="A296">
        <v>0.32361110627185152</v>
      </c>
      <c r="B296">
        <v>2.1689174900529906E-2</v>
      </c>
      <c r="D296">
        <v>0.29130999413774405</v>
      </c>
      <c r="E296">
        <v>-1.6437018109627388</v>
      </c>
      <c r="J296">
        <v>20</v>
      </c>
      <c r="K296">
        <v>-3.374736934347311E-2</v>
      </c>
      <c r="L296">
        <v>12.956341627112455</v>
      </c>
      <c r="M296">
        <v>10</v>
      </c>
      <c r="N296">
        <v>0.7213420724383468</v>
      </c>
      <c r="O296">
        <v>174.36709568652165</v>
      </c>
      <c r="P296" s="1">
        <f t="shared" si="20"/>
        <v>6.6901227612012182</v>
      </c>
      <c r="Q296" s="1">
        <f t="shared" si="21"/>
        <v>1.0035184141801827</v>
      </c>
      <c r="R296" s="1">
        <f t="shared" si="22"/>
        <v>1.0017576624015325</v>
      </c>
      <c r="S296" s="1">
        <f t="shared" si="23"/>
        <v>-0.75376457812324571</v>
      </c>
      <c r="T296" s="56">
        <f t="shared" si="24"/>
        <v>0.22864139833883879</v>
      </c>
    </row>
    <row r="297" spans="1:20" x14ac:dyDescent="0.25">
      <c r="A297">
        <v>0.32509739436324503</v>
      </c>
      <c r="B297">
        <v>0.73898831942642573</v>
      </c>
      <c r="D297">
        <v>0.29157425554823224</v>
      </c>
      <c r="E297">
        <v>2.9416589734410081</v>
      </c>
      <c r="J297">
        <v>20</v>
      </c>
      <c r="K297">
        <v>0.20522242039078264</v>
      </c>
      <c r="L297">
        <v>14.867948940611415</v>
      </c>
      <c r="M297">
        <v>10</v>
      </c>
      <c r="N297">
        <v>0.74824560783781635</v>
      </c>
      <c r="O297">
        <v>82.275275063586207</v>
      </c>
      <c r="P297" s="1">
        <f t="shared" si="20"/>
        <v>3.4694008572927721</v>
      </c>
      <c r="Q297" s="1">
        <f t="shared" si="21"/>
        <v>0.52041012859391578</v>
      </c>
      <c r="R297" s="1">
        <f t="shared" si="22"/>
        <v>0.7213945720574253</v>
      </c>
      <c r="S297" s="1">
        <f t="shared" si="23"/>
        <v>-0.75274088339523482</v>
      </c>
      <c r="T297" s="56">
        <f t="shared" si="24"/>
        <v>0.22894400053092873</v>
      </c>
    </row>
    <row r="298" spans="1:20" x14ac:dyDescent="0.25">
      <c r="A298">
        <v>0.32518454189356716</v>
      </c>
      <c r="B298">
        <v>0.58563273341860622</v>
      </c>
      <c r="D298">
        <v>0.29174084889961838</v>
      </c>
      <c r="E298">
        <v>-6.8329306975556392</v>
      </c>
      <c r="J298">
        <v>20</v>
      </c>
      <c r="K298">
        <v>-0.14055831343284808</v>
      </c>
      <c r="L298">
        <v>28.167636015337241</v>
      </c>
      <c r="M298">
        <v>10</v>
      </c>
      <c r="N298">
        <v>0.5040940288836282</v>
      </c>
      <c r="O298">
        <v>114.66445054263409</v>
      </c>
      <c r="P298" s="1">
        <f t="shared" si="20"/>
        <v>5.1011459484989761</v>
      </c>
      <c r="Q298" s="1">
        <f t="shared" si="21"/>
        <v>0.76517189227484639</v>
      </c>
      <c r="R298" s="1">
        <f t="shared" si="22"/>
        <v>0.87474104298063349</v>
      </c>
      <c r="S298" s="1">
        <f t="shared" si="23"/>
        <v>-0.73696363911296281</v>
      </c>
      <c r="T298" s="56">
        <f t="shared" si="24"/>
        <v>0.23363759633682213</v>
      </c>
    </row>
    <row r="299" spans="1:20" x14ac:dyDescent="0.25">
      <c r="A299">
        <v>0.32573269694068419</v>
      </c>
      <c r="B299">
        <v>-1.4226043276721612</v>
      </c>
      <c r="D299">
        <v>0.29336507570358294</v>
      </c>
      <c r="E299">
        <v>-4.0704360378640558</v>
      </c>
      <c r="J299">
        <v>20</v>
      </c>
      <c r="K299">
        <v>-0.44160395873404923</v>
      </c>
      <c r="L299">
        <v>20.872480086044074</v>
      </c>
      <c r="M299">
        <v>10</v>
      </c>
      <c r="N299">
        <v>-4.2335390162406838E-2</v>
      </c>
      <c r="O299">
        <v>34.166431402081287</v>
      </c>
      <c r="P299" s="1">
        <f t="shared" si="20"/>
        <v>1.9656754102901917</v>
      </c>
      <c r="Q299" s="1">
        <f t="shared" si="21"/>
        <v>0.29485131154352873</v>
      </c>
      <c r="R299" s="1">
        <f t="shared" si="22"/>
        <v>0.54300212848894869</v>
      </c>
      <c r="S299" s="1">
        <f t="shared" si="23"/>
        <v>-0.73529834898201218</v>
      </c>
      <c r="T299" s="56">
        <f t="shared" si="24"/>
        <v>0.23413626870074816</v>
      </c>
    </row>
    <row r="300" spans="1:20" x14ac:dyDescent="0.25">
      <c r="A300">
        <v>0.3272625706502631</v>
      </c>
      <c r="B300">
        <v>0.56406406656606123</v>
      </c>
      <c r="D300">
        <v>0.29340856071517896</v>
      </c>
      <c r="E300">
        <v>-2.9128084440799284</v>
      </c>
      <c r="J300">
        <v>20</v>
      </c>
      <c r="K300">
        <v>5.1348933993722312E-3</v>
      </c>
      <c r="L300">
        <v>19.516412630294379</v>
      </c>
      <c r="M300">
        <v>10</v>
      </c>
      <c r="N300">
        <v>0.55562622605975776</v>
      </c>
      <c r="O300">
        <v>86.051971834981515</v>
      </c>
      <c r="P300" s="1">
        <f t="shared" si="20"/>
        <v>3.7702994451884249</v>
      </c>
      <c r="Q300" s="1">
        <f t="shared" si="21"/>
        <v>0.56554491677826368</v>
      </c>
      <c r="R300" s="1">
        <f t="shared" si="22"/>
        <v>0.75202720481260765</v>
      </c>
      <c r="S300" s="1">
        <f t="shared" si="23"/>
        <v>-0.73200986498561393</v>
      </c>
      <c r="T300" s="56">
        <f t="shared" si="24"/>
        <v>0.23512283056929673</v>
      </c>
    </row>
    <row r="301" spans="1:20" x14ac:dyDescent="0.25">
      <c r="A301">
        <v>0.3300217943984266</v>
      </c>
      <c r="B301">
        <v>1.8311402527615428</v>
      </c>
      <c r="D301">
        <v>0.29475290630794371</v>
      </c>
      <c r="E301">
        <v>-3.7344232202940475</v>
      </c>
      <c r="J301">
        <v>20</v>
      </c>
      <c r="K301">
        <v>-5.2850680276605999E-2</v>
      </c>
      <c r="L301">
        <v>13.458741335301669</v>
      </c>
      <c r="M301">
        <v>10</v>
      </c>
      <c r="N301">
        <v>0.52797338071286504</v>
      </c>
      <c r="O301">
        <v>105.49387683096847</v>
      </c>
      <c r="P301" s="1">
        <f t="shared" si="20"/>
        <v>4.2483077916525049</v>
      </c>
      <c r="Q301" s="1">
        <f t="shared" si="21"/>
        <v>0.63724616874787576</v>
      </c>
      <c r="R301" s="1">
        <f t="shared" si="22"/>
        <v>0.79827700001182278</v>
      </c>
      <c r="S301" s="1">
        <f t="shared" si="23"/>
        <v>-0.72759713856326669</v>
      </c>
      <c r="T301" s="56">
        <f t="shared" si="24"/>
        <v>0.23645046686591126</v>
      </c>
    </row>
    <row r="302" spans="1:20" x14ac:dyDescent="0.25">
      <c r="A302">
        <v>0.33124931068899777</v>
      </c>
      <c r="B302">
        <v>0.48212314140982926</v>
      </c>
      <c r="D302">
        <v>0.29515386006308064</v>
      </c>
      <c r="E302">
        <v>2.5211313607087504</v>
      </c>
      <c r="J302">
        <v>20</v>
      </c>
      <c r="K302">
        <v>0.29054200467726332</v>
      </c>
      <c r="L302">
        <v>20.884313873854719</v>
      </c>
      <c r="M302">
        <v>10</v>
      </c>
      <c r="N302">
        <v>0.66588222239261086</v>
      </c>
      <c r="O302">
        <v>29.999665841195178</v>
      </c>
      <c r="P302" s="1">
        <f t="shared" si="20"/>
        <v>1.8172849898232106</v>
      </c>
      <c r="Q302" s="1">
        <f t="shared" si="21"/>
        <v>0.27259274847348158</v>
      </c>
      <c r="R302" s="1">
        <f t="shared" si="22"/>
        <v>0.52210415481346395</v>
      </c>
      <c r="S302" s="1">
        <f t="shared" si="23"/>
        <v>-0.71889912052021143</v>
      </c>
      <c r="T302" s="56">
        <f t="shared" si="24"/>
        <v>0.23908009654561357</v>
      </c>
    </row>
    <row r="303" spans="1:20" x14ac:dyDescent="0.25">
      <c r="A303">
        <v>0.3316253438359521</v>
      </c>
      <c r="B303">
        <v>-0.59976628108415753</v>
      </c>
      <c r="D303">
        <v>0.29577188300939106</v>
      </c>
      <c r="E303">
        <v>-5.3706542109921429</v>
      </c>
      <c r="J303">
        <v>20</v>
      </c>
      <c r="K303">
        <v>-0.15903071926004486</v>
      </c>
      <c r="L303">
        <v>16.348273215682465</v>
      </c>
      <c r="M303">
        <v>10</v>
      </c>
      <c r="N303">
        <v>0.37988115423104318</v>
      </c>
      <c r="O303">
        <v>88.953605718101059</v>
      </c>
      <c r="P303" s="1">
        <f t="shared" si="20"/>
        <v>3.7607813904922689</v>
      </c>
      <c r="Q303" s="1">
        <f t="shared" si="21"/>
        <v>0.56411720857384029</v>
      </c>
      <c r="R303" s="1">
        <f t="shared" si="22"/>
        <v>0.7510773652386552</v>
      </c>
      <c r="S303" s="1">
        <f t="shared" si="23"/>
        <v>-0.7175184587274156</v>
      </c>
      <c r="T303" s="56">
        <f t="shared" si="24"/>
        <v>0.23949905032658647</v>
      </c>
    </row>
    <row r="304" spans="1:20" x14ac:dyDescent="0.25">
      <c r="A304">
        <v>0.33238970707090254</v>
      </c>
      <c r="B304">
        <v>-0.75333787208364811</v>
      </c>
      <c r="D304">
        <v>0.29640984107018775</v>
      </c>
      <c r="E304">
        <v>1.2027414834392403</v>
      </c>
      <c r="J304">
        <v>20</v>
      </c>
      <c r="K304">
        <v>-0.28125805329182185</v>
      </c>
      <c r="L304">
        <v>12.73401353268604</v>
      </c>
      <c r="M304">
        <v>10</v>
      </c>
      <c r="N304">
        <v>0.30849718882564048</v>
      </c>
      <c r="O304">
        <v>113.80492332073327</v>
      </c>
      <c r="P304" s="1">
        <f t="shared" si="20"/>
        <v>4.519247744764975</v>
      </c>
      <c r="Q304" s="1">
        <f t="shared" si="21"/>
        <v>0.67788716171474628</v>
      </c>
      <c r="R304" s="1">
        <f t="shared" si="22"/>
        <v>0.8233390320607582</v>
      </c>
      <c r="S304" s="1">
        <f t="shared" si="23"/>
        <v>-0.71629695563120277</v>
      </c>
      <c r="T304" s="56">
        <f t="shared" si="24"/>
        <v>0.23987006043220321</v>
      </c>
    </row>
    <row r="305" spans="1:20" x14ac:dyDescent="0.25">
      <c r="A305">
        <v>0.33400846078438295</v>
      </c>
      <c r="B305">
        <v>-6.5184622144442983E-2</v>
      </c>
      <c r="D305">
        <v>0.29665945181691955</v>
      </c>
      <c r="E305">
        <v>-3.0512994760556467</v>
      </c>
      <c r="J305">
        <v>20</v>
      </c>
      <c r="K305">
        <v>-3.0297769626486115E-2</v>
      </c>
      <c r="L305">
        <v>14.444380491729277</v>
      </c>
      <c r="M305">
        <v>10</v>
      </c>
      <c r="N305">
        <v>0.44885518605042307</v>
      </c>
      <c r="O305">
        <v>69.936804938899996</v>
      </c>
      <c r="P305" s="1">
        <f t="shared" si="20"/>
        <v>3.0136137653796169</v>
      </c>
      <c r="Q305" s="1">
        <f t="shared" si="21"/>
        <v>0.45204206480694253</v>
      </c>
      <c r="R305" s="1">
        <f t="shared" si="22"/>
        <v>0.67234073564446661</v>
      </c>
      <c r="S305" s="1">
        <f t="shared" si="23"/>
        <v>-0.71266387751683846</v>
      </c>
      <c r="T305" s="56">
        <f t="shared" si="24"/>
        <v>0.24097549532538265</v>
      </c>
    </row>
    <row r="306" spans="1:20" x14ac:dyDescent="0.25">
      <c r="A306">
        <v>0.33536886827548085</v>
      </c>
      <c r="B306">
        <v>-5.1620645535876974E-2</v>
      </c>
      <c r="D306">
        <v>0.29670844018152087</v>
      </c>
      <c r="E306">
        <v>-0.21553478632085898</v>
      </c>
      <c r="J306">
        <v>20</v>
      </c>
      <c r="K306">
        <v>9.934120726029505E-2</v>
      </c>
      <c r="L306">
        <v>14.318045268467024</v>
      </c>
      <c r="M306">
        <v>10</v>
      </c>
      <c r="N306">
        <v>0.44951070435672591</v>
      </c>
      <c r="O306">
        <v>30.99624283382731</v>
      </c>
      <c r="P306" s="1">
        <f t="shared" si="20"/>
        <v>1.6183674322247976</v>
      </c>
      <c r="Q306" s="1">
        <f t="shared" si="21"/>
        <v>0.24275511483371964</v>
      </c>
      <c r="R306" s="1">
        <f t="shared" si="22"/>
        <v>0.49270185186755655</v>
      </c>
      <c r="S306" s="1">
        <f t="shared" si="23"/>
        <v>-0.71071276831847607</v>
      </c>
      <c r="T306" s="56">
        <f t="shared" si="24"/>
        <v>0.24157036204650478</v>
      </c>
    </row>
    <row r="307" spans="1:20" x14ac:dyDescent="0.25">
      <c r="A307">
        <v>0.33543977228056843</v>
      </c>
      <c r="B307">
        <v>-0.59784497352666222</v>
      </c>
      <c r="D307">
        <v>0.29746240126424661</v>
      </c>
      <c r="E307">
        <v>-2.8338188292309496</v>
      </c>
      <c r="J307">
        <v>20</v>
      </c>
      <c r="K307">
        <v>7.9189760526787722E-2</v>
      </c>
      <c r="L307">
        <v>29.53416432842419</v>
      </c>
      <c r="M307">
        <v>10</v>
      </c>
      <c r="N307">
        <v>0.79642313380645646</v>
      </c>
      <c r="O307">
        <v>161.19571167911289</v>
      </c>
      <c r="P307" s="1">
        <f t="shared" si="20"/>
        <v>6.811781285983467</v>
      </c>
      <c r="Q307" s="1">
        <f t="shared" si="21"/>
        <v>1.02176719289752</v>
      </c>
      <c r="R307" s="1">
        <f t="shared" si="22"/>
        <v>1.0108250060705464</v>
      </c>
      <c r="S307" s="1">
        <f t="shared" si="23"/>
        <v>-0.70955246355432211</v>
      </c>
      <c r="T307" s="56">
        <f t="shared" si="24"/>
        <v>0.24192452150350691</v>
      </c>
    </row>
    <row r="308" spans="1:20" x14ac:dyDescent="0.25">
      <c r="A308">
        <v>0.33589254128981194</v>
      </c>
      <c r="B308">
        <v>-2.9035618354100734E-2</v>
      </c>
      <c r="D308">
        <v>0.29863906827369824</v>
      </c>
      <c r="E308">
        <v>4.7087480618301925</v>
      </c>
      <c r="J308">
        <v>20</v>
      </c>
      <c r="K308">
        <v>-0.23508926005888497</v>
      </c>
      <c r="L308">
        <v>20.110684288972035</v>
      </c>
      <c r="M308">
        <v>10</v>
      </c>
      <c r="N308">
        <v>0.35095342468594026</v>
      </c>
      <c r="O308">
        <v>107.45047576848195</v>
      </c>
      <c r="P308" s="1">
        <f t="shared" si="20"/>
        <v>4.5557557163376421</v>
      </c>
      <c r="Q308" s="1">
        <f t="shared" si="21"/>
        <v>0.68336335745064625</v>
      </c>
      <c r="R308" s="1">
        <f t="shared" si="22"/>
        <v>0.8266579446485991</v>
      </c>
      <c r="S308" s="1">
        <f t="shared" si="23"/>
        <v>-0.70893008231348209</v>
      </c>
      <c r="T308" s="56">
        <f t="shared" si="24"/>
        <v>0.24211461303832515</v>
      </c>
    </row>
    <row r="309" spans="1:20" x14ac:dyDescent="0.25">
      <c r="A309">
        <v>0.33736891743315378</v>
      </c>
      <c r="B309">
        <v>0.47886032916721888</v>
      </c>
      <c r="D309">
        <v>0.29867735818424634</v>
      </c>
      <c r="E309">
        <v>0.10407643117105181</v>
      </c>
      <c r="J309">
        <v>20</v>
      </c>
      <c r="K309">
        <v>0.49861586148836068</v>
      </c>
      <c r="L309">
        <v>21.082354792644352</v>
      </c>
      <c r="M309">
        <v>10</v>
      </c>
      <c r="N309">
        <v>1.0150504260764137</v>
      </c>
      <c r="O309">
        <v>78.838393269362896</v>
      </c>
      <c r="P309" s="1">
        <f t="shared" si="20"/>
        <v>3.5685981450716873</v>
      </c>
      <c r="Q309" s="1">
        <f t="shared" si="21"/>
        <v>0.53528972176075307</v>
      </c>
      <c r="R309" s="1">
        <f t="shared" si="22"/>
        <v>0.73163496482928769</v>
      </c>
      <c r="S309" s="1">
        <f t="shared" si="23"/>
        <v>-0.70586370172802315</v>
      </c>
      <c r="T309" s="56">
        <f t="shared" si="24"/>
        <v>0.24305241157289048</v>
      </c>
    </row>
    <row r="310" spans="1:20" x14ac:dyDescent="0.25">
      <c r="A310">
        <v>0.33854249072249998</v>
      </c>
      <c r="B310">
        <v>-1.0922394722001627</v>
      </c>
      <c r="D310">
        <v>0.30340034427648599</v>
      </c>
      <c r="E310">
        <v>3.4914758055037964</v>
      </c>
      <c r="J310">
        <v>20</v>
      </c>
      <c r="K310">
        <v>-5.2183736443112139E-2</v>
      </c>
      <c r="L310">
        <v>12.103402669881856</v>
      </c>
      <c r="M310">
        <v>10</v>
      </c>
      <c r="N310">
        <v>0.49560844331608678</v>
      </c>
      <c r="O310">
        <v>101.15921319926557</v>
      </c>
      <c r="P310" s="1">
        <f t="shared" si="20"/>
        <v>4.0450934238981224</v>
      </c>
      <c r="Q310" s="1">
        <f t="shared" si="21"/>
        <v>0.60676401358471832</v>
      </c>
      <c r="R310" s="1">
        <f t="shared" si="22"/>
        <v>0.77895058481569823</v>
      </c>
      <c r="S310" s="1">
        <f t="shared" si="23"/>
        <v>-0.70324381345551978</v>
      </c>
      <c r="T310" s="56">
        <f t="shared" si="24"/>
        <v>0.24385529655771004</v>
      </c>
    </row>
    <row r="311" spans="1:20" x14ac:dyDescent="0.25">
      <c r="A311">
        <v>0.33885566795779487</v>
      </c>
      <c r="B311">
        <v>2.3680149752181023</v>
      </c>
      <c r="D311">
        <v>0.30354853230456391</v>
      </c>
      <c r="E311">
        <v>3.5040131899677363</v>
      </c>
      <c r="J311">
        <v>20</v>
      </c>
      <c r="K311">
        <v>-6.3022127960721264E-2</v>
      </c>
      <c r="L311">
        <v>26.368135089434599</v>
      </c>
      <c r="M311">
        <v>10</v>
      </c>
      <c r="N311">
        <v>0.54386680062634696</v>
      </c>
      <c r="O311">
        <v>113.69421316416221</v>
      </c>
      <c r="P311" s="1">
        <f t="shared" si="20"/>
        <v>5.0022267233427433</v>
      </c>
      <c r="Q311" s="1">
        <f t="shared" si="21"/>
        <v>0.75033400850141152</v>
      </c>
      <c r="R311" s="1">
        <f t="shared" si="22"/>
        <v>0.86621822221736455</v>
      </c>
      <c r="S311" s="1">
        <f t="shared" si="23"/>
        <v>-0.70061898147737012</v>
      </c>
      <c r="T311" s="56">
        <f t="shared" si="24"/>
        <v>0.24466120774803385</v>
      </c>
    </row>
    <row r="312" spans="1:20" x14ac:dyDescent="0.25">
      <c r="A312">
        <v>0.34012693689067874</v>
      </c>
      <c r="B312">
        <v>-0.8701317710801959</v>
      </c>
      <c r="D312">
        <v>0.30359477251497302</v>
      </c>
      <c r="E312">
        <v>-1.8409848541978135</v>
      </c>
      <c r="J312">
        <v>20</v>
      </c>
      <c r="K312">
        <v>-0.10001696182371234</v>
      </c>
      <c r="L312">
        <v>16.390340899981023</v>
      </c>
      <c r="M312">
        <v>10</v>
      </c>
      <c r="N312">
        <v>0.55395332424268418</v>
      </c>
      <c r="O312">
        <v>146.26722513221213</v>
      </c>
      <c r="P312" s="1">
        <f t="shared" si="20"/>
        <v>5.8091987868640418</v>
      </c>
      <c r="Q312" s="1">
        <f t="shared" si="21"/>
        <v>0.87137981802960629</v>
      </c>
      <c r="R312" s="1">
        <f t="shared" si="22"/>
        <v>0.93347727236907396</v>
      </c>
      <c r="S312" s="1">
        <f t="shared" si="23"/>
        <v>-0.70057440649485114</v>
      </c>
      <c r="T312" s="56">
        <f t="shared" si="24"/>
        <v>0.24467490680462473</v>
      </c>
    </row>
    <row r="313" spans="1:20" x14ac:dyDescent="0.25">
      <c r="A313">
        <v>0.34054893647832929</v>
      </c>
      <c r="B313">
        <v>-0.17752427083905786</v>
      </c>
      <c r="D313">
        <v>0.30447122115297909</v>
      </c>
      <c r="E313">
        <v>-2.7632329454263527</v>
      </c>
      <c r="J313">
        <v>20</v>
      </c>
      <c r="K313">
        <v>-0.36275616821512813</v>
      </c>
      <c r="L313">
        <v>18.181230144543179</v>
      </c>
      <c r="M313">
        <v>10</v>
      </c>
      <c r="N313">
        <v>0.18401828697278688</v>
      </c>
      <c r="O313">
        <v>96.253600389807374</v>
      </c>
      <c r="P313" s="1">
        <f t="shared" si="20"/>
        <v>4.0869582333696624</v>
      </c>
      <c r="Q313" s="1">
        <f t="shared" si="21"/>
        <v>0.61304373500544929</v>
      </c>
      <c r="R313" s="1">
        <f t="shared" si="22"/>
        <v>0.78297109461681236</v>
      </c>
      <c r="S313" s="1">
        <f t="shared" si="23"/>
        <v>-0.69833287454309856</v>
      </c>
      <c r="T313" s="56">
        <f t="shared" si="24"/>
        <v>0.24536434937658896</v>
      </c>
    </row>
    <row r="314" spans="1:20" x14ac:dyDescent="0.25">
      <c r="A314">
        <v>0.34119408626281467</v>
      </c>
      <c r="B314">
        <v>-0.19332333067723084</v>
      </c>
      <c r="D314">
        <v>0.30725413903872534</v>
      </c>
      <c r="E314">
        <v>1.2070047398538009</v>
      </c>
      <c r="J314">
        <v>20</v>
      </c>
      <c r="K314">
        <v>-3.6300207284511998E-4</v>
      </c>
      <c r="L314">
        <v>14.632624181972076</v>
      </c>
      <c r="M314">
        <v>10</v>
      </c>
      <c r="N314">
        <v>0.5860177873273642</v>
      </c>
      <c r="O314">
        <v>118.93110036816836</v>
      </c>
      <c r="P314" s="1">
        <f t="shared" si="20"/>
        <v>4.7701330196478722</v>
      </c>
      <c r="Q314" s="1">
        <f t="shared" si="21"/>
        <v>0.71551995294718085</v>
      </c>
      <c r="R314" s="1">
        <f t="shared" si="22"/>
        <v>0.84588412501191956</v>
      </c>
      <c r="S314" s="1">
        <f t="shared" si="23"/>
        <v>-0.69321644899287649</v>
      </c>
      <c r="T314" s="56">
        <f t="shared" si="24"/>
        <v>0.2469421580632899</v>
      </c>
    </row>
    <row r="315" spans="1:20" x14ac:dyDescent="0.25">
      <c r="A315">
        <v>0.34179511298109533</v>
      </c>
      <c r="B315">
        <v>-1.7089178072637878</v>
      </c>
      <c r="D315">
        <v>0.30737316010025362</v>
      </c>
      <c r="E315">
        <v>1.6030714925818756</v>
      </c>
      <c r="J315">
        <v>20</v>
      </c>
      <c r="K315">
        <v>-0.4082151576767501</v>
      </c>
      <c r="L315">
        <v>15.56288944224797</v>
      </c>
      <c r="M315">
        <v>10</v>
      </c>
      <c r="N315">
        <v>0.13534826962313673</v>
      </c>
      <c r="O315">
        <v>99.420258021994414</v>
      </c>
      <c r="P315" s="1">
        <f t="shared" si="20"/>
        <v>4.1065409808657991</v>
      </c>
      <c r="Q315" s="1">
        <f t="shared" si="21"/>
        <v>0.61598114712986984</v>
      </c>
      <c r="R315" s="1">
        <f t="shared" si="22"/>
        <v>0.78484466433165601</v>
      </c>
      <c r="S315" s="1">
        <f t="shared" si="23"/>
        <v>-0.69257453353876697</v>
      </c>
      <c r="T315" s="56">
        <f t="shared" si="24"/>
        <v>0.24714051606682924</v>
      </c>
    </row>
    <row r="316" spans="1:20" x14ac:dyDescent="0.25">
      <c r="A316">
        <v>0.34220108492173351</v>
      </c>
      <c r="B316">
        <v>-0.98779764812206849</v>
      </c>
      <c r="D316">
        <v>0.30846150780525761</v>
      </c>
      <c r="E316">
        <v>-2.9552431931278988</v>
      </c>
      <c r="J316">
        <v>20</v>
      </c>
      <c r="K316">
        <v>0.18952209757117089</v>
      </c>
      <c r="L316">
        <v>15.925305164043506</v>
      </c>
      <c r="M316">
        <v>10</v>
      </c>
      <c r="N316">
        <v>0.7238676255383325</v>
      </c>
      <c r="O316">
        <v>95.843831021477044</v>
      </c>
      <c r="P316" s="1">
        <f t="shared" si="20"/>
        <v>3.9917548637685911</v>
      </c>
      <c r="Q316" s="1">
        <f t="shared" si="21"/>
        <v>0.5987632295652886</v>
      </c>
      <c r="R316" s="1">
        <f t="shared" si="22"/>
        <v>0.77379792553695093</v>
      </c>
      <c r="S316" s="1">
        <f t="shared" si="23"/>
        <v>-0.69054918646411545</v>
      </c>
      <c r="T316" s="56">
        <f t="shared" si="24"/>
        <v>0.24776695621642492</v>
      </c>
    </row>
    <row r="317" spans="1:20" x14ac:dyDescent="0.25">
      <c r="A317">
        <v>0.34276141882084976</v>
      </c>
      <c r="B317">
        <v>-1.1795827958849259</v>
      </c>
      <c r="D317">
        <v>0.30906446415574029</v>
      </c>
      <c r="E317">
        <v>0.28561612111843715</v>
      </c>
      <c r="J317">
        <v>20</v>
      </c>
      <c r="K317">
        <v>0.23515110569860553</v>
      </c>
      <c r="L317">
        <v>14.169767218573266</v>
      </c>
      <c r="M317">
        <v>10</v>
      </c>
      <c r="N317">
        <v>0.71449289521297032</v>
      </c>
      <c r="O317">
        <v>75.935887590812627</v>
      </c>
      <c r="P317" s="1">
        <f t="shared" si="20"/>
        <v>3.2180591003352106</v>
      </c>
      <c r="Q317" s="1">
        <f t="shared" si="21"/>
        <v>0.48270886505028154</v>
      </c>
      <c r="R317" s="1">
        <f t="shared" si="22"/>
        <v>0.69477252755868346</v>
      </c>
      <c r="S317" s="1">
        <f t="shared" si="23"/>
        <v>-0.68992622837102258</v>
      </c>
      <c r="T317" s="56">
        <f t="shared" si="24"/>
        <v>0.24795981685571922</v>
      </c>
    </row>
    <row r="318" spans="1:20" x14ac:dyDescent="0.25">
      <c r="A318">
        <v>0.34340304608734662</v>
      </c>
      <c r="B318">
        <v>-2.3142092686612159E-2</v>
      </c>
      <c r="D318">
        <v>0.31001965899147021</v>
      </c>
      <c r="E318">
        <v>-1.6095343687538843</v>
      </c>
      <c r="J318">
        <v>20</v>
      </c>
      <c r="K318">
        <v>-9.889589591693948E-2</v>
      </c>
      <c r="L318">
        <v>23.471591942109299</v>
      </c>
      <c r="M318">
        <v>10</v>
      </c>
      <c r="N318">
        <v>0.45481590063900512</v>
      </c>
      <c r="O318">
        <v>99.35648631023831</v>
      </c>
      <c r="P318" s="1">
        <f t="shared" si="20"/>
        <v>4.3867170804409863</v>
      </c>
      <c r="Q318" s="1">
        <f t="shared" si="21"/>
        <v>0.65800756206614797</v>
      </c>
      <c r="R318" s="1">
        <f t="shared" si="22"/>
        <v>0.81117665281130225</v>
      </c>
      <c r="S318" s="1">
        <f t="shared" si="23"/>
        <v>-0.68260322167426868</v>
      </c>
      <c r="T318" s="56">
        <f t="shared" si="24"/>
        <v>0.25023325536674412</v>
      </c>
    </row>
    <row r="319" spans="1:20" x14ac:dyDescent="0.25">
      <c r="A319">
        <v>0.34863871388410006</v>
      </c>
      <c r="B319">
        <v>0.23504640012106393</v>
      </c>
      <c r="D319">
        <v>0.31062775573139079</v>
      </c>
      <c r="E319">
        <v>2.0327190634361614</v>
      </c>
      <c r="J319">
        <v>20</v>
      </c>
      <c r="K319">
        <v>0.15486455140489852</v>
      </c>
      <c r="L319">
        <v>12.953798563400341</v>
      </c>
      <c r="M319">
        <v>10</v>
      </c>
      <c r="N319">
        <v>0.74295985200478754</v>
      </c>
      <c r="O319">
        <v>125.68680131827776</v>
      </c>
      <c r="P319" s="1">
        <f t="shared" si="20"/>
        <v>4.951449995774218</v>
      </c>
      <c r="Q319" s="1">
        <f t="shared" si="21"/>
        <v>0.74271749936613263</v>
      </c>
      <c r="R319" s="1">
        <f t="shared" si="22"/>
        <v>0.86181059367249169</v>
      </c>
      <c r="S319" s="1">
        <f t="shared" si="23"/>
        <v>-0.68239507023671964</v>
      </c>
      <c r="T319" s="56">
        <f t="shared" si="24"/>
        <v>0.25029804623426943</v>
      </c>
    </row>
    <row r="320" spans="1:20" x14ac:dyDescent="0.25">
      <c r="A320">
        <v>0.3503699860585574</v>
      </c>
      <c r="B320">
        <v>-0.57522129282006063</v>
      </c>
      <c r="D320">
        <v>0.31182971521947211</v>
      </c>
      <c r="E320">
        <v>-6.1810685599539283</v>
      </c>
      <c r="J320">
        <v>20</v>
      </c>
      <c r="K320">
        <v>0.1464886167923396</v>
      </c>
      <c r="L320">
        <v>13.029681629503528</v>
      </c>
      <c r="M320">
        <v>10</v>
      </c>
      <c r="N320">
        <v>0.88857188643487461</v>
      </c>
      <c r="O320">
        <v>207.72048009525531</v>
      </c>
      <c r="P320" s="1">
        <f t="shared" si="20"/>
        <v>7.8839343473128158</v>
      </c>
      <c r="Q320" s="1">
        <f t="shared" si="21"/>
        <v>1.1825901520969224</v>
      </c>
      <c r="R320" s="1">
        <f t="shared" si="22"/>
        <v>1.0874696097348755</v>
      </c>
      <c r="S320" s="1">
        <f t="shared" si="23"/>
        <v>-0.68239448992368124</v>
      </c>
      <c r="T320" s="56">
        <f t="shared" si="24"/>
        <v>0.2502982268802163</v>
      </c>
    </row>
    <row r="321" spans="1:20" x14ac:dyDescent="0.25">
      <c r="A321">
        <v>0.35128515525068649</v>
      </c>
      <c r="B321">
        <v>-0.33062406146200374</v>
      </c>
      <c r="D321">
        <v>0.31249744571133931</v>
      </c>
      <c r="E321">
        <v>-0.80801487797543814</v>
      </c>
      <c r="J321">
        <v>20</v>
      </c>
      <c r="K321">
        <v>0.32964823049042025</v>
      </c>
      <c r="L321">
        <v>16.340083956891668</v>
      </c>
      <c r="M321">
        <v>10</v>
      </c>
      <c r="N321">
        <v>0.96459018209316127</v>
      </c>
      <c r="O321">
        <v>147.88892620060093</v>
      </c>
      <c r="P321" s="1">
        <f t="shared" si="20"/>
        <v>5.8653217913390217</v>
      </c>
      <c r="Q321" s="1">
        <f t="shared" si="21"/>
        <v>0.8797982687008532</v>
      </c>
      <c r="R321" s="1">
        <f t="shared" si="22"/>
        <v>0.93797562265810153</v>
      </c>
      <c r="S321" s="1">
        <f t="shared" si="23"/>
        <v>-0.67692798860102321</v>
      </c>
      <c r="T321" s="56">
        <f t="shared" si="24"/>
        <v>0.25200312643780959</v>
      </c>
    </row>
    <row r="322" spans="1:20" x14ac:dyDescent="0.25">
      <c r="A322">
        <v>0.35279436952093801</v>
      </c>
      <c r="B322">
        <v>-1.3492672223947011</v>
      </c>
      <c r="D322">
        <v>0.3141702413646259</v>
      </c>
      <c r="E322">
        <v>1.1040590345601231</v>
      </c>
      <c r="J322">
        <v>20</v>
      </c>
      <c r="K322">
        <v>-0.13162559753254754</v>
      </c>
      <c r="L322">
        <v>6.712485735936415</v>
      </c>
      <c r="M322">
        <v>10</v>
      </c>
      <c r="N322">
        <v>0.2271863161240617</v>
      </c>
      <c r="O322">
        <v>46.727992736936585</v>
      </c>
      <c r="P322" s="1">
        <f t="shared" ref="P322:P385" si="25">(L322+O322)/(J322+M322-2)</f>
        <v>1.9085885168883212</v>
      </c>
      <c r="Q322" s="1">
        <f t="shared" ref="Q322:Q385" si="26">P322*0.15</f>
        <v>0.28628827753324815</v>
      </c>
      <c r="R322" s="1">
        <f t="shared" ref="R322:R385" si="27">SQRT(Q322)</f>
        <v>0.53505913461340715</v>
      </c>
      <c r="S322" s="1">
        <f t="shared" ref="S322:S385" si="28">(K322-N322)/R322</f>
        <v>-0.67060235111369382</v>
      </c>
      <c r="T322" s="56">
        <f t="shared" ref="T322:T385" si="29">_xlfn.T.DIST(S322,28,TRUE)</f>
        <v>0.25398401187349184</v>
      </c>
    </row>
    <row r="323" spans="1:20" x14ac:dyDescent="0.25">
      <c r="A323">
        <v>0.3531356188213679</v>
      </c>
      <c r="B323">
        <v>0.60692400438711047</v>
      </c>
      <c r="D323">
        <v>0.31494245108006813</v>
      </c>
      <c r="E323">
        <v>-1.7817051264046313</v>
      </c>
      <c r="J323">
        <v>20</v>
      </c>
      <c r="K323">
        <v>0.28340565449980204</v>
      </c>
      <c r="L323">
        <v>12.277932053228081</v>
      </c>
      <c r="M323">
        <v>10</v>
      </c>
      <c r="N323">
        <v>0.81992629588967247</v>
      </c>
      <c r="O323">
        <v>107.29330220134254</v>
      </c>
      <c r="P323" s="1">
        <f t="shared" si="25"/>
        <v>4.2704012233775224</v>
      </c>
      <c r="Q323" s="1">
        <f t="shared" si="26"/>
        <v>0.64056018350662836</v>
      </c>
      <c r="R323" s="1">
        <f t="shared" si="27"/>
        <v>0.80035003811246763</v>
      </c>
      <c r="S323" s="1">
        <f t="shared" si="28"/>
        <v>-0.67035748839994047</v>
      </c>
      <c r="T323" s="56">
        <f t="shared" si="29"/>
        <v>0.25406086393653637</v>
      </c>
    </row>
    <row r="324" spans="1:20" x14ac:dyDescent="0.25">
      <c r="A324">
        <v>0.35854477330014178</v>
      </c>
      <c r="B324">
        <v>1.3714588931179605</v>
      </c>
      <c r="D324">
        <v>0.31706239474551767</v>
      </c>
      <c r="E324">
        <v>0.27106647962682473</v>
      </c>
      <c r="J324">
        <v>20</v>
      </c>
      <c r="K324">
        <v>4.573070100377663E-2</v>
      </c>
      <c r="L324">
        <v>21.226848730847745</v>
      </c>
      <c r="M324">
        <v>10</v>
      </c>
      <c r="N324">
        <v>0.54568294785894977</v>
      </c>
      <c r="O324">
        <v>83.036208335524464</v>
      </c>
      <c r="P324" s="1">
        <f t="shared" si="25"/>
        <v>3.7236806095132935</v>
      </c>
      <c r="Q324" s="1">
        <f t="shared" si="26"/>
        <v>0.55855209142699402</v>
      </c>
      <c r="R324" s="1">
        <f t="shared" si="27"/>
        <v>0.74736342660515176</v>
      </c>
      <c r="S324" s="1">
        <f t="shared" si="28"/>
        <v>-0.66895465988504776</v>
      </c>
      <c r="T324" s="56">
        <f t="shared" si="29"/>
        <v>0.25450140036568653</v>
      </c>
    </row>
    <row r="325" spans="1:20" x14ac:dyDescent="0.25">
      <c r="A325">
        <v>0.36066422855863167</v>
      </c>
      <c r="B325">
        <v>0.69370116762001999</v>
      </c>
      <c r="D325">
        <v>0.31748476339615284</v>
      </c>
      <c r="E325">
        <v>3.8275022654943314</v>
      </c>
      <c r="J325">
        <v>20</v>
      </c>
      <c r="K325">
        <v>-0.28133820251241559</v>
      </c>
      <c r="L325">
        <v>13.794824190369006</v>
      </c>
      <c r="M325">
        <v>10</v>
      </c>
      <c r="N325">
        <v>0.13536736901187396</v>
      </c>
      <c r="O325">
        <v>59.310567842088261</v>
      </c>
      <c r="P325" s="1">
        <f t="shared" si="25"/>
        <v>2.6109068583020454</v>
      </c>
      <c r="Q325" s="1">
        <f t="shared" si="26"/>
        <v>0.39163602874530679</v>
      </c>
      <c r="R325" s="1">
        <f t="shared" si="27"/>
        <v>0.62580830031672385</v>
      </c>
      <c r="S325" s="1">
        <f t="shared" si="28"/>
        <v>-0.66586776064394371</v>
      </c>
      <c r="T325" s="56">
        <f t="shared" si="29"/>
        <v>0.2554722770482078</v>
      </c>
    </row>
    <row r="326" spans="1:20" x14ac:dyDescent="0.25">
      <c r="A326">
        <v>0.36670095803027414</v>
      </c>
      <c r="B326">
        <v>0.77629465522477403</v>
      </c>
      <c r="D326">
        <v>0.31753358300619516</v>
      </c>
      <c r="E326">
        <v>-0.36122560572948714</v>
      </c>
      <c r="J326">
        <v>20</v>
      </c>
      <c r="K326">
        <v>0.25494438204987091</v>
      </c>
      <c r="L326">
        <v>25.914323263916732</v>
      </c>
      <c r="M326">
        <v>10</v>
      </c>
      <c r="N326">
        <v>0.78232028158708999</v>
      </c>
      <c r="O326">
        <v>91.260009115856718</v>
      </c>
      <c r="P326" s="1">
        <f t="shared" si="25"/>
        <v>4.1847975849919088</v>
      </c>
      <c r="Q326" s="1">
        <f t="shared" si="26"/>
        <v>0.62771963774878625</v>
      </c>
      <c r="R326" s="1">
        <f t="shared" si="27"/>
        <v>0.792287597876419</v>
      </c>
      <c r="S326" s="1">
        <f t="shared" si="28"/>
        <v>-0.66563694919717675</v>
      </c>
      <c r="T326" s="56">
        <f t="shared" si="29"/>
        <v>0.25554495265357624</v>
      </c>
    </row>
    <row r="327" spans="1:20" x14ac:dyDescent="0.25">
      <c r="A327">
        <v>0.36738431655882897</v>
      </c>
      <c r="B327">
        <v>-0.57260535868408624</v>
      </c>
      <c r="D327">
        <v>0.31877138939175098</v>
      </c>
      <c r="E327">
        <v>1.3518770140308334</v>
      </c>
      <c r="J327">
        <v>20</v>
      </c>
      <c r="K327">
        <v>0.15223599802993704</v>
      </c>
      <c r="L327">
        <v>11.50626692053916</v>
      </c>
      <c r="M327">
        <v>10</v>
      </c>
      <c r="N327">
        <v>0.46977856641206017</v>
      </c>
      <c r="O327">
        <v>31.351248084950726</v>
      </c>
      <c r="P327" s="1">
        <f t="shared" si="25"/>
        <v>1.5306255359103531</v>
      </c>
      <c r="Q327" s="1">
        <f t="shared" si="26"/>
        <v>0.22959383038655296</v>
      </c>
      <c r="R327" s="1">
        <f t="shared" si="27"/>
        <v>0.47915950411794289</v>
      </c>
      <c r="S327" s="1">
        <f t="shared" si="28"/>
        <v>-0.66270744011781413</v>
      </c>
      <c r="T327" s="56">
        <f t="shared" si="29"/>
        <v>0.25646835583160349</v>
      </c>
    </row>
    <row r="328" spans="1:20" x14ac:dyDescent="0.25">
      <c r="A328">
        <v>0.36829054453951671</v>
      </c>
      <c r="B328">
        <v>-0.31466811378777493</v>
      </c>
      <c r="D328">
        <v>0.31942376215480239</v>
      </c>
      <c r="E328">
        <v>-6.2505630501163978</v>
      </c>
      <c r="J328">
        <v>20</v>
      </c>
      <c r="K328">
        <v>0.10122323601535754</v>
      </c>
      <c r="L328">
        <v>24.978951311584794</v>
      </c>
      <c r="M328">
        <v>10</v>
      </c>
      <c r="N328">
        <v>0.80957510931511933</v>
      </c>
      <c r="O328">
        <v>193.73505649191722</v>
      </c>
      <c r="P328" s="1">
        <f t="shared" si="25"/>
        <v>7.8112145644107853</v>
      </c>
      <c r="Q328" s="1">
        <f t="shared" si="26"/>
        <v>1.1716821846616177</v>
      </c>
      <c r="R328" s="1">
        <f t="shared" si="27"/>
        <v>1.0824426934769422</v>
      </c>
      <c r="S328" s="1">
        <f t="shared" si="28"/>
        <v>-0.65440126998727888</v>
      </c>
      <c r="T328" s="56">
        <f t="shared" si="29"/>
        <v>0.25909645811892651</v>
      </c>
    </row>
    <row r="329" spans="1:20" x14ac:dyDescent="0.25">
      <c r="A329">
        <v>0.36950889346185534</v>
      </c>
      <c r="B329">
        <v>0.19979665921709966</v>
      </c>
      <c r="D329">
        <v>0.3212367670464612</v>
      </c>
      <c r="E329">
        <v>-0.69773637164871616</v>
      </c>
      <c r="J329">
        <v>20</v>
      </c>
      <c r="K329">
        <v>-0.4896716063740314</v>
      </c>
      <c r="L329">
        <v>18.856407589932932</v>
      </c>
      <c r="M329">
        <v>10</v>
      </c>
      <c r="N329">
        <v>-0.16511069475200202</v>
      </c>
      <c r="O329">
        <v>27.296612856373482</v>
      </c>
      <c r="P329" s="1">
        <f t="shared" si="25"/>
        <v>1.6483221587966577</v>
      </c>
      <c r="Q329" s="1">
        <f t="shared" si="26"/>
        <v>0.24724832381949863</v>
      </c>
      <c r="R329" s="1">
        <f t="shared" si="27"/>
        <v>0.49724071013896137</v>
      </c>
      <c r="S329" s="1">
        <f t="shared" si="28"/>
        <v>-0.65272393230096937</v>
      </c>
      <c r="T329" s="56">
        <f t="shared" si="29"/>
        <v>0.25962895043785039</v>
      </c>
    </row>
    <row r="330" spans="1:20" x14ac:dyDescent="0.25">
      <c r="A330">
        <v>0.36963270475164789</v>
      </c>
      <c r="B330">
        <v>2.8227805159986019</v>
      </c>
      <c r="D330">
        <v>0.32143563090172012</v>
      </c>
      <c r="E330">
        <v>-1.794699531956212</v>
      </c>
      <c r="J330">
        <v>20</v>
      </c>
      <c r="K330">
        <v>-0.24593310854470474</v>
      </c>
      <c r="L330">
        <v>26.43616650207689</v>
      </c>
      <c r="M330">
        <v>10</v>
      </c>
      <c r="N330">
        <v>0.38100324331935553</v>
      </c>
      <c r="O330">
        <v>146.5754859079766</v>
      </c>
      <c r="P330" s="1">
        <f t="shared" si="25"/>
        <v>6.1789875860733394</v>
      </c>
      <c r="Q330" s="1">
        <f t="shared" si="26"/>
        <v>0.92684813791100085</v>
      </c>
      <c r="R330" s="1">
        <f t="shared" si="27"/>
        <v>0.96272952479447771</v>
      </c>
      <c r="S330" s="1">
        <f t="shared" si="28"/>
        <v>-0.65120715187154754</v>
      </c>
      <c r="T330" s="56">
        <f t="shared" si="29"/>
        <v>0.26011098420037898</v>
      </c>
    </row>
    <row r="331" spans="1:20" x14ac:dyDescent="0.25">
      <c r="A331">
        <v>0.372066175037292</v>
      </c>
      <c r="B331">
        <v>-0.20737275008286815</v>
      </c>
      <c r="D331">
        <v>0.32186550994446528</v>
      </c>
      <c r="E331">
        <v>-1.7795428027511662</v>
      </c>
      <c r="J331">
        <v>20</v>
      </c>
      <c r="K331">
        <v>-0.17713534816721221</v>
      </c>
      <c r="L331">
        <v>12.573843752814714</v>
      </c>
      <c r="M331">
        <v>10</v>
      </c>
      <c r="N331">
        <v>0.24122573108797951</v>
      </c>
      <c r="O331">
        <v>65.728348483303066</v>
      </c>
      <c r="P331" s="1">
        <f t="shared" si="25"/>
        <v>2.7965068655756347</v>
      </c>
      <c r="Q331" s="1">
        <f t="shared" si="26"/>
        <v>0.41947602983634519</v>
      </c>
      <c r="R331" s="1">
        <f t="shared" si="27"/>
        <v>0.64766969192354928</v>
      </c>
      <c r="S331" s="1">
        <f t="shared" si="28"/>
        <v>-0.64594821167666272</v>
      </c>
      <c r="T331" s="56">
        <f t="shared" si="29"/>
        <v>0.26178603858213423</v>
      </c>
    </row>
    <row r="332" spans="1:20" x14ac:dyDescent="0.25">
      <c r="A332">
        <v>0.37264484689006783</v>
      </c>
      <c r="B332">
        <v>-0.96878693511825986</v>
      </c>
      <c r="D332">
        <v>0.32218398621470357</v>
      </c>
      <c r="E332">
        <v>1.783165085953442</v>
      </c>
      <c r="J332">
        <v>20</v>
      </c>
      <c r="K332">
        <v>-0.27197461349715013</v>
      </c>
      <c r="L332">
        <v>16.177747823276334</v>
      </c>
      <c r="M332">
        <v>10</v>
      </c>
      <c r="N332">
        <v>0.17684680756246962</v>
      </c>
      <c r="O332">
        <v>74.315160773095172</v>
      </c>
      <c r="P332" s="1">
        <f t="shared" si="25"/>
        <v>3.2318895927275539</v>
      </c>
      <c r="Q332" s="1">
        <f t="shared" si="26"/>
        <v>0.48478343890913306</v>
      </c>
      <c r="R332" s="1">
        <f t="shared" si="27"/>
        <v>0.69626391469695814</v>
      </c>
      <c r="S332" s="1">
        <f t="shared" si="28"/>
        <v>-0.64461393386294441</v>
      </c>
      <c r="T332" s="56">
        <f t="shared" si="29"/>
        <v>0.26221195301970263</v>
      </c>
    </row>
    <row r="333" spans="1:20" x14ac:dyDescent="0.25">
      <c r="A333">
        <v>0.37355181051663078</v>
      </c>
      <c r="B333">
        <v>-1.0440612641104963</v>
      </c>
      <c r="D333">
        <v>0.32256863577052775</v>
      </c>
      <c r="E333">
        <v>-2.2263354856022488</v>
      </c>
      <c r="J333">
        <v>20</v>
      </c>
      <c r="K333">
        <v>7.4298100116720889E-2</v>
      </c>
      <c r="L333">
        <v>18.35176823517596</v>
      </c>
      <c r="M333">
        <v>10</v>
      </c>
      <c r="N333">
        <v>0.49013203465619881</v>
      </c>
      <c r="O333">
        <v>59.628124098082871</v>
      </c>
      <c r="P333" s="1">
        <f t="shared" si="25"/>
        <v>2.7849961547592441</v>
      </c>
      <c r="Q333" s="1">
        <f t="shared" si="26"/>
        <v>0.41774942321388658</v>
      </c>
      <c r="R333" s="1">
        <f t="shared" si="27"/>
        <v>0.64633537982527811</v>
      </c>
      <c r="S333" s="1">
        <f t="shared" si="28"/>
        <v>-0.64337176567974519</v>
      </c>
      <c r="T333" s="56">
        <f t="shared" si="29"/>
        <v>0.26260880136367853</v>
      </c>
    </row>
    <row r="334" spans="1:20" x14ac:dyDescent="0.25">
      <c r="A334">
        <v>0.37458120171815146</v>
      </c>
      <c r="B334">
        <v>1.2996179066249169</v>
      </c>
      <c r="D334">
        <v>0.32284178516131168</v>
      </c>
      <c r="E334">
        <v>-1.2145249036166206</v>
      </c>
      <c r="J334">
        <v>20</v>
      </c>
      <c r="K334">
        <v>2.9302725579327671E-2</v>
      </c>
      <c r="L334">
        <v>13.246052479798143</v>
      </c>
      <c r="M334">
        <v>10</v>
      </c>
      <c r="N334">
        <v>0.36305254639046325</v>
      </c>
      <c r="O334">
        <v>37.266409116181968</v>
      </c>
      <c r="P334" s="1">
        <f t="shared" si="25"/>
        <v>1.8040164855707184</v>
      </c>
      <c r="Q334" s="1">
        <f t="shared" si="26"/>
        <v>0.27060247283560773</v>
      </c>
      <c r="R334" s="1">
        <f t="shared" si="27"/>
        <v>0.52019464898786472</v>
      </c>
      <c r="S334" s="1">
        <f t="shared" si="28"/>
        <v>-0.6415864166625086</v>
      </c>
      <c r="T334" s="56">
        <f t="shared" si="29"/>
        <v>0.26317975242236324</v>
      </c>
    </row>
    <row r="335" spans="1:20" x14ac:dyDescent="0.25">
      <c r="A335">
        <v>0.37464006066878808</v>
      </c>
      <c r="B335">
        <v>-0.83005716078332625</v>
      </c>
      <c r="D335">
        <v>0.32558598287503437</v>
      </c>
      <c r="E335">
        <v>6.6705008487133455</v>
      </c>
      <c r="J335">
        <v>20</v>
      </c>
      <c r="K335">
        <v>-0.33224404205611791</v>
      </c>
      <c r="L335">
        <v>22.377567903827853</v>
      </c>
      <c r="M335">
        <v>10</v>
      </c>
      <c r="N335">
        <v>0.12473651281652565</v>
      </c>
      <c r="O335">
        <v>73.431136684900736</v>
      </c>
      <c r="P335" s="1">
        <f t="shared" si="25"/>
        <v>3.4217394495974496</v>
      </c>
      <c r="Q335" s="1">
        <f t="shared" si="26"/>
        <v>0.51326091743961744</v>
      </c>
      <c r="R335" s="1">
        <f t="shared" si="27"/>
        <v>0.71642230384014249</v>
      </c>
      <c r="S335" s="1">
        <f t="shared" si="28"/>
        <v>-0.63786477950665676</v>
      </c>
      <c r="T335" s="56">
        <f t="shared" si="29"/>
        <v>0.26437207073472802</v>
      </c>
    </row>
    <row r="336" spans="1:20" x14ac:dyDescent="0.25">
      <c r="A336">
        <v>0.37608946786212039</v>
      </c>
      <c r="B336">
        <v>-1.0664894034562167</v>
      </c>
      <c r="D336">
        <v>0.32611913687283434</v>
      </c>
      <c r="E336">
        <v>2.9405266525373008</v>
      </c>
      <c r="J336">
        <v>20</v>
      </c>
      <c r="K336">
        <v>5.995531182634295E-2</v>
      </c>
      <c r="L336">
        <v>19.073445165885946</v>
      </c>
      <c r="M336">
        <v>10</v>
      </c>
      <c r="N336">
        <v>0.57327713079757814</v>
      </c>
      <c r="O336">
        <v>104.51814245998642</v>
      </c>
      <c r="P336" s="1">
        <f t="shared" si="25"/>
        <v>4.4139852723525843</v>
      </c>
      <c r="Q336" s="1">
        <f t="shared" si="26"/>
        <v>0.66209779085288767</v>
      </c>
      <c r="R336" s="1">
        <f t="shared" si="27"/>
        <v>0.81369391717825179</v>
      </c>
      <c r="S336" s="1">
        <f t="shared" si="28"/>
        <v>-0.63085370080108927</v>
      </c>
      <c r="T336" s="56">
        <f t="shared" si="29"/>
        <v>0.26662609399468362</v>
      </c>
    </row>
    <row r="337" spans="1:20" x14ac:dyDescent="0.25">
      <c r="A337">
        <v>0.37635632333784674</v>
      </c>
      <c r="B337">
        <v>1.4173633644531947</v>
      </c>
      <c r="D337">
        <v>0.32627429361608051</v>
      </c>
      <c r="E337">
        <v>-0.53874078162152728</v>
      </c>
      <c r="J337">
        <v>20</v>
      </c>
      <c r="K337">
        <v>7.0887097081140382E-2</v>
      </c>
      <c r="L337">
        <v>31.254928421364987</v>
      </c>
      <c r="M337">
        <v>10</v>
      </c>
      <c r="N337">
        <v>0.77131562306931301</v>
      </c>
      <c r="O337">
        <v>202.21044568709331</v>
      </c>
      <c r="P337" s="1">
        <f t="shared" si="25"/>
        <v>8.3380490753020826</v>
      </c>
      <c r="Q337" s="1">
        <f t="shared" si="26"/>
        <v>1.2507073612953123</v>
      </c>
      <c r="R337" s="1">
        <f t="shared" si="27"/>
        <v>1.1183502855971881</v>
      </c>
      <c r="S337" s="1">
        <f t="shared" si="28"/>
        <v>-0.62630513445449754</v>
      </c>
      <c r="T337" s="56">
        <f t="shared" si="29"/>
        <v>0.26809389443738457</v>
      </c>
    </row>
    <row r="338" spans="1:20" x14ac:dyDescent="0.25">
      <c r="A338">
        <v>0.37681702594090338</v>
      </c>
      <c r="B338">
        <v>-1.4033003026270308</v>
      </c>
      <c r="D338">
        <v>0.32645581712348171</v>
      </c>
      <c r="E338">
        <v>-1.2422394809163961</v>
      </c>
      <c r="J338">
        <v>20</v>
      </c>
      <c r="K338">
        <v>0.11411469813538133</v>
      </c>
      <c r="L338">
        <v>25.82976420831379</v>
      </c>
      <c r="M338">
        <v>10</v>
      </c>
      <c r="N338">
        <v>0.5146454179794091</v>
      </c>
      <c r="O338">
        <v>50.893842596211286</v>
      </c>
      <c r="P338" s="1">
        <f t="shared" si="25"/>
        <v>2.7401288144473241</v>
      </c>
      <c r="Q338" s="1">
        <f t="shared" si="26"/>
        <v>0.41101932216709863</v>
      </c>
      <c r="R338" s="1">
        <f t="shared" si="27"/>
        <v>0.64110788652698592</v>
      </c>
      <c r="S338" s="1">
        <f t="shared" si="28"/>
        <v>-0.62474776595525217</v>
      </c>
      <c r="T338" s="56">
        <f t="shared" si="29"/>
        <v>0.26859743357035937</v>
      </c>
    </row>
    <row r="339" spans="1:20" x14ac:dyDescent="0.25">
      <c r="A339">
        <v>0.37730385331255756</v>
      </c>
      <c r="B339">
        <v>-0.9662221600592602</v>
      </c>
      <c r="D339">
        <v>0.32714337242358049</v>
      </c>
      <c r="E339">
        <v>3.3160274563215353</v>
      </c>
      <c r="J339">
        <v>20</v>
      </c>
      <c r="K339">
        <v>-0.11722573844963335</v>
      </c>
      <c r="L339">
        <v>10.878841633289376</v>
      </c>
      <c r="M339">
        <v>10</v>
      </c>
      <c r="N339">
        <v>0.29152533556953131</v>
      </c>
      <c r="O339">
        <v>69.203893566431077</v>
      </c>
      <c r="P339" s="1">
        <f t="shared" si="25"/>
        <v>2.8600976857043015</v>
      </c>
      <c r="Q339" s="1">
        <f t="shared" si="26"/>
        <v>0.42901465285564522</v>
      </c>
      <c r="R339" s="1">
        <f t="shared" si="27"/>
        <v>0.65499210136889841</v>
      </c>
      <c r="S339" s="1">
        <f t="shared" si="28"/>
        <v>-0.62405496671623495</v>
      </c>
      <c r="T339" s="56">
        <f t="shared" si="29"/>
        <v>0.26882159515478904</v>
      </c>
    </row>
    <row r="340" spans="1:20" x14ac:dyDescent="0.25">
      <c r="A340">
        <v>0.37784304333442009</v>
      </c>
      <c r="B340">
        <v>0.89394916358287446</v>
      </c>
      <c r="D340">
        <v>0.32999080185501828</v>
      </c>
      <c r="E340">
        <v>4.050487629001509</v>
      </c>
      <c r="J340">
        <v>20</v>
      </c>
      <c r="K340">
        <v>-0.6870752145005099</v>
      </c>
      <c r="L340">
        <v>9.9675190166988905</v>
      </c>
      <c r="M340">
        <v>10</v>
      </c>
      <c r="N340">
        <v>-0.25254803745156096</v>
      </c>
      <c r="O340">
        <v>82.335374157402526</v>
      </c>
      <c r="P340" s="1">
        <f t="shared" si="25"/>
        <v>3.2965318990750503</v>
      </c>
      <c r="Q340" s="1">
        <f t="shared" si="26"/>
        <v>0.49447978486125754</v>
      </c>
      <c r="R340" s="1">
        <f t="shared" si="27"/>
        <v>0.70319256598833402</v>
      </c>
      <c r="S340" s="1">
        <f t="shared" si="28"/>
        <v>-0.6179348276218235</v>
      </c>
      <c r="T340" s="56">
        <f t="shared" si="29"/>
        <v>0.27080611651218345</v>
      </c>
    </row>
    <row r="341" spans="1:20" x14ac:dyDescent="0.25">
      <c r="A341">
        <v>0.37786175304547309</v>
      </c>
      <c r="B341">
        <v>-0.50397829909343272</v>
      </c>
      <c r="D341">
        <v>0.33026574912000795</v>
      </c>
      <c r="E341">
        <v>1.2568882505092915</v>
      </c>
      <c r="J341">
        <v>20</v>
      </c>
      <c r="K341">
        <v>0.18670345980353886</v>
      </c>
      <c r="L341">
        <v>26.169346011153184</v>
      </c>
      <c r="M341">
        <v>10</v>
      </c>
      <c r="N341">
        <v>0.62549247218157689</v>
      </c>
      <c r="O341">
        <v>68.310414775560702</v>
      </c>
      <c r="P341" s="1">
        <f t="shared" si="25"/>
        <v>3.3742771709540671</v>
      </c>
      <c r="Q341" s="1">
        <f t="shared" si="26"/>
        <v>0.50614157564311002</v>
      </c>
      <c r="R341" s="1">
        <f t="shared" si="27"/>
        <v>0.71143627658639252</v>
      </c>
      <c r="S341" s="1">
        <f t="shared" si="28"/>
        <v>-0.61676502424564528</v>
      </c>
      <c r="T341" s="56">
        <f t="shared" si="29"/>
        <v>0.27118631394382198</v>
      </c>
    </row>
    <row r="342" spans="1:20" x14ac:dyDescent="0.25">
      <c r="A342">
        <v>0.37786456079449993</v>
      </c>
      <c r="B342">
        <v>9.1428091764100827E-2</v>
      </c>
      <c r="D342">
        <v>0.33215835977332397</v>
      </c>
      <c r="E342">
        <v>5.2975003620758798</v>
      </c>
      <c r="J342">
        <v>20</v>
      </c>
      <c r="K342">
        <v>6.2662536493007792E-2</v>
      </c>
      <c r="L342">
        <v>24.643245090589101</v>
      </c>
      <c r="M342">
        <v>10</v>
      </c>
      <c r="N342">
        <v>0.6336850867683097</v>
      </c>
      <c r="O342">
        <v>137.67984395774266</v>
      </c>
      <c r="P342" s="1">
        <f t="shared" si="25"/>
        <v>5.7972531802975622</v>
      </c>
      <c r="Q342" s="1">
        <f t="shared" si="26"/>
        <v>0.86958797704463431</v>
      </c>
      <c r="R342" s="1">
        <f t="shared" si="27"/>
        <v>0.93251701166500678</v>
      </c>
      <c r="S342" s="1">
        <f t="shared" si="28"/>
        <v>-0.61234545121674788</v>
      </c>
      <c r="T342" s="56">
        <f t="shared" si="29"/>
        <v>0.27262524626012502</v>
      </c>
    </row>
    <row r="343" spans="1:20" x14ac:dyDescent="0.25">
      <c r="A343">
        <v>0.37788350881462751</v>
      </c>
      <c r="B343">
        <v>-0.39270162233151495</v>
      </c>
      <c r="D343">
        <v>0.33334188314564683</v>
      </c>
      <c r="E343">
        <v>0.29879128874199523</v>
      </c>
      <c r="J343">
        <v>20</v>
      </c>
      <c r="K343">
        <v>0.22621702555625234</v>
      </c>
      <c r="L343">
        <v>23.331504927941445</v>
      </c>
      <c r="M343">
        <v>10</v>
      </c>
      <c r="N343">
        <v>0.61958973788023286</v>
      </c>
      <c r="O343">
        <v>53.897849091132251</v>
      </c>
      <c r="P343" s="1">
        <f t="shared" si="25"/>
        <v>2.7581912149669177</v>
      </c>
      <c r="Q343" s="1">
        <f t="shared" si="26"/>
        <v>0.41372868224503762</v>
      </c>
      <c r="R343" s="1">
        <f t="shared" si="27"/>
        <v>0.64321744553847238</v>
      </c>
      <c r="S343" s="1">
        <f t="shared" si="28"/>
        <v>-0.611570340718397</v>
      </c>
      <c r="T343" s="56">
        <f t="shared" si="29"/>
        <v>0.27287801935553868</v>
      </c>
    </row>
    <row r="344" spans="1:20" x14ac:dyDescent="0.25">
      <c r="A344">
        <v>0.38097049598174837</v>
      </c>
      <c r="B344">
        <v>-0.91409447122714482</v>
      </c>
      <c r="D344">
        <v>0.33489950530270196</v>
      </c>
      <c r="E344">
        <v>2.0591648956269637</v>
      </c>
      <c r="J344">
        <v>20</v>
      </c>
      <c r="K344">
        <v>-0.15684975096519338</v>
      </c>
      <c r="L344">
        <v>11.431573104786908</v>
      </c>
      <c r="M344">
        <v>10</v>
      </c>
      <c r="N344">
        <v>0.31477202014684735</v>
      </c>
      <c r="O344">
        <v>103.14573847241303</v>
      </c>
      <c r="P344" s="1">
        <f t="shared" si="25"/>
        <v>4.0920468420428548</v>
      </c>
      <c r="Q344" s="1">
        <f t="shared" si="26"/>
        <v>0.61380702630642825</v>
      </c>
      <c r="R344" s="1">
        <f t="shared" si="27"/>
        <v>0.78345837560551246</v>
      </c>
      <c r="S344" s="1">
        <f t="shared" si="28"/>
        <v>-0.60197425389388148</v>
      </c>
      <c r="T344" s="56">
        <f t="shared" si="29"/>
        <v>0.27601753846535926</v>
      </c>
    </row>
    <row r="345" spans="1:20" x14ac:dyDescent="0.25">
      <c r="A345">
        <v>0.38107315749224147</v>
      </c>
      <c r="B345">
        <v>-0.47843059292063117</v>
      </c>
      <c r="D345">
        <v>0.33509247128554021</v>
      </c>
      <c r="E345">
        <v>2.2995852725671284</v>
      </c>
      <c r="J345">
        <v>20</v>
      </c>
      <c r="K345">
        <v>4.4578030156117165E-2</v>
      </c>
      <c r="L345">
        <v>13.195254867452542</v>
      </c>
      <c r="M345">
        <v>10</v>
      </c>
      <c r="N345">
        <v>0.46259344458121632</v>
      </c>
      <c r="O345">
        <v>77.421524244866319</v>
      </c>
      <c r="P345" s="1">
        <f t="shared" si="25"/>
        <v>3.2363135397256739</v>
      </c>
      <c r="Q345" s="1">
        <f t="shared" si="26"/>
        <v>0.48544703095885106</v>
      </c>
      <c r="R345" s="1">
        <f t="shared" si="27"/>
        <v>0.6967402894614686</v>
      </c>
      <c r="S345" s="1">
        <f t="shared" si="28"/>
        <v>-0.59995872313942944</v>
      </c>
      <c r="T345" s="56">
        <f t="shared" si="29"/>
        <v>0.27667932219198677</v>
      </c>
    </row>
    <row r="346" spans="1:20" x14ac:dyDescent="0.25">
      <c r="A346">
        <v>0.38122843227652514</v>
      </c>
      <c r="B346">
        <v>-1.798580342438072</v>
      </c>
      <c r="D346">
        <v>0.33533826019592328</v>
      </c>
      <c r="E346">
        <v>-3.0075345910063334</v>
      </c>
      <c r="J346">
        <v>20</v>
      </c>
      <c r="K346">
        <v>-0.14179340723785572</v>
      </c>
      <c r="L346">
        <v>22.191723380113114</v>
      </c>
      <c r="M346">
        <v>10</v>
      </c>
      <c r="N346">
        <v>0.25712767751429055</v>
      </c>
      <c r="O346">
        <v>61.622903627554933</v>
      </c>
      <c r="P346" s="1">
        <f t="shared" si="25"/>
        <v>2.9933795359881445</v>
      </c>
      <c r="Q346" s="1">
        <f t="shared" si="26"/>
        <v>0.44900693039822165</v>
      </c>
      <c r="R346" s="1">
        <f t="shared" si="27"/>
        <v>0.6700797940530826</v>
      </c>
      <c r="S346" s="1">
        <f t="shared" si="28"/>
        <v>-0.59533370248222173</v>
      </c>
      <c r="T346" s="56">
        <f t="shared" si="29"/>
        <v>0.27820100400297909</v>
      </c>
    </row>
    <row r="347" spans="1:20" x14ac:dyDescent="0.25">
      <c r="A347">
        <v>0.38148658615930497</v>
      </c>
      <c r="B347">
        <v>-1.4602164810639806</v>
      </c>
      <c r="D347">
        <v>0.33547334248842708</v>
      </c>
      <c r="E347">
        <v>4.9695092877755087</v>
      </c>
      <c r="J347">
        <v>20</v>
      </c>
      <c r="K347">
        <v>0.39143998264989932</v>
      </c>
      <c r="L347">
        <v>13.187248198645445</v>
      </c>
      <c r="M347">
        <v>10</v>
      </c>
      <c r="N347">
        <v>0.72578370350129262</v>
      </c>
      <c r="O347">
        <v>46.144305025373953</v>
      </c>
      <c r="P347" s="1">
        <f t="shared" si="25"/>
        <v>2.1189840437149785</v>
      </c>
      <c r="Q347" s="1">
        <f t="shared" si="26"/>
        <v>0.31784760655724675</v>
      </c>
      <c r="R347" s="1">
        <f t="shared" si="27"/>
        <v>0.56377975004184633</v>
      </c>
      <c r="S347" s="1">
        <f t="shared" si="28"/>
        <v>-0.59303960602802208</v>
      </c>
      <c r="T347" s="56">
        <f t="shared" si="29"/>
        <v>0.27895737999488524</v>
      </c>
    </row>
    <row r="348" spans="1:20" x14ac:dyDescent="0.25">
      <c r="A348">
        <v>0.38198979257576859</v>
      </c>
      <c r="B348">
        <v>-0.21229880076134577</v>
      </c>
      <c r="D348">
        <v>0.3360134591074968</v>
      </c>
      <c r="E348">
        <v>-3.4555175750483613</v>
      </c>
      <c r="J348">
        <v>20</v>
      </c>
      <c r="K348">
        <v>-0.17171225863421569</v>
      </c>
      <c r="L348">
        <v>16.155710945790805</v>
      </c>
      <c r="M348">
        <v>10</v>
      </c>
      <c r="N348">
        <v>0.1567968831750477</v>
      </c>
      <c r="O348">
        <v>41.816703314688233</v>
      </c>
      <c r="P348" s="1">
        <f t="shared" si="25"/>
        <v>2.0704433664456801</v>
      </c>
      <c r="Q348" s="1">
        <f t="shared" si="26"/>
        <v>0.31056650496685201</v>
      </c>
      <c r="R348" s="1">
        <f t="shared" si="27"/>
        <v>0.55728494055272304</v>
      </c>
      <c r="S348" s="1">
        <f t="shared" si="28"/>
        <v>-0.58948146254130496</v>
      </c>
      <c r="T348" s="56">
        <f t="shared" si="29"/>
        <v>0.28013260196068746</v>
      </c>
    </row>
    <row r="349" spans="1:20" x14ac:dyDescent="0.25">
      <c r="A349">
        <v>0.38234025461693311</v>
      </c>
      <c r="B349">
        <v>-0.70807800511829555</v>
      </c>
      <c r="D349">
        <v>0.3371445215971226</v>
      </c>
      <c r="E349">
        <v>-1.571396982171791</v>
      </c>
      <c r="J349">
        <v>20</v>
      </c>
      <c r="K349">
        <v>0.25462361463723937</v>
      </c>
      <c r="L349">
        <v>18.474424888843007</v>
      </c>
      <c r="M349">
        <v>10</v>
      </c>
      <c r="N349">
        <v>0.78338507250919065</v>
      </c>
      <c r="O349">
        <v>131.9474765888975</v>
      </c>
      <c r="P349" s="1">
        <f t="shared" si="25"/>
        <v>5.3722107670621613</v>
      </c>
      <c r="Q349" s="1">
        <f t="shared" si="26"/>
        <v>0.80583161505932421</v>
      </c>
      <c r="R349" s="1">
        <f t="shared" si="27"/>
        <v>0.89768124357108203</v>
      </c>
      <c r="S349" s="1">
        <f t="shared" si="28"/>
        <v>-0.58903030631282405</v>
      </c>
      <c r="T349" s="56">
        <f t="shared" si="29"/>
        <v>0.28028179523241792</v>
      </c>
    </row>
    <row r="350" spans="1:20" x14ac:dyDescent="0.25">
      <c r="A350">
        <v>0.38347498053985529</v>
      </c>
      <c r="B350">
        <v>0.76067408372182399</v>
      </c>
      <c r="D350">
        <v>0.34030477569374007</v>
      </c>
      <c r="E350">
        <v>-0.77516392934739997</v>
      </c>
      <c r="J350">
        <v>20</v>
      </c>
      <c r="K350">
        <v>-1.9009974039363442E-2</v>
      </c>
      <c r="L350">
        <v>18.682902928258827</v>
      </c>
      <c r="M350">
        <v>10</v>
      </c>
      <c r="N350">
        <v>0.39998121451390034</v>
      </c>
      <c r="O350">
        <v>76.478803605171947</v>
      </c>
      <c r="P350" s="1">
        <f t="shared" si="25"/>
        <v>3.3986323761939561</v>
      </c>
      <c r="Q350" s="1">
        <f t="shared" si="26"/>
        <v>0.50979485642909339</v>
      </c>
      <c r="R350" s="1">
        <f t="shared" si="27"/>
        <v>0.71399919917958832</v>
      </c>
      <c r="S350" s="1">
        <f t="shared" si="28"/>
        <v>-0.58682305111084199</v>
      </c>
      <c r="T350" s="56">
        <f t="shared" si="29"/>
        <v>0.28101229887150592</v>
      </c>
    </row>
    <row r="351" spans="1:20" x14ac:dyDescent="0.25">
      <c r="A351">
        <v>0.38455708765924423</v>
      </c>
      <c r="B351">
        <v>0.99680846687988378</v>
      </c>
      <c r="D351">
        <v>0.34098364704038353</v>
      </c>
      <c r="E351">
        <v>1.0751473348591389</v>
      </c>
      <c r="J351">
        <v>20</v>
      </c>
      <c r="K351">
        <v>0.12646353297895985</v>
      </c>
      <c r="L351">
        <v>19.616917052907535</v>
      </c>
      <c r="M351">
        <v>10</v>
      </c>
      <c r="N351">
        <v>0.48929132049124746</v>
      </c>
      <c r="O351">
        <v>53.366935799073516</v>
      </c>
      <c r="P351" s="1">
        <f t="shared" si="25"/>
        <v>2.6065661732850378</v>
      </c>
      <c r="Q351" s="1">
        <f t="shared" si="26"/>
        <v>0.39098492599275564</v>
      </c>
      <c r="R351" s="1">
        <f t="shared" si="27"/>
        <v>0.62528787449682377</v>
      </c>
      <c r="S351" s="1">
        <f t="shared" si="28"/>
        <v>-0.58025719402324771</v>
      </c>
      <c r="T351" s="56">
        <f t="shared" si="29"/>
        <v>0.28319102445691668</v>
      </c>
    </row>
    <row r="352" spans="1:20" x14ac:dyDescent="0.25">
      <c r="A352">
        <v>0.38457818026958757</v>
      </c>
      <c r="B352">
        <v>0.33377773434040137</v>
      </c>
      <c r="D352">
        <v>0.34148115330577333</v>
      </c>
      <c r="E352">
        <v>-0.51040888479292335</v>
      </c>
      <c r="J352">
        <v>20</v>
      </c>
      <c r="K352">
        <v>-0.38214272990444442</v>
      </c>
      <c r="L352">
        <v>30.262480406818476</v>
      </c>
      <c r="M352">
        <v>10</v>
      </c>
      <c r="N352">
        <v>0.25636984105403826</v>
      </c>
      <c r="O352">
        <v>198.86939141931376</v>
      </c>
      <c r="P352" s="1">
        <f t="shared" si="25"/>
        <v>8.1832811366475795</v>
      </c>
      <c r="Q352" s="1">
        <f t="shared" si="26"/>
        <v>1.2274921704971369</v>
      </c>
      <c r="R352" s="1">
        <f t="shared" si="27"/>
        <v>1.1079224568972039</v>
      </c>
      <c r="S352" s="1">
        <f t="shared" si="28"/>
        <v>-0.57631521681280051</v>
      </c>
      <c r="T352" s="56">
        <f t="shared" si="29"/>
        <v>0.28450317003958336</v>
      </c>
    </row>
    <row r="353" spans="1:20" x14ac:dyDescent="0.25">
      <c r="A353">
        <v>0.38519003427615517</v>
      </c>
      <c r="B353">
        <v>-1.5208388504106551</v>
      </c>
      <c r="D353">
        <v>0.34197316475364037</v>
      </c>
      <c r="E353">
        <v>-1.576083153622676</v>
      </c>
      <c r="J353">
        <v>20</v>
      </c>
      <c r="K353">
        <v>-0.14072770682105329</v>
      </c>
      <c r="L353">
        <v>9.0660412139173197</v>
      </c>
      <c r="M353">
        <v>10</v>
      </c>
      <c r="N353">
        <v>0.11890369592038041</v>
      </c>
      <c r="O353">
        <v>28.901756977606382</v>
      </c>
      <c r="P353" s="1">
        <f t="shared" si="25"/>
        <v>1.3559927925544177</v>
      </c>
      <c r="Q353" s="1">
        <f t="shared" si="26"/>
        <v>0.20339891888316267</v>
      </c>
      <c r="R353" s="1">
        <f t="shared" si="27"/>
        <v>0.45099769276922325</v>
      </c>
      <c r="S353" s="1">
        <f t="shared" si="28"/>
        <v>-0.57568233031801297</v>
      </c>
      <c r="T353" s="56">
        <f t="shared" si="29"/>
        <v>0.28471412063686385</v>
      </c>
    </row>
    <row r="354" spans="1:20" x14ac:dyDescent="0.25">
      <c r="A354">
        <v>0.38519402884954201</v>
      </c>
      <c r="B354">
        <v>-0.93390553956851363</v>
      </c>
      <c r="D354">
        <v>0.34265698123184563</v>
      </c>
      <c r="E354">
        <v>-5.5512604149043909E-2</v>
      </c>
      <c r="J354">
        <v>20</v>
      </c>
      <c r="K354">
        <v>0.10414686357762548</v>
      </c>
      <c r="L354">
        <v>17.164240563130527</v>
      </c>
      <c r="M354">
        <v>10</v>
      </c>
      <c r="N354">
        <v>0.56414489449707617</v>
      </c>
      <c r="O354">
        <v>102.25065371118744</v>
      </c>
      <c r="P354" s="1">
        <f t="shared" si="25"/>
        <v>4.2648176526542132</v>
      </c>
      <c r="Q354" s="1">
        <f t="shared" si="26"/>
        <v>0.63972264789813194</v>
      </c>
      <c r="R354" s="1">
        <f t="shared" si="27"/>
        <v>0.7998266361519426</v>
      </c>
      <c r="S354" s="1">
        <f t="shared" si="28"/>
        <v>-0.57512217039001579</v>
      </c>
      <c r="T354" s="56">
        <f t="shared" si="29"/>
        <v>0.2849008960191789</v>
      </c>
    </row>
    <row r="355" spans="1:20" x14ac:dyDescent="0.25">
      <c r="A355">
        <v>0.38570928425289241</v>
      </c>
      <c r="B355">
        <v>0.59191052059759386</v>
      </c>
      <c r="D355">
        <v>0.34337117927005933</v>
      </c>
      <c r="E355">
        <v>-0.14479542528533784</v>
      </c>
      <c r="J355">
        <v>20</v>
      </c>
      <c r="K355">
        <v>-0.37765914839837933</v>
      </c>
      <c r="L355">
        <v>16.755957420752409</v>
      </c>
      <c r="M355">
        <v>10</v>
      </c>
      <c r="N355">
        <v>-0.12457462958082033</v>
      </c>
      <c r="O355">
        <v>19.511835326185412</v>
      </c>
      <c r="P355" s="1">
        <f t="shared" si="25"/>
        <v>1.2952783123906364</v>
      </c>
      <c r="Q355" s="1">
        <f t="shared" si="26"/>
        <v>0.19429174685859546</v>
      </c>
      <c r="R355" s="1">
        <f t="shared" si="27"/>
        <v>0.44078537505071042</v>
      </c>
      <c r="S355" s="1">
        <f t="shared" si="28"/>
        <v>-0.57416723226908961</v>
      </c>
      <c r="T355" s="56">
        <f t="shared" si="29"/>
        <v>0.28521944518492093</v>
      </c>
    </row>
    <row r="356" spans="1:20" x14ac:dyDescent="0.25">
      <c r="A356">
        <v>0.38572325754933312</v>
      </c>
      <c r="B356">
        <v>1.0177723197557498</v>
      </c>
      <c r="D356">
        <v>0.34379080215336855</v>
      </c>
      <c r="E356">
        <v>-0.51319534918548015</v>
      </c>
      <c r="J356">
        <v>20</v>
      </c>
      <c r="K356">
        <v>-3.3459571113780839E-2</v>
      </c>
      <c r="L356">
        <v>16.727325492865194</v>
      </c>
      <c r="M356">
        <v>10</v>
      </c>
      <c r="N356">
        <v>0.36533287698148342</v>
      </c>
      <c r="O356">
        <v>77.397789429712461</v>
      </c>
      <c r="P356" s="1">
        <f t="shared" si="25"/>
        <v>3.361611247234916</v>
      </c>
      <c r="Q356" s="1">
        <f t="shared" si="26"/>
        <v>0.50424168708523742</v>
      </c>
      <c r="R356" s="1">
        <f t="shared" si="27"/>
        <v>0.71009977262722557</v>
      </c>
      <c r="S356" s="1">
        <f t="shared" si="28"/>
        <v>-0.56160058553435788</v>
      </c>
      <c r="T356" s="56">
        <f t="shared" si="29"/>
        <v>0.28942802906263243</v>
      </c>
    </row>
    <row r="357" spans="1:20" x14ac:dyDescent="0.25">
      <c r="A357">
        <v>0.38749454798026661</v>
      </c>
      <c r="B357">
        <v>1.4876422937959433</v>
      </c>
      <c r="D357">
        <v>0.3438280852835337</v>
      </c>
      <c r="E357">
        <v>-1.2187267691388115</v>
      </c>
      <c r="J357">
        <v>20</v>
      </c>
      <c r="K357">
        <v>3.482085730865947E-2</v>
      </c>
      <c r="L357">
        <v>10.812191880811131</v>
      </c>
      <c r="M357">
        <v>10</v>
      </c>
      <c r="N357">
        <v>0.60910110391887429</v>
      </c>
      <c r="O357">
        <v>186.90682029277468</v>
      </c>
      <c r="P357" s="1">
        <f t="shared" si="25"/>
        <v>7.0613932919137792</v>
      </c>
      <c r="Q357" s="1">
        <f t="shared" si="26"/>
        <v>1.0592089937870668</v>
      </c>
      <c r="R357" s="1">
        <f t="shared" si="27"/>
        <v>1.0291787958304752</v>
      </c>
      <c r="S357" s="1">
        <f t="shared" si="28"/>
        <v>-0.55799852167262232</v>
      </c>
      <c r="T357" s="56">
        <f t="shared" si="29"/>
        <v>0.29064001351573565</v>
      </c>
    </row>
    <row r="358" spans="1:20" x14ac:dyDescent="0.25">
      <c r="A358">
        <v>0.3878069618258132</v>
      </c>
      <c r="B358">
        <v>1.8008995539275929</v>
      </c>
      <c r="D358">
        <v>0.34471066990561694</v>
      </c>
      <c r="E358">
        <v>-0.89471928163220582</v>
      </c>
      <c r="J358">
        <v>20</v>
      </c>
      <c r="K358">
        <v>-2.6320719825889682E-2</v>
      </c>
      <c r="L358">
        <v>22.70719314563614</v>
      </c>
      <c r="M358">
        <v>10</v>
      </c>
      <c r="N358">
        <v>0.31295894245886302</v>
      </c>
      <c r="O358">
        <v>46.75969958302359</v>
      </c>
      <c r="P358" s="1">
        <f t="shared" si="25"/>
        <v>2.4809604545949901</v>
      </c>
      <c r="Q358" s="1">
        <f t="shared" si="26"/>
        <v>0.3721440681892485</v>
      </c>
      <c r="R358" s="1">
        <f t="shared" si="27"/>
        <v>0.6100361203971848</v>
      </c>
      <c r="S358" s="1">
        <f t="shared" si="28"/>
        <v>-0.5561632351603264</v>
      </c>
      <c r="T358" s="56">
        <f t="shared" si="29"/>
        <v>0.29125849258965741</v>
      </c>
    </row>
    <row r="359" spans="1:20" x14ac:dyDescent="0.25">
      <c r="A359">
        <v>0.38786307185614088</v>
      </c>
      <c r="B359">
        <v>-0.4603248271450866</v>
      </c>
      <c r="D359">
        <v>0.34497452175842569</v>
      </c>
      <c r="E359">
        <v>1.2165544342224166</v>
      </c>
      <c r="J359">
        <v>20</v>
      </c>
      <c r="K359">
        <v>0.17237567817574018</v>
      </c>
      <c r="L359">
        <v>33.020948071916159</v>
      </c>
      <c r="M359">
        <v>10</v>
      </c>
      <c r="N359">
        <v>0.66128506773566187</v>
      </c>
      <c r="O359">
        <v>114.84725938996007</v>
      </c>
      <c r="P359" s="1">
        <f t="shared" si="25"/>
        <v>5.2810074093527231</v>
      </c>
      <c r="Q359" s="1">
        <f t="shared" si="26"/>
        <v>0.79215111140290839</v>
      </c>
      <c r="R359" s="1">
        <f t="shared" si="27"/>
        <v>0.89002871380810433</v>
      </c>
      <c r="S359" s="1">
        <f t="shared" si="28"/>
        <v>-0.5493186702573436</v>
      </c>
      <c r="T359" s="56">
        <f t="shared" si="29"/>
        <v>0.29357075924126819</v>
      </c>
    </row>
    <row r="360" spans="1:20" x14ac:dyDescent="0.25">
      <c r="A360">
        <v>0.3884387800779856</v>
      </c>
      <c r="B360">
        <v>-0.46449599722109269</v>
      </c>
      <c r="D360">
        <v>0.34521639124535386</v>
      </c>
      <c r="E360">
        <v>5.5366168680848205E-2</v>
      </c>
      <c r="J360">
        <v>20</v>
      </c>
      <c r="K360">
        <v>-1.4852048479951918E-2</v>
      </c>
      <c r="L360">
        <v>13.552430402412089</v>
      </c>
      <c r="M360">
        <v>10</v>
      </c>
      <c r="N360">
        <v>0.41167993117596779</v>
      </c>
      <c r="O360">
        <v>99.81473460861433</v>
      </c>
      <c r="P360" s="1">
        <f t="shared" si="25"/>
        <v>4.0488273218223716</v>
      </c>
      <c r="Q360" s="1">
        <f t="shared" si="26"/>
        <v>0.60732409827335576</v>
      </c>
      <c r="R360" s="1">
        <f t="shared" si="27"/>
        <v>0.77931001422627422</v>
      </c>
      <c r="S360" s="1">
        <f t="shared" si="28"/>
        <v>-0.5473200290893161</v>
      </c>
      <c r="T360" s="56">
        <f t="shared" si="29"/>
        <v>0.29424763759909001</v>
      </c>
    </row>
    <row r="361" spans="1:20" x14ac:dyDescent="0.25">
      <c r="A361">
        <v>0.38932968333525686</v>
      </c>
      <c r="B361">
        <v>-0.10395751814940013</v>
      </c>
      <c r="D361">
        <v>0.34635489104416717</v>
      </c>
      <c r="E361">
        <v>4.3955726562217023</v>
      </c>
      <c r="J361">
        <v>20</v>
      </c>
      <c r="K361">
        <v>-0.35136321230311296</v>
      </c>
      <c r="L361">
        <v>7.5465859453743978</v>
      </c>
      <c r="M361">
        <v>10</v>
      </c>
      <c r="N361">
        <v>9.4106550250216969E-2</v>
      </c>
      <c r="O361">
        <v>119.08797784723149</v>
      </c>
      <c r="P361" s="1">
        <f t="shared" si="25"/>
        <v>4.5226629925930677</v>
      </c>
      <c r="Q361" s="1">
        <f t="shared" si="26"/>
        <v>0.67839944888896009</v>
      </c>
      <c r="R361" s="1">
        <f t="shared" si="27"/>
        <v>0.82365007672491608</v>
      </c>
      <c r="S361" s="1">
        <f t="shared" si="28"/>
        <v>-0.54084832277883532</v>
      </c>
      <c r="T361" s="56">
        <f t="shared" si="29"/>
        <v>0.29644460529329175</v>
      </c>
    </row>
    <row r="362" spans="1:20" x14ac:dyDescent="0.25">
      <c r="A362">
        <v>0.39111409743468062</v>
      </c>
      <c r="B362">
        <v>1.8494392861612141</v>
      </c>
      <c r="D362">
        <v>0.34686400141416385</v>
      </c>
      <c r="E362">
        <v>-3.0846415518226422</v>
      </c>
      <c r="J362">
        <v>20</v>
      </c>
      <c r="K362">
        <v>0.39882081637188094</v>
      </c>
      <c r="L362">
        <v>18.648701710980063</v>
      </c>
      <c r="M362">
        <v>10</v>
      </c>
      <c r="N362">
        <v>0.66859876937996887</v>
      </c>
      <c r="O362">
        <v>28.779642643935436</v>
      </c>
      <c r="P362" s="1">
        <f t="shared" si="25"/>
        <v>1.6938694412469819</v>
      </c>
      <c r="Q362" s="1">
        <f t="shared" si="26"/>
        <v>0.2540804161870473</v>
      </c>
      <c r="R362" s="1">
        <f t="shared" si="27"/>
        <v>0.50406390089655029</v>
      </c>
      <c r="S362" s="1">
        <f t="shared" si="28"/>
        <v>-0.53520585887671979</v>
      </c>
      <c r="T362" s="56">
        <f t="shared" si="29"/>
        <v>0.29836651348671012</v>
      </c>
    </row>
    <row r="363" spans="1:20" x14ac:dyDescent="0.25">
      <c r="A363">
        <v>0.39120037915052941</v>
      </c>
      <c r="B363">
        <v>-0.33280684874625877</v>
      </c>
      <c r="D363">
        <v>0.34827969271887171</v>
      </c>
      <c r="E363">
        <v>4.2693256966686022</v>
      </c>
      <c r="J363">
        <v>20</v>
      </c>
      <c r="K363">
        <v>-4.2723115711851278E-2</v>
      </c>
      <c r="L363">
        <v>16.931032729644105</v>
      </c>
      <c r="M363">
        <v>10</v>
      </c>
      <c r="N363">
        <v>0.37114250176273345</v>
      </c>
      <c r="O363">
        <v>95.444788345388105</v>
      </c>
      <c r="P363" s="1">
        <f t="shared" si="25"/>
        <v>4.0134221812511504</v>
      </c>
      <c r="Q363" s="1">
        <f t="shared" si="26"/>
        <v>0.60201332718767253</v>
      </c>
      <c r="R363" s="1">
        <f t="shared" si="27"/>
        <v>0.77589517796392604</v>
      </c>
      <c r="S363" s="1">
        <f t="shared" si="28"/>
        <v>-0.53340403346832854</v>
      </c>
      <c r="T363" s="56">
        <f t="shared" si="29"/>
        <v>0.29898149982054101</v>
      </c>
    </row>
    <row r="364" spans="1:20" x14ac:dyDescent="0.25">
      <c r="A364">
        <v>0.39190578404266907</v>
      </c>
      <c r="B364">
        <v>-1.6312060324708</v>
      </c>
      <c r="D364">
        <v>0.34831483743589076</v>
      </c>
      <c r="E364">
        <v>-2.8479046284246579</v>
      </c>
      <c r="J364">
        <v>20</v>
      </c>
      <c r="K364">
        <v>-0.18824408698492334</v>
      </c>
      <c r="L364">
        <v>23.232402346432494</v>
      </c>
      <c r="M364">
        <v>10</v>
      </c>
      <c r="N364">
        <v>0.25279416263401799</v>
      </c>
      <c r="O364">
        <v>104.81158671080743</v>
      </c>
      <c r="P364" s="1">
        <f t="shared" si="25"/>
        <v>4.5729996091871401</v>
      </c>
      <c r="Q364" s="1">
        <f t="shared" si="26"/>
        <v>0.68594994137807097</v>
      </c>
      <c r="R364" s="1">
        <f t="shared" si="27"/>
        <v>0.82822094961312764</v>
      </c>
      <c r="S364" s="1">
        <f t="shared" si="28"/>
        <v>-0.53251279121224337</v>
      </c>
      <c r="T364" s="56">
        <f t="shared" si="29"/>
        <v>0.29928591654848868</v>
      </c>
    </row>
    <row r="365" spans="1:20" x14ac:dyDescent="0.25">
      <c r="A365">
        <v>0.39230403891314336</v>
      </c>
      <c r="B365">
        <v>1.7860020307125524</v>
      </c>
      <c r="D365">
        <v>0.34834970391710518</v>
      </c>
      <c r="E365">
        <v>1.9528836185145337</v>
      </c>
      <c r="J365">
        <v>20</v>
      </c>
      <c r="K365">
        <v>-4.9577181471249787E-2</v>
      </c>
      <c r="L365">
        <v>14.913523585633936</v>
      </c>
      <c r="M365">
        <v>10</v>
      </c>
      <c r="N365">
        <v>0.32288891929965757</v>
      </c>
      <c r="O365">
        <v>76.855497580764947</v>
      </c>
      <c r="P365" s="1">
        <f t="shared" si="25"/>
        <v>3.277465041657103</v>
      </c>
      <c r="Q365" s="1">
        <f t="shared" si="26"/>
        <v>0.49161975624856541</v>
      </c>
      <c r="R365" s="1">
        <f t="shared" si="27"/>
        <v>0.70115601419981088</v>
      </c>
      <c r="S365" s="1">
        <f t="shared" si="28"/>
        <v>-0.53121715171477424</v>
      </c>
      <c r="T365" s="56">
        <f t="shared" si="29"/>
        <v>0.29972872524978839</v>
      </c>
    </row>
    <row r="366" spans="1:20" x14ac:dyDescent="0.25">
      <c r="A366">
        <v>0.39501880543584644</v>
      </c>
      <c r="B366">
        <v>7.1241856858250685E-2</v>
      </c>
      <c r="D366">
        <v>0.34839887312418172</v>
      </c>
      <c r="E366">
        <v>-0.77681466223111784</v>
      </c>
      <c r="J366">
        <v>20</v>
      </c>
      <c r="K366">
        <v>-0.44385160435922444</v>
      </c>
      <c r="L366">
        <v>19.502325240430181</v>
      </c>
      <c r="M366">
        <v>10</v>
      </c>
      <c r="N366">
        <v>-0.12428404602360388</v>
      </c>
      <c r="O366">
        <v>49.274209068658543</v>
      </c>
      <c r="P366" s="1">
        <f t="shared" si="25"/>
        <v>2.456304796753169</v>
      </c>
      <c r="Q366" s="1">
        <f t="shared" si="26"/>
        <v>0.36844571951297533</v>
      </c>
      <c r="R366" s="1">
        <f t="shared" si="27"/>
        <v>0.6069972977806205</v>
      </c>
      <c r="S366" s="1">
        <f t="shared" si="28"/>
        <v>-0.52647278579997547</v>
      </c>
      <c r="T366" s="56">
        <f t="shared" si="29"/>
        <v>0.30135286408752837</v>
      </c>
    </row>
    <row r="367" spans="1:20" x14ac:dyDescent="0.25">
      <c r="A367">
        <v>0.39575626327799174</v>
      </c>
      <c r="B367">
        <v>-0.7616949915245641</v>
      </c>
      <c r="D367">
        <v>0.35128659198332302</v>
      </c>
      <c r="E367">
        <v>-2.7378716856674146</v>
      </c>
      <c r="J367">
        <v>20</v>
      </c>
      <c r="K367">
        <v>-0.17232810023415368</v>
      </c>
      <c r="L367">
        <v>13.373906140302029</v>
      </c>
      <c r="M367">
        <v>10</v>
      </c>
      <c r="N367">
        <v>0.20560946381920076</v>
      </c>
      <c r="O367">
        <v>83.012109472921736</v>
      </c>
      <c r="P367" s="1">
        <f t="shared" si="25"/>
        <v>3.4423577004722774</v>
      </c>
      <c r="Q367" s="1">
        <f t="shared" si="26"/>
        <v>0.51635365507084163</v>
      </c>
      <c r="R367" s="1">
        <f t="shared" si="27"/>
        <v>0.71857752196324765</v>
      </c>
      <c r="S367" s="1">
        <f t="shared" si="28"/>
        <v>-0.52595238857566773</v>
      </c>
      <c r="T367" s="56">
        <f t="shared" si="29"/>
        <v>0.30153126567315836</v>
      </c>
    </row>
    <row r="368" spans="1:20" x14ac:dyDescent="0.25">
      <c r="A368">
        <v>0.39606882576609292</v>
      </c>
      <c r="B368">
        <v>0.3931972969439812</v>
      </c>
      <c r="D368">
        <v>0.3536885071419219</v>
      </c>
      <c r="E368">
        <v>4.0481411326709349</v>
      </c>
      <c r="J368">
        <v>20</v>
      </c>
      <c r="K368">
        <v>-0.1500105781815364</v>
      </c>
      <c r="L368">
        <v>21.100658921002399</v>
      </c>
      <c r="M368">
        <v>10</v>
      </c>
      <c r="N368">
        <v>0.24946677626758174</v>
      </c>
      <c r="O368">
        <v>88.167068280096416</v>
      </c>
      <c r="P368" s="1">
        <f t="shared" si="25"/>
        <v>3.9024188286106716</v>
      </c>
      <c r="Q368" s="1">
        <f t="shared" si="26"/>
        <v>0.58536282429160069</v>
      </c>
      <c r="R368" s="1">
        <f t="shared" si="27"/>
        <v>0.7650900759332856</v>
      </c>
      <c r="S368" s="1">
        <f t="shared" si="28"/>
        <v>-0.5221311411755285</v>
      </c>
      <c r="T368" s="56">
        <f t="shared" si="29"/>
        <v>0.30284279035165795</v>
      </c>
    </row>
    <row r="369" spans="1:20" x14ac:dyDescent="0.25">
      <c r="A369">
        <v>0.39634399905449358</v>
      </c>
      <c r="B369">
        <v>-0.68680947151733562</v>
      </c>
      <c r="D369">
        <v>0.35586741367688712</v>
      </c>
      <c r="E369">
        <v>3.1335532605680783</v>
      </c>
      <c r="J369">
        <v>20</v>
      </c>
      <c r="K369">
        <v>-0.11666708132906933</v>
      </c>
      <c r="L369">
        <v>15.557655283013005</v>
      </c>
      <c r="M369">
        <v>10</v>
      </c>
      <c r="N369">
        <v>0.3019672442405863</v>
      </c>
      <c r="O369">
        <v>105.13350976892478</v>
      </c>
      <c r="P369" s="1">
        <f t="shared" si="25"/>
        <v>4.3103987518549207</v>
      </c>
      <c r="Q369" s="1">
        <f t="shared" si="26"/>
        <v>0.64655981277823804</v>
      </c>
      <c r="R369" s="1">
        <f t="shared" si="27"/>
        <v>0.80408943083355977</v>
      </c>
      <c r="S369" s="1">
        <f t="shared" si="28"/>
        <v>-0.52063154857747362</v>
      </c>
      <c r="T369" s="56">
        <f t="shared" si="29"/>
        <v>0.30335821386551576</v>
      </c>
    </row>
    <row r="370" spans="1:20" x14ac:dyDescent="0.25">
      <c r="A370">
        <v>0.39637553761723876</v>
      </c>
      <c r="B370">
        <v>-1.2643022273550741</v>
      </c>
      <c r="D370">
        <v>0.35602254426421054</v>
      </c>
      <c r="E370">
        <v>-3.0592189011713344</v>
      </c>
      <c r="J370">
        <v>20</v>
      </c>
      <c r="K370">
        <v>6.7938856318505714E-2</v>
      </c>
      <c r="L370">
        <v>18.530396030904264</v>
      </c>
      <c r="M370">
        <v>10</v>
      </c>
      <c r="N370">
        <v>0.51570713935689128</v>
      </c>
      <c r="O370">
        <v>120.0103609134526</v>
      </c>
      <c r="P370" s="1">
        <f t="shared" si="25"/>
        <v>4.9478841765841741</v>
      </c>
      <c r="Q370" s="1">
        <f t="shared" si="26"/>
        <v>0.74218262648762612</v>
      </c>
      <c r="R370" s="1">
        <f t="shared" si="27"/>
        <v>0.86150021850701008</v>
      </c>
      <c r="S370" s="1">
        <f t="shared" si="28"/>
        <v>-0.5197541142988602</v>
      </c>
      <c r="T370" s="56">
        <f t="shared" si="29"/>
        <v>0.30365998750242973</v>
      </c>
    </row>
    <row r="371" spans="1:20" x14ac:dyDescent="0.25">
      <c r="A371">
        <v>0.39646027788147464</v>
      </c>
      <c r="B371">
        <v>-2.635715645737946E-2</v>
      </c>
      <c r="D371">
        <v>0.35659598541837889</v>
      </c>
      <c r="E371">
        <v>-4.9333600634327013</v>
      </c>
      <c r="J371">
        <v>20</v>
      </c>
      <c r="K371">
        <v>-0.23051768494042335</v>
      </c>
      <c r="L371">
        <v>22.519500006262724</v>
      </c>
      <c r="M371">
        <v>10</v>
      </c>
      <c r="N371">
        <v>0.20950471594005649</v>
      </c>
      <c r="O371">
        <v>113.93048171489497</v>
      </c>
      <c r="P371" s="1">
        <f t="shared" si="25"/>
        <v>4.873213632898489</v>
      </c>
      <c r="Q371" s="1">
        <f t="shared" si="26"/>
        <v>0.73098204493477337</v>
      </c>
      <c r="R371" s="1">
        <f t="shared" si="27"/>
        <v>0.85497487970979202</v>
      </c>
      <c r="S371" s="1">
        <f t="shared" si="28"/>
        <v>-0.51466120388219905</v>
      </c>
      <c r="T371" s="56">
        <f t="shared" si="29"/>
        <v>0.30541436181763992</v>
      </c>
    </row>
    <row r="372" spans="1:20" x14ac:dyDescent="0.25">
      <c r="A372">
        <v>0.39685634616405796</v>
      </c>
      <c r="B372">
        <v>-0.10249550541630015</v>
      </c>
      <c r="D372">
        <v>0.35706865978875602</v>
      </c>
      <c r="E372">
        <v>-0.95834412036310823</v>
      </c>
      <c r="J372">
        <v>20</v>
      </c>
      <c r="K372">
        <v>-0.13484117289408459</v>
      </c>
      <c r="L372">
        <v>20.380131111122285</v>
      </c>
      <c r="M372">
        <v>10</v>
      </c>
      <c r="N372">
        <v>0.19834896761494747</v>
      </c>
      <c r="O372">
        <v>57.889271344694222</v>
      </c>
      <c r="P372" s="1">
        <f t="shared" si="25"/>
        <v>2.7953358019934464</v>
      </c>
      <c r="Q372" s="1">
        <f t="shared" si="26"/>
        <v>0.41930037029901696</v>
      </c>
      <c r="R372" s="1">
        <f t="shared" si="27"/>
        <v>0.64753406883268849</v>
      </c>
      <c r="S372" s="1">
        <f t="shared" si="28"/>
        <v>-0.51455229391972357</v>
      </c>
      <c r="T372" s="56">
        <f t="shared" si="29"/>
        <v>0.30545193016144445</v>
      </c>
    </row>
    <row r="373" spans="1:20" x14ac:dyDescent="0.25">
      <c r="A373">
        <v>0.39837961683960599</v>
      </c>
      <c r="B373">
        <v>0.15054183677420951</v>
      </c>
      <c r="D373">
        <v>0.35898919114959582</v>
      </c>
      <c r="E373">
        <v>-0.30408432735384849</v>
      </c>
      <c r="J373">
        <v>20</v>
      </c>
      <c r="K373">
        <v>-0.19240553683630424</v>
      </c>
      <c r="L373">
        <v>27.891036544116151</v>
      </c>
      <c r="M373">
        <v>10</v>
      </c>
      <c r="N373">
        <v>0.20895867805847956</v>
      </c>
      <c r="O373">
        <v>86.202382492336667</v>
      </c>
      <c r="P373" s="1">
        <f t="shared" si="25"/>
        <v>4.0747649655876002</v>
      </c>
      <c r="Q373" s="1">
        <f t="shared" si="26"/>
        <v>0.61121474483813998</v>
      </c>
      <c r="R373" s="1">
        <f t="shared" si="27"/>
        <v>0.78180224151516731</v>
      </c>
      <c r="S373" s="1">
        <f t="shared" si="28"/>
        <v>-0.51338330025368339</v>
      </c>
      <c r="T373" s="56">
        <f t="shared" si="29"/>
        <v>0.30585530890263585</v>
      </c>
    </row>
    <row r="374" spans="1:20" x14ac:dyDescent="0.25">
      <c r="A374">
        <v>0.39999111761719242</v>
      </c>
      <c r="B374">
        <v>0.54160409490577877</v>
      </c>
      <c r="D374">
        <v>0.36118898557383439</v>
      </c>
      <c r="E374">
        <v>1.2824746102069184</v>
      </c>
      <c r="J374">
        <v>20</v>
      </c>
      <c r="K374">
        <v>-0.31568674785376061</v>
      </c>
      <c r="L374">
        <v>20.696114356026044</v>
      </c>
      <c r="M374">
        <v>10</v>
      </c>
      <c r="N374">
        <v>0.22079313680478663</v>
      </c>
      <c r="O374">
        <v>185.65730968509061</v>
      </c>
      <c r="P374" s="1">
        <f t="shared" si="25"/>
        <v>7.3697651443255952</v>
      </c>
      <c r="Q374" s="1">
        <f t="shared" si="26"/>
        <v>1.1054647716488393</v>
      </c>
      <c r="R374" s="1">
        <f t="shared" si="27"/>
        <v>1.0514108481696578</v>
      </c>
      <c r="S374" s="1">
        <f t="shared" si="28"/>
        <v>-0.51024762165282489</v>
      </c>
      <c r="T374" s="56">
        <f t="shared" si="29"/>
        <v>0.30693854769263418</v>
      </c>
    </row>
    <row r="375" spans="1:20" x14ac:dyDescent="0.25">
      <c r="A375">
        <v>0.40000327621662757</v>
      </c>
      <c r="B375">
        <v>0.10595726962492336</v>
      </c>
      <c r="D375">
        <v>0.36309413776978616</v>
      </c>
      <c r="E375">
        <v>-3.8527790593434474E-2</v>
      </c>
      <c r="J375">
        <v>20</v>
      </c>
      <c r="K375">
        <v>3.0772071113460697E-2</v>
      </c>
      <c r="L375">
        <v>19.536712085097271</v>
      </c>
      <c r="M375">
        <v>10</v>
      </c>
      <c r="N375">
        <v>0.3718628215665376</v>
      </c>
      <c r="O375">
        <v>64.149194771737498</v>
      </c>
      <c r="P375" s="1">
        <f t="shared" si="25"/>
        <v>2.9887823877440991</v>
      </c>
      <c r="Q375" s="1">
        <f t="shared" si="26"/>
        <v>0.44831735816161483</v>
      </c>
      <c r="R375" s="1">
        <f t="shared" si="27"/>
        <v>0.66956505147865564</v>
      </c>
      <c r="S375" s="1">
        <f t="shared" si="28"/>
        <v>-0.50942137690702061</v>
      </c>
      <c r="T375" s="56">
        <f t="shared" si="29"/>
        <v>0.3072242754674831</v>
      </c>
    </row>
    <row r="376" spans="1:20" x14ac:dyDescent="0.25">
      <c r="A376">
        <v>0.40050203462406408</v>
      </c>
      <c r="B376">
        <v>-1.2130658433306962</v>
      </c>
      <c r="D376">
        <v>0.36377868494629362</v>
      </c>
      <c r="E376">
        <v>4.1819459931957681</v>
      </c>
      <c r="J376">
        <v>20</v>
      </c>
      <c r="K376">
        <v>-0.2970425043713476</v>
      </c>
      <c r="L376">
        <v>27.163170504924469</v>
      </c>
      <c r="M376">
        <v>10</v>
      </c>
      <c r="N376">
        <v>0.14113367910795205</v>
      </c>
      <c r="O376">
        <v>112.45075633720883</v>
      </c>
      <c r="P376" s="1">
        <f t="shared" si="25"/>
        <v>4.9862116729333321</v>
      </c>
      <c r="Q376" s="1">
        <f t="shared" si="26"/>
        <v>0.74793175093999975</v>
      </c>
      <c r="R376" s="1">
        <f t="shared" si="27"/>
        <v>0.86483047526090318</v>
      </c>
      <c r="S376" s="1">
        <f t="shared" si="28"/>
        <v>-0.50666135851319316</v>
      </c>
      <c r="T376" s="56">
        <f t="shared" si="29"/>
        <v>0.30817962513894037</v>
      </c>
    </row>
    <row r="377" spans="1:20" x14ac:dyDescent="0.25">
      <c r="A377">
        <v>0.40102050313159321</v>
      </c>
      <c r="B377">
        <v>1.4221836863725912</v>
      </c>
      <c r="D377">
        <v>0.3644972443849317</v>
      </c>
      <c r="E377">
        <v>-1.7633526601912308</v>
      </c>
      <c r="J377">
        <v>20</v>
      </c>
      <c r="K377">
        <v>0.19650462945719482</v>
      </c>
      <c r="L377">
        <v>17.584660830594885</v>
      </c>
      <c r="M377">
        <v>10</v>
      </c>
      <c r="N377">
        <v>0.46176705495781789</v>
      </c>
      <c r="O377">
        <v>35.140405287815412</v>
      </c>
      <c r="P377" s="1">
        <f t="shared" si="25"/>
        <v>1.8830380756575107</v>
      </c>
      <c r="Q377" s="1">
        <f t="shared" si="26"/>
        <v>0.28245571134862657</v>
      </c>
      <c r="R377" s="1">
        <f t="shared" si="27"/>
        <v>0.53146562574509615</v>
      </c>
      <c r="S377" s="1">
        <f t="shared" si="28"/>
        <v>-0.49911492418486042</v>
      </c>
      <c r="T377" s="56">
        <f t="shared" si="29"/>
        <v>0.31079872804409048</v>
      </c>
    </row>
    <row r="378" spans="1:20" x14ac:dyDescent="0.25">
      <c r="A378">
        <v>0.401308071378358</v>
      </c>
      <c r="B378">
        <v>0.619202182861045</v>
      </c>
      <c r="D378">
        <v>0.36454228079051931</v>
      </c>
      <c r="E378">
        <v>-1.4589084037197608</v>
      </c>
      <c r="J378">
        <v>20</v>
      </c>
      <c r="K378">
        <v>2.7700934879248962E-3</v>
      </c>
      <c r="L378">
        <v>23.055041848267926</v>
      </c>
      <c r="M378">
        <v>10</v>
      </c>
      <c r="N378">
        <v>0.26451811777405965</v>
      </c>
      <c r="O378">
        <v>28.589860118822944</v>
      </c>
      <c r="P378" s="1">
        <f t="shared" si="25"/>
        <v>1.8444607845389598</v>
      </c>
      <c r="Q378" s="1">
        <f t="shared" si="26"/>
        <v>0.27666911768084396</v>
      </c>
      <c r="R378" s="1">
        <f t="shared" si="27"/>
        <v>0.52599345783084028</v>
      </c>
      <c r="S378" s="1">
        <f t="shared" si="28"/>
        <v>-0.49762600729972012</v>
      </c>
      <c r="T378" s="56">
        <f t="shared" si="29"/>
        <v>0.31131668091489695</v>
      </c>
    </row>
    <row r="379" spans="1:20" x14ac:dyDescent="0.25">
      <c r="A379">
        <v>0.40131673984429095</v>
      </c>
      <c r="B379">
        <v>0.33887658901221585</v>
      </c>
      <c r="D379">
        <v>0.36555642098504892</v>
      </c>
      <c r="E379">
        <v>2.9484938261248317</v>
      </c>
      <c r="J379">
        <v>20</v>
      </c>
      <c r="K379">
        <v>-5.3347832817962626E-2</v>
      </c>
      <c r="L379">
        <v>18.806377691100938</v>
      </c>
      <c r="M379">
        <v>10</v>
      </c>
      <c r="N379">
        <v>0.28671024324466998</v>
      </c>
      <c r="O379">
        <v>68.60954754249066</v>
      </c>
      <c r="P379" s="1">
        <f t="shared" si="25"/>
        <v>3.1219973297711285</v>
      </c>
      <c r="Q379" s="1">
        <f t="shared" si="26"/>
        <v>0.46829959946566924</v>
      </c>
      <c r="R379" s="1">
        <f t="shared" si="27"/>
        <v>0.68432419178753956</v>
      </c>
      <c r="S379" s="1">
        <f t="shared" si="28"/>
        <v>-0.49692540486455516</v>
      </c>
      <c r="T379" s="56">
        <f t="shared" si="29"/>
        <v>0.31156053747697399</v>
      </c>
    </row>
    <row r="380" spans="1:20" x14ac:dyDescent="0.25">
      <c r="A380">
        <v>0.40361322264839716</v>
      </c>
      <c r="B380">
        <v>0.38140569813549519</v>
      </c>
      <c r="D380">
        <v>0.36760232075775323</v>
      </c>
      <c r="E380">
        <v>0.48851302040020528</v>
      </c>
      <c r="J380">
        <v>20</v>
      </c>
      <c r="K380">
        <v>0.10778165915326099</v>
      </c>
      <c r="L380">
        <v>10.044478031537603</v>
      </c>
      <c r="M380">
        <v>10</v>
      </c>
      <c r="N380">
        <v>0.45948945285090304</v>
      </c>
      <c r="O380">
        <v>83.668268675190149</v>
      </c>
      <c r="P380" s="1">
        <f t="shared" si="25"/>
        <v>3.3468838109545627</v>
      </c>
      <c r="Q380" s="1">
        <f t="shared" si="26"/>
        <v>0.50203257164318438</v>
      </c>
      <c r="R380" s="1">
        <f t="shared" si="27"/>
        <v>0.7085425686881377</v>
      </c>
      <c r="S380" s="1">
        <f t="shared" si="28"/>
        <v>-0.49638202309965218</v>
      </c>
      <c r="T380" s="56">
        <f t="shared" si="29"/>
        <v>0.31174973074961915</v>
      </c>
    </row>
    <row r="381" spans="1:20" x14ac:dyDescent="0.25">
      <c r="A381">
        <v>0.40441636783583013</v>
      </c>
      <c r="B381">
        <v>0.23150960259954445</v>
      </c>
      <c r="D381">
        <v>0.36824694298278116</v>
      </c>
      <c r="E381">
        <v>-0.65274707935714105</v>
      </c>
      <c r="J381">
        <v>20</v>
      </c>
      <c r="K381">
        <v>0.11157629842273309</v>
      </c>
      <c r="L381">
        <v>12.266940496758567</v>
      </c>
      <c r="M381">
        <v>10</v>
      </c>
      <c r="N381">
        <v>0.68636529363175214</v>
      </c>
      <c r="O381">
        <v>242.45398291592232</v>
      </c>
      <c r="P381" s="1">
        <f t="shared" si="25"/>
        <v>9.0971758361671746</v>
      </c>
      <c r="Q381" s="1">
        <f t="shared" si="26"/>
        <v>1.3645763754250761</v>
      </c>
      <c r="R381" s="1">
        <f t="shared" si="27"/>
        <v>1.1681508359047972</v>
      </c>
      <c r="S381" s="1">
        <f t="shared" si="28"/>
        <v>-0.4920503222204291</v>
      </c>
      <c r="T381" s="56">
        <f t="shared" si="29"/>
        <v>0.31325980158909356</v>
      </c>
    </row>
    <row r="382" spans="1:20" x14ac:dyDescent="0.25">
      <c r="A382">
        <v>0.40534917534170523</v>
      </c>
      <c r="B382">
        <v>-0.43293880480632652</v>
      </c>
      <c r="D382">
        <v>0.3703651899289746</v>
      </c>
      <c r="E382">
        <v>1.7579879988716129</v>
      </c>
      <c r="J382">
        <v>20</v>
      </c>
      <c r="K382">
        <v>-0.20695011926363804</v>
      </c>
      <c r="L382">
        <v>26.017073721514262</v>
      </c>
      <c r="M382">
        <v>10</v>
      </c>
      <c r="N382">
        <v>0.13670125667886168</v>
      </c>
      <c r="O382">
        <v>65.506852016470461</v>
      </c>
      <c r="P382" s="1">
        <f t="shared" si="25"/>
        <v>3.2687116334994544</v>
      </c>
      <c r="Q382" s="1">
        <f t="shared" si="26"/>
        <v>0.49030674502491811</v>
      </c>
      <c r="R382" s="1">
        <f t="shared" si="27"/>
        <v>0.70021906930968258</v>
      </c>
      <c r="S382" s="1">
        <f t="shared" si="28"/>
        <v>-0.49077694539409161</v>
      </c>
      <c r="T382" s="56">
        <f t="shared" si="29"/>
        <v>0.31370434270483116</v>
      </c>
    </row>
    <row r="383" spans="1:20" x14ac:dyDescent="0.25">
      <c r="A383">
        <v>0.4070209445762345</v>
      </c>
      <c r="B383">
        <v>0.15162527233769652</v>
      </c>
      <c r="D383">
        <v>0.37112068999084713</v>
      </c>
      <c r="E383">
        <v>1.7754025486738101</v>
      </c>
      <c r="J383">
        <v>20</v>
      </c>
      <c r="K383">
        <v>0.16792154156064498</v>
      </c>
      <c r="L383">
        <v>20.413731556143652</v>
      </c>
      <c r="M383">
        <v>10</v>
      </c>
      <c r="N383">
        <v>0.66047641325894801</v>
      </c>
      <c r="O383">
        <v>174.3329145697131</v>
      </c>
      <c r="P383" s="1">
        <f t="shared" si="25"/>
        <v>6.9552373616377414</v>
      </c>
      <c r="Q383" s="1">
        <f t="shared" si="26"/>
        <v>1.0432856042456611</v>
      </c>
      <c r="R383" s="1">
        <f t="shared" si="27"/>
        <v>1.021413532437113</v>
      </c>
      <c r="S383" s="1">
        <f t="shared" si="28"/>
        <v>-0.48222865279947619</v>
      </c>
      <c r="T383" s="56">
        <f t="shared" si="29"/>
        <v>0.31669594813798263</v>
      </c>
    </row>
    <row r="384" spans="1:20" x14ac:dyDescent="0.25">
      <c r="A384">
        <v>0.40766065634760651</v>
      </c>
      <c r="B384">
        <v>1.1736210581148043</v>
      </c>
      <c r="D384">
        <v>0.37204800581568009</v>
      </c>
      <c r="E384">
        <v>5.538643787303954</v>
      </c>
      <c r="J384">
        <v>20</v>
      </c>
      <c r="K384">
        <v>4.6995637603686191E-2</v>
      </c>
      <c r="L384">
        <v>18.738543610246627</v>
      </c>
      <c r="M384">
        <v>10</v>
      </c>
      <c r="N384">
        <v>0.28746364591825113</v>
      </c>
      <c r="O384">
        <v>30.744945207225044</v>
      </c>
      <c r="P384" s="1">
        <f t="shared" si="25"/>
        <v>1.7672674577668452</v>
      </c>
      <c r="Q384" s="1">
        <f t="shared" si="26"/>
        <v>0.2650901186650268</v>
      </c>
      <c r="R384" s="1">
        <f t="shared" si="27"/>
        <v>0.51486903059421507</v>
      </c>
      <c r="S384" s="1">
        <f t="shared" si="28"/>
        <v>-0.46704694597194668</v>
      </c>
      <c r="T384" s="56">
        <f t="shared" si="29"/>
        <v>0.32204020229156166</v>
      </c>
    </row>
    <row r="385" spans="1:20" x14ac:dyDescent="0.25">
      <c r="A385">
        <v>0.40827130160837344</v>
      </c>
      <c r="B385">
        <v>0.36753817767021246</v>
      </c>
      <c r="D385">
        <v>0.37432049225328712</v>
      </c>
      <c r="E385">
        <v>1.0983667345954018</v>
      </c>
      <c r="J385">
        <v>20</v>
      </c>
      <c r="K385">
        <v>7.2704608555795858E-2</v>
      </c>
      <c r="L385">
        <v>18.244363197932159</v>
      </c>
      <c r="M385">
        <v>10</v>
      </c>
      <c r="N385">
        <v>0.33426567483729741</v>
      </c>
      <c r="O385">
        <v>40.697506610274182</v>
      </c>
      <c r="P385" s="1">
        <f t="shared" si="25"/>
        <v>2.1050667788645123</v>
      </c>
      <c r="Q385" s="1">
        <f t="shared" si="26"/>
        <v>0.31576001682967686</v>
      </c>
      <c r="R385" s="1">
        <f t="shared" si="27"/>
        <v>0.56192527690937422</v>
      </c>
      <c r="S385" s="1">
        <f t="shared" si="28"/>
        <v>-0.4654730389067111</v>
      </c>
      <c r="T385" s="56">
        <f t="shared" si="29"/>
        <v>0.32259650055387773</v>
      </c>
    </row>
    <row r="386" spans="1:20" x14ac:dyDescent="0.25">
      <c r="A386">
        <v>0.40974316280372658</v>
      </c>
      <c r="B386">
        <v>0.61892478697700426</v>
      </c>
      <c r="D386">
        <v>0.375033256144083</v>
      </c>
      <c r="E386">
        <v>-1.2949810786722082</v>
      </c>
      <c r="J386">
        <v>20</v>
      </c>
      <c r="K386">
        <v>0.33035928481695009</v>
      </c>
      <c r="L386">
        <v>12.68727879431758</v>
      </c>
      <c r="M386">
        <v>10</v>
      </c>
      <c r="N386">
        <v>0.69397844640661788</v>
      </c>
      <c r="O386">
        <v>103.86066992727584</v>
      </c>
      <c r="P386" s="1">
        <f t="shared" ref="P386:P449" si="30">(L386+O386)/(J386+M386-2)</f>
        <v>4.1624267400569073</v>
      </c>
      <c r="Q386" s="1">
        <f t="shared" ref="Q386:Q449" si="31">P386*0.15</f>
        <v>0.62436401100853611</v>
      </c>
      <c r="R386" s="1">
        <f t="shared" ref="R386:R449" si="32">SQRT(Q386)</f>
        <v>0.79016707790728413</v>
      </c>
      <c r="S386" s="1">
        <f t="shared" ref="S386:S449" si="33">(K386-N386)/R386</f>
        <v>-0.46018009577505303</v>
      </c>
      <c r="T386" s="56">
        <f t="shared" ref="T386:T449" si="34">_xlfn.T.DIST(S386,28,TRUE)</f>
        <v>0.32447036177344052</v>
      </c>
    </row>
    <row r="387" spans="1:20" x14ac:dyDescent="0.25">
      <c r="A387">
        <v>0.41040530492280325</v>
      </c>
      <c r="B387">
        <v>-2.3113534552976489</v>
      </c>
      <c r="D387">
        <v>0.37545403759306695</v>
      </c>
      <c r="E387">
        <v>3.2577879630935058</v>
      </c>
      <c r="J387">
        <v>20</v>
      </c>
      <c r="K387">
        <v>-0.10555498874964542</v>
      </c>
      <c r="L387">
        <v>25.818089328094917</v>
      </c>
      <c r="M387">
        <v>10</v>
      </c>
      <c r="N387">
        <v>0.28273177235860203</v>
      </c>
      <c r="O387">
        <v>111.50512402363819</v>
      </c>
      <c r="P387" s="1">
        <f t="shared" si="30"/>
        <v>4.904400476847611</v>
      </c>
      <c r="Q387" s="1">
        <f t="shared" si="31"/>
        <v>0.73566007152714163</v>
      </c>
      <c r="R387" s="1">
        <f t="shared" si="32"/>
        <v>0.8577062851157975</v>
      </c>
      <c r="S387" s="1">
        <f t="shared" si="33"/>
        <v>-0.45270364441345501</v>
      </c>
      <c r="T387" s="56">
        <f t="shared" si="34"/>
        <v>0.32712524502705786</v>
      </c>
    </row>
    <row r="388" spans="1:20" x14ac:dyDescent="0.25">
      <c r="A388">
        <v>0.41091475127092447</v>
      </c>
      <c r="B388">
        <v>0.1303783392359037</v>
      </c>
      <c r="D388">
        <v>0.37627855439162006</v>
      </c>
      <c r="E388">
        <v>-0.90307185359961295</v>
      </c>
      <c r="J388">
        <v>20</v>
      </c>
      <c r="K388">
        <v>-0.47371963773912285</v>
      </c>
      <c r="L388">
        <v>23.876217432991943</v>
      </c>
      <c r="M388">
        <v>10</v>
      </c>
      <c r="N388">
        <v>-0.16647527786517458</v>
      </c>
      <c r="O388">
        <v>62.623496028020995</v>
      </c>
      <c r="P388" s="1">
        <f t="shared" si="30"/>
        <v>3.0892754807504619</v>
      </c>
      <c r="Q388" s="1">
        <f t="shared" si="31"/>
        <v>0.46339132211256928</v>
      </c>
      <c r="R388" s="1">
        <f t="shared" si="32"/>
        <v>0.68072852306376097</v>
      </c>
      <c r="S388" s="1">
        <f t="shared" si="33"/>
        <v>-0.45134638767761753</v>
      </c>
      <c r="T388" s="56">
        <f t="shared" si="34"/>
        <v>0.32760820210057107</v>
      </c>
    </row>
    <row r="389" spans="1:20" x14ac:dyDescent="0.25">
      <c r="A389">
        <v>0.41174972211929861</v>
      </c>
      <c r="B389">
        <v>0.32779780667624436</v>
      </c>
      <c r="D389">
        <v>0.37633565986833495</v>
      </c>
      <c r="E389">
        <v>1.5275368207312567</v>
      </c>
      <c r="J389">
        <v>20</v>
      </c>
      <c r="K389">
        <v>0.14680335880257189</v>
      </c>
      <c r="L389">
        <v>13.197840355787761</v>
      </c>
      <c r="M389">
        <v>10</v>
      </c>
      <c r="N389">
        <v>0.45725277800556796</v>
      </c>
      <c r="O389">
        <v>75.936959134851634</v>
      </c>
      <c r="P389" s="1">
        <f t="shared" si="30"/>
        <v>3.1833856960942639</v>
      </c>
      <c r="Q389" s="1">
        <f t="shared" si="31"/>
        <v>0.47750785441413957</v>
      </c>
      <c r="R389" s="1">
        <f t="shared" si="32"/>
        <v>0.69101943128550269</v>
      </c>
      <c r="S389" s="1">
        <f t="shared" si="33"/>
        <v>-0.44926293697048048</v>
      </c>
      <c r="T389" s="56">
        <f t="shared" si="34"/>
        <v>0.32835015497483211</v>
      </c>
    </row>
    <row r="390" spans="1:20" x14ac:dyDescent="0.25">
      <c r="A390">
        <v>0.41193517361416743</v>
      </c>
      <c r="B390">
        <v>6.4801497501321137E-2</v>
      </c>
      <c r="D390">
        <v>0.37773329470549322</v>
      </c>
      <c r="E390">
        <v>1.1736967701381218</v>
      </c>
      <c r="J390">
        <v>20</v>
      </c>
      <c r="K390">
        <v>0.10074421652461751</v>
      </c>
      <c r="L390">
        <v>11.545175950937924</v>
      </c>
      <c r="M390">
        <v>10</v>
      </c>
      <c r="N390">
        <v>0.49798427085079311</v>
      </c>
      <c r="O390">
        <v>135.58084989718819</v>
      </c>
      <c r="P390" s="1">
        <f t="shared" si="30"/>
        <v>5.2545009231473614</v>
      </c>
      <c r="Q390" s="1">
        <f t="shared" si="31"/>
        <v>0.78817513847210419</v>
      </c>
      <c r="R390" s="1">
        <f t="shared" si="32"/>
        <v>0.88779228340423422</v>
      </c>
      <c r="S390" s="1">
        <f t="shared" si="33"/>
        <v>-0.4474470681395889</v>
      </c>
      <c r="T390" s="56">
        <f t="shared" si="34"/>
        <v>0.32899740012826573</v>
      </c>
    </row>
    <row r="391" spans="1:20" x14ac:dyDescent="0.25">
      <c r="A391">
        <v>0.41328898512892387</v>
      </c>
      <c r="B391">
        <v>0.11950646694458555</v>
      </c>
      <c r="D391">
        <v>0.37813622403754787</v>
      </c>
      <c r="E391">
        <v>1.076378563311664</v>
      </c>
      <c r="J391">
        <v>20</v>
      </c>
      <c r="K391">
        <v>9.9542432963062311E-2</v>
      </c>
      <c r="L391">
        <v>12.551418111442466</v>
      </c>
      <c r="M391">
        <v>10</v>
      </c>
      <c r="N391">
        <v>0.4186801982086763</v>
      </c>
      <c r="O391">
        <v>82.574146096062094</v>
      </c>
      <c r="P391" s="1">
        <f t="shared" si="30"/>
        <v>3.3973415788394488</v>
      </c>
      <c r="Q391" s="1">
        <f t="shared" si="31"/>
        <v>0.50960123682591729</v>
      </c>
      <c r="R391" s="1">
        <f t="shared" si="32"/>
        <v>0.71386359819360257</v>
      </c>
      <c r="S391" s="1">
        <f t="shared" si="33"/>
        <v>-0.44705706531776762</v>
      </c>
      <c r="T391" s="56">
        <f t="shared" si="34"/>
        <v>0.32913648269800522</v>
      </c>
    </row>
    <row r="392" spans="1:20" x14ac:dyDescent="0.25">
      <c r="A392">
        <v>0.41375214920498293</v>
      </c>
      <c r="B392">
        <v>-0.3827221917163115</v>
      </c>
      <c r="D392">
        <v>0.3785449523508172</v>
      </c>
      <c r="E392">
        <v>-0.79997267107501102</v>
      </c>
      <c r="J392">
        <v>20</v>
      </c>
      <c r="K392">
        <v>2.8177510102977976E-2</v>
      </c>
      <c r="L392">
        <v>13.979147148141115</v>
      </c>
      <c r="M392">
        <v>10</v>
      </c>
      <c r="N392">
        <v>0.39290250356316392</v>
      </c>
      <c r="O392">
        <v>112.6878156070221</v>
      </c>
      <c r="P392" s="1">
        <f t="shared" si="30"/>
        <v>4.5238200983986863</v>
      </c>
      <c r="Q392" s="1">
        <f t="shared" si="31"/>
        <v>0.67857301475980292</v>
      </c>
      <c r="R392" s="1">
        <f t="shared" si="32"/>
        <v>0.82375543382717842</v>
      </c>
      <c r="S392" s="1">
        <f t="shared" si="33"/>
        <v>-0.44275883166641938</v>
      </c>
      <c r="T392" s="56">
        <f t="shared" si="34"/>
        <v>0.33067096447802702</v>
      </c>
    </row>
    <row r="393" spans="1:20" x14ac:dyDescent="0.25">
      <c r="A393">
        <v>0.41419696131822059</v>
      </c>
      <c r="B393">
        <v>-0.35969264899904374</v>
      </c>
      <c r="D393">
        <v>0.3818358165992386</v>
      </c>
      <c r="E393">
        <v>1.5862231032315321</v>
      </c>
      <c r="J393">
        <v>20</v>
      </c>
      <c r="K393">
        <v>0.12634683344003861</v>
      </c>
      <c r="L393">
        <v>23.272319535396999</v>
      </c>
      <c r="M393">
        <v>10</v>
      </c>
      <c r="N393">
        <v>0.52761424399250245</v>
      </c>
      <c r="O393">
        <v>134.1307019993238</v>
      </c>
      <c r="P393" s="1">
        <f t="shared" si="30"/>
        <v>5.6215364833828856</v>
      </c>
      <c r="Q393" s="1">
        <f t="shared" si="31"/>
        <v>0.84323047250743277</v>
      </c>
      <c r="R393" s="1">
        <f t="shared" si="32"/>
        <v>0.91827581505092071</v>
      </c>
      <c r="S393" s="1">
        <f t="shared" si="33"/>
        <v>-0.4369791776887999</v>
      </c>
      <c r="T393" s="56">
        <f t="shared" si="34"/>
        <v>0.33273905272360749</v>
      </c>
    </row>
    <row r="394" spans="1:20" x14ac:dyDescent="0.25">
      <c r="A394">
        <v>0.41438560793435431</v>
      </c>
      <c r="B394">
        <v>-0.2545948518672958</v>
      </c>
      <c r="D394">
        <v>0.38234500807031868</v>
      </c>
      <c r="E394">
        <v>4.6796897061085474</v>
      </c>
      <c r="J394">
        <v>20</v>
      </c>
      <c r="K394">
        <v>-7.8937659964140039E-2</v>
      </c>
      <c r="L394">
        <v>23.491369851718922</v>
      </c>
      <c r="M394">
        <v>10</v>
      </c>
      <c r="N394">
        <v>0.16531896221749776</v>
      </c>
      <c r="O394">
        <v>34.848582465800426</v>
      </c>
      <c r="P394" s="1">
        <f t="shared" si="30"/>
        <v>2.0835697256256909</v>
      </c>
      <c r="Q394" s="1">
        <f t="shared" si="31"/>
        <v>0.31253545884385364</v>
      </c>
      <c r="R394" s="1">
        <f t="shared" si="32"/>
        <v>0.5590487088294307</v>
      </c>
      <c r="S394" s="1">
        <f t="shared" si="33"/>
        <v>-0.43691474163866112</v>
      </c>
      <c r="T394" s="56">
        <f t="shared" si="34"/>
        <v>0.33276213979900643</v>
      </c>
    </row>
    <row r="395" spans="1:20" x14ac:dyDescent="0.25">
      <c r="A395">
        <v>0.41523326374528935</v>
      </c>
      <c r="B395">
        <v>0.965490016824333</v>
      </c>
      <c r="D395">
        <v>0.38273400723372675</v>
      </c>
      <c r="E395">
        <v>1.4804465956785862</v>
      </c>
      <c r="J395">
        <v>20</v>
      </c>
      <c r="K395">
        <v>-0.18240115196022089</v>
      </c>
      <c r="L395">
        <v>18.768711096805053</v>
      </c>
      <c r="M395">
        <v>10</v>
      </c>
      <c r="N395">
        <v>4.8286093488059123E-2</v>
      </c>
      <c r="O395">
        <v>34.297205282624205</v>
      </c>
      <c r="P395" s="1">
        <f t="shared" si="30"/>
        <v>1.8952112992653305</v>
      </c>
      <c r="Q395" s="1">
        <f t="shared" si="31"/>
        <v>0.28428169488979954</v>
      </c>
      <c r="R395" s="1">
        <f t="shared" si="32"/>
        <v>0.53318073379464825</v>
      </c>
      <c r="S395" s="1">
        <f t="shared" si="33"/>
        <v>-0.43266238036486887</v>
      </c>
      <c r="T395" s="56">
        <f t="shared" si="34"/>
        <v>0.33428721132416178</v>
      </c>
    </row>
    <row r="396" spans="1:20" x14ac:dyDescent="0.25">
      <c r="A396">
        <v>0.41745294947395639</v>
      </c>
      <c r="B396">
        <v>-0.48177867029153276</v>
      </c>
      <c r="D396">
        <v>0.3830477622447328</v>
      </c>
      <c r="E396">
        <v>5.3009109672075283</v>
      </c>
      <c r="J396">
        <v>20</v>
      </c>
      <c r="K396">
        <v>-5.0282608299312415E-2</v>
      </c>
      <c r="L396">
        <v>17.233385605833412</v>
      </c>
      <c r="M396">
        <v>10</v>
      </c>
      <c r="N396">
        <v>0.13161433912500797</v>
      </c>
      <c r="O396">
        <v>16.875597651372736</v>
      </c>
      <c r="P396" s="1">
        <f t="shared" si="30"/>
        <v>1.2181779734716482</v>
      </c>
      <c r="Q396" s="1">
        <f t="shared" si="31"/>
        <v>0.18272669602074723</v>
      </c>
      <c r="R396" s="1">
        <f t="shared" si="32"/>
        <v>0.4274654325448401</v>
      </c>
      <c r="S396" s="1">
        <f t="shared" si="33"/>
        <v>-0.42552434319993776</v>
      </c>
      <c r="T396" s="56">
        <f t="shared" si="34"/>
        <v>0.33685368943186966</v>
      </c>
    </row>
    <row r="397" spans="1:20" x14ac:dyDescent="0.25">
      <c r="A397">
        <v>0.41908648199407228</v>
      </c>
      <c r="B397">
        <v>0.11842757885460742</v>
      </c>
      <c r="D397">
        <v>0.38319391179900408</v>
      </c>
      <c r="E397">
        <v>-0.25829354285633599</v>
      </c>
      <c r="J397">
        <v>20</v>
      </c>
      <c r="K397">
        <v>-0.14113817314864718</v>
      </c>
      <c r="L397">
        <v>22.808965182860756</v>
      </c>
      <c r="M397">
        <v>10</v>
      </c>
      <c r="N397">
        <v>0.1149937781974586</v>
      </c>
      <c r="O397">
        <v>45.526450344613217</v>
      </c>
      <c r="P397" s="1">
        <f t="shared" si="30"/>
        <v>2.4405505545526416</v>
      </c>
      <c r="Q397" s="1">
        <f t="shared" si="31"/>
        <v>0.36608258318289622</v>
      </c>
      <c r="R397" s="1">
        <f t="shared" si="32"/>
        <v>0.6050475875358039</v>
      </c>
      <c r="S397" s="1">
        <f t="shared" si="33"/>
        <v>-0.42332529973264144</v>
      </c>
      <c r="T397" s="56">
        <f t="shared" si="34"/>
        <v>0.33764597844109906</v>
      </c>
    </row>
    <row r="398" spans="1:20" x14ac:dyDescent="0.25">
      <c r="A398">
        <v>0.42029785658454344</v>
      </c>
      <c r="B398">
        <v>-1.5720615920145065E-2</v>
      </c>
      <c r="D398">
        <v>0.38563096158391097</v>
      </c>
      <c r="E398">
        <v>2.3665320406962564</v>
      </c>
      <c r="J398">
        <v>20</v>
      </c>
      <c r="K398">
        <v>-0.28152231834610575</v>
      </c>
      <c r="L398">
        <v>14.317138188651034</v>
      </c>
      <c r="M398">
        <v>10</v>
      </c>
      <c r="N398">
        <v>2.5761775077626226E-2</v>
      </c>
      <c r="O398">
        <v>84.097559879482645</v>
      </c>
      <c r="P398" s="1">
        <f t="shared" si="30"/>
        <v>3.5148106452904884</v>
      </c>
      <c r="Q398" s="1">
        <f t="shared" si="31"/>
        <v>0.52722159679357328</v>
      </c>
      <c r="R398" s="1">
        <f t="shared" si="32"/>
        <v>0.72610026635002223</v>
      </c>
      <c r="S398" s="1">
        <f t="shared" si="33"/>
        <v>-0.42319788005091202</v>
      </c>
      <c r="T398" s="56">
        <f t="shared" si="34"/>
        <v>0.33769190953174727</v>
      </c>
    </row>
    <row r="399" spans="1:20" x14ac:dyDescent="0.25">
      <c r="A399">
        <v>0.42050082220381235</v>
      </c>
      <c r="B399">
        <v>0.60858155848109163</v>
      </c>
      <c r="D399">
        <v>0.38713799753814426</v>
      </c>
      <c r="E399">
        <v>-1.30247417814644</v>
      </c>
      <c r="J399">
        <v>20</v>
      </c>
      <c r="K399">
        <v>-0.12343986099949689</v>
      </c>
      <c r="L399">
        <v>24.563274207025959</v>
      </c>
      <c r="M399">
        <v>10</v>
      </c>
      <c r="N399">
        <v>0.30540308785020898</v>
      </c>
      <c r="O399">
        <v>167.72166638474718</v>
      </c>
      <c r="P399" s="1">
        <f t="shared" si="30"/>
        <v>6.8673193068490406</v>
      </c>
      <c r="Q399" s="1">
        <f t="shared" si="31"/>
        <v>1.0300978960273561</v>
      </c>
      <c r="R399" s="1">
        <f t="shared" si="32"/>
        <v>1.0149373852742622</v>
      </c>
      <c r="S399" s="1">
        <f t="shared" si="33"/>
        <v>-0.4225314340291263</v>
      </c>
      <c r="T399" s="56">
        <f t="shared" si="34"/>
        <v>0.33793218546371306</v>
      </c>
    </row>
    <row r="400" spans="1:20" x14ac:dyDescent="0.25">
      <c r="A400">
        <v>0.42066250612952671</v>
      </c>
      <c r="B400">
        <v>0.88259866970474832</v>
      </c>
      <c r="D400">
        <v>0.38802827219744218</v>
      </c>
      <c r="E400">
        <v>3.746432181515047</v>
      </c>
      <c r="J400">
        <v>20</v>
      </c>
      <c r="K400">
        <v>-0.58939053815265652</v>
      </c>
      <c r="L400">
        <v>14.380381113506745</v>
      </c>
      <c r="M400">
        <v>10</v>
      </c>
      <c r="N400">
        <v>-0.11753991543628217</v>
      </c>
      <c r="O400">
        <v>223.62742354305297</v>
      </c>
      <c r="P400" s="1">
        <f t="shared" si="30"/>
        <v>8.5002787377342752</v>
      </c>
      <c r="Q400" s="1">
        <f t="shared" si="31"/>
        <v>1.2750418106601413</v>
      </c>
      <c r="R400" s="1">
        <f t="shared" si="32"/>
        <v>1.1291774929833402</v>
      </c>
      <c r="S400" s="1">
        <f t="shared" si="33"/>
        <v>-0.41787108372991277</v>
      </c>
      <c r="T400" s="56">
        <f t="shared" si="34"/>
        <v>0.33961433790166684</v>
      </c>
    </row>
    <row r="401" spans="1:20" x14ac:dyDescent="0.25">
      <c r="A401">
        <v>0.42122291263973199</v>
      </c>
      <c r="B401">
        <v>2.2814310796093196</v>
      </c>
      <c r="D401">
        <v>0.39063891440550014</v>
      </c>
      <c r="E401">
        <v>5.5879474950870645</v>
      </c>
      <c r="J401">
        <v>20</v>
      </c>
      <c r="K401">
        <v>-0.10617441148497164</v>
      </c>
      <c r="L401">
        <v>8.6134998958522857</v>
      </c>
      <c r="M401">
        <v>10</v>
      </c>
      <c r="N401">
        <v>0.30789010111220705</v>
      </c>
      <c r="O401">
        <v>179.8185147545131</v>
      </c>
      <c r="P401" s="1">
        <f t="shared" si="30"/>
        <v>6.7297148089416208</v>
      </c>
      <c r="Q401" s="1">
        <f t="shared" si="31"/>
        <v>1.0094572213412432</v>
      </c>
      <c r="R401" s="1">
        <f t="shared" si="32"/>
        <v>1.0047174833460615</v>
      </c>
      <c r="S401" s="1">
        <f t="shared" si="33"/>
        <v>-0.41212034174840739</v>
      </c>
      <c r="T401" s="56">
        <f t="shared" si="34"/>
        <v>0.34169471585567468</v>
      </c>
    </row>
    <row r="402" spans="1:20" x14ac:dyDescent="0.25">
      <c r="A402">
        <v>0.42239607515299205</v>
      </c>
      <c r="B402">
        <v>-0.51530150813050568</v>
      </c>
      <c r="D402">
        <v>0.39126325301988729</v>
      </c>
      <c r="E402">
        <v>-1.6727202591937385E-2</v>
      </c>
      <c r="J402">
        <v>20</v>
      </c>
      <c r="K402">
        <v>5.7965053201769479E-2</v>
      </c>
      <c r="L402">
        <v>6.296794804462011</v>
      </c>
      <c r="M402">
        <v>10</v>
      </c>
      <c r="N402">
        <v>0.39188375581034052</v>
      </c>
      <c r="O402">
        <v>116.54761801561959</v>
      </c>
      <c r="P402" s="1">
        <f t="shared" si="30"/>
        <v>4.3873004578600572</v>
      </c>
      <c r="Q402" s="1">
        <f t="shared" si="31"/>
        <v>0.65809506867900858</v>
      </c>
      <c r="R402" s="1">
        <f t="shared" si="32"/>
        <v>0.81123058909228063</v>
      </c>
      <c r="S402" s="1">
        <f t="shared" si="33"/>
        <v>-0.41161995996995926</v>
      </c>
      <c r="T402" s="56">
        <f t="shared" si="34"/>
        <v>0.34187597422059479</v>
      </c>
    </row>
    <row r="403" spans="1:20" x14ac:dyDescent="0.25">
      <c r="A403">
        <v>0.42243392866040208</v>
      </c>
      <c r="B403">
        <v>-1.5740215530968271</v>
      </c>
      <c r="D403">
        <v>0.39176753023066047</v>
      </c>
      <c r="E403">
        <v>0.60496813262034266</v>
      </c>
      <c r="J403">
        <v>20</v>
      </c>
      <c r="K403">
        <v>0.42402888311698916</v>
      </c>
      <c r="L403">
        <v>21.666885561544959</v>
      </c>
      <c r="M403">
        <v>10</v>
      </c>
      <c r="N403">
        <v>0.75471654895409301</v>
      </c>
      <c r="O403">
        <v>99.428775284274366</v>
      </c>
      <c r="P403" s="1">
        <f t="shared" si="30"/>
        <v>4.3248450302078334</v>
      </c>
      <c r="Q403" s="1">
        <f t="shared" si="31"/>
        <v>0.64872675453117501</v>
      </c>
      <c r="R403" s="1">
        <f t="shared" si="32"/>
        <v>0.80543575444052329</v>
      </c>
      <c r="S403" s="1">
        <f t="shared" si="33"/>
        <v>-0.41056988594553784</v>
      </c>
      <c r="T403" s="56">
        <f t="shared" si="34"/>
        <v>0.34225647810648197</v>
      </c>
    </row>
    <row r="404" spans="1:20" x14ac:dyDescent="0.25">
      <c r="A404">
        <v>0.42295319288634659</v>
      </c>
      <c r="B404">
        <v>-1.9360777514521033</v>
      </c>
      <c r="D404">
        <v>0.39190653003580478</v>
      </c>
      <c r="E404">
        <v>-9.0281598693309206</v>
      </c>
      <c r="J404">
        <v>20</v>
      </c>
      <c r="K404">
        <v>0.12306730923228315</v>
      </c>
      <c r="L404">
        <v>25.257983853798549</v>
      </c>
      <c r="M404">
        <v>10</v>
      </c>
      <c r="N404">
        <v>0.43288877918712387</v>
      </c>
      <c r="O404">
        <v>81.300194837949803</v>
      </c>
      <c r="P404" s="1">
        <f t="shared" si="30"/>
        <v>3.8056492389910126</v>
      </c>
      <c r="Q404" s="1">
        <f t="shared" si="31"/>
        <v>0.57084738584865191</v>
      </c>
      <c r="R404" s="1">
        <f t="shared" si="32"/>
        <v>0.75554443009571048</v>
      </c>
      <c r="S404" s="1">
        <f t="shared" si="33"/>
        <v>-0.41006386601988887</v>
      </c>
      <c r="T404" s="56">
        <f t="shared" si="34"/>
        <v>0.34243989937217123</v>
      </c>
    </row>
    <row r="405" spans="1:20" x14ac:dyDescent="0.25">
      <c r="A405">
        <v>0.42298788254872099</v>
      </c>
      <c r="B405">
        <v>0.98966665973421186</v>
      </c>
      <c r="D405">
        <v>0.39252241968397328</v>
      </c>
      <c r="E405">
        <v>1.0225387507034611</v>
      </c>
      <c r="J405">
        <v>20</v>
      </c>
      <c r="K405">
        <v>3.2651826131768757E-2</v>
      </c>
      <c r="L405">
        <v>17.229941928028225</v>
      </c>
      <c r="M405">
        <v>10</v>
      </c>
      <c r="N405">
        <v>0.41309021639790444</v>
      </c>
      <c r="O405">
        <v>146.09733080985461</v>
      </c>
      <c r="P405" s="1">
        <f t="shared" si="30"/>
        <v>5.8331168834958147</v>
      </c>
      <c r="Q405" s="1">
        <f t="shared" si="31"/>
        <v>0.8749675325243722</v>
      </c>
      <c r="R405" s="1">
        <f t="shared" si="32"/>
        <v>0.93539699193677772</v>
      </c>
      <c r="S405" s="1">
        <f t="shared" si="33"/>
        <v>-0.40671329237270953</v>
      </c>
      <c r="T405" s="56">
        <f t="shared" si="34"/>
        <v>0.34365539670971845</v>
      </c>
    </row>
    <row r="406" spans="1:20" x14ac:dyDescent="0.25">
      <c r="A406">
        <v>0.42310191429933819</v>
      </c>
      <c r="B406">
        <v>-0.10341864253859967</v>
      </c>
      <c r="D406">
        <v>0.39253607636596199</v>
      </c>
      <c r="E406">
        <v>3.4274451047622279</v>
      </c>
      <c r="J406">
        <v>20</v>
      </c>
      <c r="K406">
        <v>6.9655868628615281E-2</v>
      </c>
      <c r="L406">
        <v>13.243479191734659</v>
      </c>
      <c r="M406">
        <v>10</v>
      </c>
      <c r="N406">
        <v>0.38378493286472803</v>
      </c>
      <c r="O406">
        <v>101.25129204052398</v>
      </c>
      <c r="P406" s="1">
        <f t="shared" si="30"/>
        <v>4.0890989725806657</v>
      </c>
      <c r="Q406" s="1">
        <f t="shared" si="31"/>
        <v>0.61336484588709983</v>
      </c>
      <c r="R406" s="1">
        <f t="shared" si="32"/>
        <v>0.78317612699002759</v>
      </c>
      <c r="S406" s="1">
        <f t="shared" si="33"/>
        <v>-0.40109632228372644</v>
      </c>
      <c r="T406" s="56">
        <f t="shared" si="34"/>
        <v>0.34569690417143462</v>
      </c>
    </row>
    <row r="407" spans="1:20" x14ac:dyDescent="0.25">
      <c r="A407">
        <v>0.42481447127794159</v>
      </c>
      <c r="B407">
        <v>-0.22773974706069566</v>
      </c>
      <c r="D407">
        <v>0.3930779929191156</v>
      </c>
      <c r="E407">
        <v>2.7918788384795334</v>
      </c>
      <c r="J407">
        <v>20</v>
      </c>
      <c r="K407">
        <v>0.3605436518228089</v>
      </c>
      <c r="L407">
        <v>13.584964313633803</v>
      </c>
      <c r="M407">
        <v>10</v>
      </c>
      <c r="N407">
        <v>0.61896423289908853</v>
      </c>
      <c r="O407">
        <v>64.107166462599992</v>
      </c>
      <c r="P407" s="1">
        <f t="shared" si="30"/>
        <v>2.774718956294064</v>
      </c>
      <c r="Q407" s="1">
        <f t="shared" si="31"/>
        <v>0.4162078434441096</v>
      </c>
      <c r="R407" s="1">
        <f t="shared" si="32"/>
        <v>0.64514172353375931</v>
      </c>
      <c r="S407" s="1">
        <f t="shared" si="33"/>
        <v>-0.40056404918408112</v>
      </c>
      <c r="T407" s="56">
        <f t="shared" si="34"/>
        <v>0.34589060751783107</v>
      </c>
    </row>
    <row r="408" spans="1:20" x14ac:dyDescent="0.25">
      <c r="A408">
        <v>0.42566210299189389</v>
      </c>
      <c r="B408">
        <v>-0.59355102166591678</v>
      </c>
      <c r="D408">
        <v>0.39316540152721202</v>
      </c>
      <c r="E408">
        <v>-0.51830102506755793</v>
      </c>
      <c r="J408">
        <v>20</v>
      </c>
      <c r="K408">
        <v>-0.2615014409457217</v>
      </c>
      <c r="L408">
        <v>8.2818349112246512</v>
      </c>
      <c r="M408">
        <v>10</v>
      </c>
      <c r="N408">
        <v>1.5004354736447567E-3</v>
      </c>
      <c r="O408">
        <v>75.157903383947314</v>
      </c>
      <c r="P408" s="1">
        <f t="shared" si="30"/>
        <v>2.9799906533989988</v>
      </c>
      <c r="Q408" s="1">
        <f t="shared" si="31"/>
        <v>0.44699859800984981</v>
      </c>
      <c r="R408" s="1">
        <f t="shared" si="32"/>
        <v>0.66857953753450294</v>
      </c>
      <c r="S408" s="1">
        <f t="shared" si="33"/>
        <v>-0.39337410383397187</v>
      </c>
      <c r="T408" s="56">
        <f t="shared" si="34"/>
        <v>0.34851130128316982</v>
      </c>
    </row>
    <row r="409" spans="1:20" x14ac:dyDescent="0.25">
      <c r="A409">
        <v>0.42623186498925447</v>
      </c>
      <c r="B409">
        <v>-1.6485182641190477</v>
      </c>
      <c r="D409">
        <v>0.39383986895753131</v>
      </c>
      <c r="E409">
        <v>-4.6315215092818107</v>
      </c>
      <c r="J409">
        <v>20</v>
      </c>
      <c r="K409">
        <v>-0.54411452765634749</v>
      </c>
      <c r="L409">
        <v>15.175114961742377</v>
      </c>
      <c r="M409">
        <v>10</v>
      </c>
      <c r="N409">
        <v>-0.24756923608038051</v>
      </c>
      <c r="O409">
        <v>91.235833958377413</v>
      </c>
      <c r="P409" s="1">
        <f t="shared" si="30"/>
        <v>3.800391032861421</v>
      </c>
      <c r="Q409" s="1">
        <f t="shared" si="31"/>
        <v>0.57005865492921315</v>
      </c>
      <c r="R409" s="1">
        <f t="shared" si="32"/>
        <v>0.75502228770362345</v>
      </c>
      <c r="S409" s="1">
        <f t="shared" si="33"/>
        <v>-0.39276362619426797</v>
      </c>
      <c r="T409" s="56">
        <f t="shared" si="34"/>
        <v>0.34873417065700762</v>
      </c>
    </row>
    <row r="410" spans="1:20" x14ac:dyDescent="0.25">
      <c r="A410">
        <v>0.42647278355666707</v>
      </c>
      <c r="B410">
        <v>0.55119471653597429</v>
      </c>
      <c r="D410">
        <v>0.39554208557263715</v>
      </c>
      <c r="E410">
        <v>2.1930788955160097</v>
      </c>
      <c r="J410">
        <v>20</v>
      </c>
      <c r="K410">
        <v>-0.13595928294307669</v>
      </c>
      <c r="L410">
        <v>26.6847691376915</v>
      </c>
      <c r="M410">
        <v>10</v>
      </c>
      <c r="N410">
        <v>0.12923271356157784</v>
      </c>
      <c r="O410">
        <v>60.409835074420428</v>
      </c>
      <c r="P410" s="1">
        <f t="shared" si="30"/>
        <v>3.1105215790039975</v>
      </c>
      <c r="Q410" s="1">
        <f t="shared" si="31"/>
        <v>0.46657823685059963</v>
      </c>
      <c r="R410" s="1">
        <f t="shared" si="32"/>
        <v>0.68306532399954223</v>
      </c>
      <c r="S410" s="1">
        <f t="shared" si="33"/>
        <v>-0.38823811894282639</v>
      </c>
      <c r="T410" s="56">
        <f t="shared" si="34"/>
        <v>0.35038802655509305</v>
      </c>
    </row>
    <row r="411" spans="1:20" x14ac:dyDescent="0.25">
      <c r="A411">
        <v>0.4266040294426795</v>
      </c>
      <c r="B411">
        <v>-2.2353924578055739</v>
      </c>
      <c r="D411">
        <v>0.39656973223390957</v>
      </c>
      <c r="E411">
        <v>-1.303473485450013</v>
      </c>
      <c r="J411">
        <v>20</v>
      </c>
      <c r="K411">
        <v>0.27766759558289777</v>
      </c>
      <c r="L411">
        <v>15.290976221967611</v>
      </c>
      <c r="M411">
        <v>10</v>
      </c>
      <c r="N411">
        <v>0.60911133573426923</v>
      </c>
      <c r="O411">
        <v>121.39252809546652</v>
      </c>
      <c r="P411" s="1">
        <f t="shared" si="30"/>
        <v>4.8815537256226476</v>
      </c>
      <c r="Q411" s="1">
        <f t="shared" si="31"/>
        <v>0.73223305884339707</v>
      </c>
      <c r="R411" s="1">
        <f t="shared" si="32"/>
        <v>0.85570617553188022</v>
      </c>
      <c r="S411" s="1">
        <f t="shared" si="33"/>
        <v>-0.38733358438760407</v>
      </c>
      <c r="T411" s="56">
        <f t="shared" si="34"/>
        <v>0.35071895076897863</v>
      </c>
    </row>
    <row r="412" spans="1:20" x14ac:dyDescent="0.25">
      <c r="A412">
        <v>0.42708351824570834</v>
      </c>
      <c r="B412">
        <v>1.3884573490940966E-2</v>
      </c>
      <c r="D412">
        <v>0.40009012080216788</v>
      </c>
      <c r="E412">
        <v>3.0176813618254528</v>
      </c>
      <c r="J412">
        <v>20</v>
      </c>
      <c r="K412">
        <v>0.1390287138747226</v>
      </c>
      <c r="L412">
        <v>9.2873363798486022</v>
      </c>
      <c r="M412">
        <v>10</v>
      </c>
      <c r="N412">
        <v>0.43491911242199421</v>
      </c>
      <c r="O412">
        <v>103.20608195919252</v>
      </c>
      <c r="P412" s="1">
        <f t="shared" si="30"/>
        <v>4.0176220835371828</v>
      </c>
      <c r="Q412" s="1">
        <f t="shared" si="31"/>
        <v>0.60264331253057735</v>
      </c>
      <c r="R412" s="1">
        <f t="shared" si="32"/>
        <v>0.77630104504024555</v>
      </c>
      <c r="S412" s="1">
        <f t="shared" si="33"/>
        <v>-0.38115419325750344</v>
      </c>
      <c r="T412" s="56">
        <f t="shared" si="34"/>
        <v>0.35298286633481957</v>
      </c>
    </row>
    <row r="413" spans="1:20" x14ac:dyDescent="0.25">
      <c r="A413">
        <v>0.42815080844670961</v>
      </c>
      <c r="B413">
        <v>-1.5037994671729393</v>
      </c>
      <c r="D413">
        <v>0.40041642037738967</v>
      </c>
      <c r="E413">
        <v>4.9141074180170108</v>
      </c>
      <c r="J413">
        <v>20</v>
      </c>
      <c r="K413">
        <v>0.30984421073299018</v>
      </c>
      <c r="L413">
        <v>21.974811388794979</v>
      </c>
      <c r="M413">
        <v>10</v>
      </c>
      <c r="N413">
        <v>0.63288188925980648</v>
      </c>
      <c r="O413">
        <v>113.17632074161183</v>
      </c>
      <c r="P413" s="1">
        <f t="shared" si="30"/>
        <v>4.8268261475145291</v>
      </c>
      <c r="Q413" s="1">
        <f t="shared" si="31"/>
        <v>0.72402392212717936</v>
      </c>
      <c r="R413" s="1">
        <f t="shared" si="32"/>
        <v>0.85089595258596651</v>
      </c>
      <c r="S413" s="1">
        <f t="shared" si="33"/>
        <v>-0.37964415924775435</v>
      </c>
      <c r="T413" s="56">
        <f t="shared" si="34"/>
        <v>0.35353692987372548</v>
      </c>
    </row>
    <row r="414" spans="1:20" x14ac:dyDescent="0.25">
      <c r="A414">
        <v>0.42909418463746518</v>
      </c>
      <c r="B414">
        <v>0.69253474066499621</v>
      </c>
      <c r="D414">
        <v>0.4033223437164507</v>
      </c>
      <c r="E414">
        <v>-4.2799426898909587</v>
      </c>
      <c r="J414">
        <v>20</v>
      </c>
      <c r="K414">
        <v>-7.6846106367156608E-2</v>
      </c>
      <c r="L414">
        <v>14.34030591863802</v>
      </c>
      <c r="M414">
        <v>10</v>
      </c>
      <c r="N414">
        <v>0.30665477993352397</v>
      </c>
      <c r="O414">
        <v>177.74446033773449</v>
      </c>
      <c r="P414" s="1">
        <f t="shared" si="30"/>
        <v>6.8601702234418758</v>
      </c>
      <c r="Q414" s="1">
        <f t="shared" si="31"/>
        <v>1.0290255335162812</v>
      </c>
      <c r="R414" s="1">
        <f t="shared" si="32"/>
        <v>1.014408957726755</v>
      </c>
      <c r="S414" s="1">
        <f t="shared" si="33"/>
        <v>-0.37805352898311234</v>
      </c>
      <c r="T414" s="56">
        <f t="shared" si="34"/>
        <v>0.35412091993277539</v>
      </c>
    </row>
    <row r="415" spans="1:20" x14ac:dyDescent="0.25">
      <c r="A415">
        <v>0.42909620319333908</v>
      </c>
      <c r="B415">
        <v>0.5630772648146376</v>
      </c>
      <c r="D415">
        <v>0.40519856685902067</v>
      </c>
      <c r="E415">
        <v>1.9597935045112536</v>
      </c>
      <c r="J415">
        <v>20</v>
      </c>
      <c r="K415">
        <v>-0.15105280226634932</v>
      </c>
      <c r="L415">
        <v>15.511461759369798</v>
      </c>
      <c r="M415">
        <v>10</v>
      </c>
      <c r="N415">
        <v>6.5152217985087191E-2</v>
      </c>
      <c r="O415">
        <v>45.739484047894734</v>
      </c>
      <c r="P415" s="1">
        <f t="shared" si="30"/>
        <v>2.187533778830876</v>
      </c>
      <c r="Q415" s="1">
        <f t="shared" si="31"/>
        <v>0.32813006682463136</v>
      </c>
      <c r="R415" s="1">
        <f t="shared" si="32"/>
        <v>0.57282638453953161</v>
      </c>
      <c r="S415" s="1">
        <f t="shared" si="33"/>
        <v>-0.37743551290018462</v>
      </c>
      <c r="T415" s="56">
        <f t="shared" si="34"/>
        <v>0.35434791842869245</v>
      </c>
    </row>
    <row r="416" spans="1:20" x14ac:dyDescent="0.25">
      <c r="A416">
        <v>0.42998523018964341</v>
      </c>
      <c r="B416">
        <v>-0.95457380666630343</v>
      </c>
      <c r="D416">
        <v>0.40556985170257553</v>
      </c>
      <c r="E416">
        <v>-2.9823779675552942</v>
      </c>
      <c r="J416">
        <v>20</v>
      </c>
      <c r="K416">
        <v>-0.30115137406028225</v>
      </c>
      <c r="L416">
        <v>25.920690192259844</v>
      </c>
      <c r="M416">
        <v>10</v>
      </c>
      <c r="N416">
        <v>-8.4415095216172631E-2</v>
      </c>
      <c r="O416">
        <v>36.387381808470607</v>
      </c>
      <c r="P416" s="1">
        <f t="shared" si="30"/>
        <v>2.2252882857403731</v>
      </c>
      <c r="Q416" s="1">
        <f t="shared" si="31"/>
        <v>0.33379324286105594</v>
      </c>
      <c r="R416" s="1">
        <f t="shared" si="32"/>
        <v>0.57774842523459635</v>
      </c>
      <c r="S416" s="1">
        <f t="shared" si="33"/>
        <v>-0.37513954063328386</v>
      </c>
      <c r="T416" s="56">
        <f t="shared" si="34"/>
        <v>0.35519171080638723</v>
      </c>
    </row>
    <row r="417" spans="1:20" x14ac:dyDescent="0.25">
      <c r="A417">
        <v>0.43012156101995336</v>
      </c>
      <c r="B417">
        <v>-5.4226347856456414E-2</v>
      </c>
      <c r="D417">
        <v>0.4062110037733877</v>
      </c>
      <c r="E417">
        <v>-7.5821724328761775</v>
      </c>
      <c r="J417">
        <v>20</v>
      </c>
      <c r="K417">
        <v>4.2265867250534939E-2</v>
      </c>
      <c r="L417">
        <v>23.54749059241886</v>
      </c>
      <c r="M417">
        <v>10</v>
      </c>
      <c r="N417">
        <v>0.29537215709751763</v>
      </c>
      <c r="O417">
        <v>63.905732187436399</v>
      </c>
      <c r="P417" s="1">
        <f t="shared" si="30"/>
        <v>3.1233293849948303</v>
      </c>
      <c r="Q417" s="1">
        <f t="shared" si="31"/>
        <v>0.46849940774922449</v>
      </c>
      <c r="R417" s="1">
        <f t="shared" si="32"/>
        <v>0.68447016571157027</v>
      </c>
      <c r="S417" s="1">
        <f t="shared" si="33"/>
        <v>-0.36978425434197737</v>
      </c>
      <c r="T417" s="56">
        <f t="shared" si="34"/>
        <v>0.35716273653499458</v>
      </c>
    </row>
    <row r="418" spans="1:20" x14ac:dyDescent="0.25">
      <c r="A418">
        <v>0.43053080552086831</v>
      </c>
      <c r="B418">
        <v>0.35846824175678194</v>
      </c>
      <c r="D418">
        <v>0.40771979326693564</v>
      </c>
      <c r="E418">
        <v>-2.5667138777407672</v>
      </c>
      <c r="J418">
        <v>20</v>
      </c>
      <c r="K418">
        <v>-0.10031300234913942</v>
      </c>
      <c r="L418">
        <v>28.49646297506343</v>
      </c>
      <c r="M418">
        <v>10</v>
      </c>
      <c r="N418">
        <v>0.12283748787922377</v>
      </c>
      <c r="O418">
        <v>39.928664579297113</v>
      </c>
      <c r="P418" s="1">
        <f t="shared" si="30"/>
        <v>2.4437545555128763</v>
      </c>
      <c r="Q418" s="1">
        <f t="shared" si="31"/>
        <v>0.36656318332693144</v>
      </c>
      <c r="R418" s="1">
        <f t="shared" si="32"/>
        <v>0.60544461623416179</v>
      </c>
      <c r="S418" s="1">
        <f t="shared" si="33"/>
        <v>-0.36857292020589627</v>
      </c>
      <c r="T418" s="56">
        <f t="shared" si="34"/>
        <v>0.35760913115881066</v>
      </c>
    </row>
    <row r="419" spans="1:20" x14ac:dyDescent="0.25">
      <c r="A419">
        <v>0.43162804017076617</v>
      </c>
      <c r="B419">
        <v>0.81035295806941576</v>
      </c>
      <c r="D419">
        <v>0.40877617922463205</v>
      </c>
      <c r="E419">
        <v>2.3940385710830014</v>
      </c>
      <c r="J419">
        <v>20</v>
      </c>
      <c r="K419">
        <v>-0.29266129786265083</v>
      </c>
      <c r="L419">
        <v>20.706374034259095</v>
      </c>
      <c r="M419">
        <v>10</v>
      </c>
      <c r="N419">
        <v>-3.9376008089675452E-2</v>
      </c>
      <c r="O419">
        <v>67.641176262302295</v>
      </c>
      <c r="P419" s="1">
        <f t="shared" si="30"/>
        <v>3.1552696534486211</v>
      </c>
      <c r="Q419" s="1">
        <f t="shared" si="31"/>
        <v>0.47329044801729314</v>
      </c>
      <c r="R419" s="1">
        <f t="shared" si="32"/>
        <v>0.68796108030708625</v>
      </c>
      <c r="S419" s="1">
        <f t="shared" si="33"/>
        <v>-0.36816805052389889</v>
      </c>
      <c r="T419" s="56">
        <f t="shared" si="34"/>
        <v>0.3577583774934297</v>
      </c>
    </row>
    <row r="420" spans="1:20" x14ac:dyDescent="0.25">
      <c r="A420">
        <v>0.43193966713321885</v>
      </c>
      <c r="B420">
        <v>0.70425016929220874</v>
      </c>
      <c r="D420">
        <v>0.40890217148550789</v>
      </c>
      <c r="E420">
        <v>2.6839741133244388</v>
      </c>
      <c r="J420">
        <v>20</v>
      </c>
      <c r="K420">
        <v>0.25891131372191012</v>
      </c>
      <c r="L420">
        <v>32.311964904325322</v>
      </c>
      <c r="M420">
        <v>10</v>
      </c>
      <c r="N420">
        <v>0.60118236092421284</v>
      </c>
      <c r="O420">
        <v>130.78777498536257</v>
      </c>
      <c r="P420" s="1">
        <f t="shared" si="30"/>
        <v>5.8249907103459959</v>
      </c>
      <c r="Q420" s="1">
        <f t="shared" si="31"/>
        <v>0.87374860655189934</v>
      </c>
      <c r="R420" s="1">
        <f t="shared" si="32"/>
        <v>0.93474520942976724</v>
      </c>
      <c r="S420" s="1">
        <f t="shared" si="33"/>
        <v>-0.36616507231002771</v>
      </c>
      <c r="T420" s="56">
        <f t="shared" si="34"/>
        <v>0.35849706845053342</v>
      </c>
    </row>
    <row r="421" spans="1:20" x14ac:dyDescent="0.25">
      <c r="A421">
        <v>0.43274318890340135</v>
      </c>
      <c r="B421">
        <v>-0.78324205787794199</v>
      </c>
      <c r="D421">
        <v>0.4091121532296712</v>
      </c>
      <c r="E421">
        <v>4.2184940377865132</v>
      </c>
      <c r="J421">
        <v>20</v>
      </c>
      <c r="K421">
        <v>0.3682807232507912</v>
      </c>
      <c r="L421">
        <v>23.769824407853598</v>
      </c>
      <c r="M421">
        <v>10</v>
      </c>
      <c r="N421">
        <v>0.62825301597513317</v>
      </c>
      <c r="O421">
        <v>71.072301695937966</v>
      </c>
      <c r="P421" s="1">
        <f t="shared" si="30"/>
        <v>3.3872187894211274</v>
      </c>
      <c r="Q421" s="1">
        <f t="shared" si="31"/>
        <v>0.50808281841316905</v>
      </c>
      <c r="R421" s="1">
        <f t="shared" si="32"/>
        <v>0.71279928339832743</v>
      </c>
      <c r="S421" s="1">
        <f t="shared" si="33"/>
        <v>-0.364720193719757</v>
      </c>
      <c r="T421" s="56">
        <f t="shared" si="34"/>
        <v>0.35903028133222681</v>
      </c>
    </row>
    <row r="422" spans="1:20" x14ac:dyDescent="0.25">
      <c r="A422">
        <v>0.43422177284553032</v>
      </c>
      <c r="B422">
        <v>-1.3685257727047428</v>
      </c>
      <c r="D422">
        <v>0.41094898780159739</v>
      </c>
      <c r="E422">
        <v>-4.3361221776194725</v>
      </c>
      <c r="J422">
        <v>20</v>
      </c>
      <c r="K422">
        <v>0.50635617299121805</v>
      </c>
      <c r="L422">
        <v>17.101215306792195</v>
      </c>
      <c r="M422">
        <v>10</v>
      </c>
      <c r="N422">
        <v>0.784318896194236</v>
      </c>
      <c r="O422">
        <v>92.081121149061488</v>
      </c>
      <c r="P422" s="1">
        <f t="shared" si="30"/>
        <v>3.8993691591376316</v>
      </c>
      <c r="Q422" s="1">
        <f t="shared" si="31"/>
        <v>0.58490537387064467</v>
      </c>
      <c r="R422" s="1">
        <f t="shared" si="32"/>
        <v>0.76479106550132026</v>
      </c>
      <c r="S422" s="1">
        <f t="shared" si="33"/>
        <v>-0.36344922913137523</v>
      </c>
      <c r="T422" s="56">
        <f t="shared" si="34"/>
        <v>0.35949955315584281</v>
      </c>
    </row>
    <row r="423" spans="1:20" x14ac:dyDescent="0.25">
      <c r="A423">
        <v>0.43568448028564133</v>
      </c>
      <c r="B423">
        <v>1.8427181203151122</v>
      </c>
      <c r="D423">
        <v>0.41115563439885006</v>
      </c>
      <c r="E423">
        <v>-6.3114901001881663</v>
      </c>
      <c r="J423">
        <v>20</v>
      </c>
      <c r="K423">
        <v>-4.1303110265289433E-2</v>
      </c>
      <c r="L423">
        <v>25.115613192517944</v>
      </c>
      <c r="M423">
        <v>10</v>
      </c>
      <c r="N423">
        <v>0.21302923528310203</v>
      </c>
      <c r="O423">
        <v>66.592693867474466</v>
      </c>
      <c r="P423" s="1">
        <f t="shared" si="30"/>
        <v>3.2752966807140145</v>
      </c>
      <c r="Q423" s="1">
        <f t="shared" si="31"/>
        <v>0.49129450210710213</v>
      </c>
      <c r="R423" s="1">
        <f t="shared" si="32"/>
        <v>0.7009240344767057</v>
      </c>
      <c r="S423" s="1">
        <f t="shared" si="33"/>
        <v>-0.36285293846182681</v>
      </c>
      <c r="T423" s="56">
        <f t="shared" si="34"/>
        <v>0.35971979561417278</v>
      </c>
    </row>
    <row r="424" spans="1:20" x14ac:dyDescent="0.25">
      <c r="A424">
        <v>0.43791348993073753</v>
      </c>
      <c r="B424">
        <v>-0.43167801777599379</v>
      </c>
      <c r="D424">
        <v>0.41354620127938957</v>
      </c>
      <c r="E424">
        <v>1.7981683379275637</v>
      </c>
      <c r="J424">
        <v>20</v>
      </c>
      <c r="K424">
        <v>-0.20279975387893501</v>
      </c>
      <c r="L424">
        <v>24.322194921916449</v>
      </c>
      <c r="M424">
        <v>10</v>
      </c>
      <c r="N424">
        <v>3.2145063642019522E-2</v>
      </c>
      <c r="O424">
        <v>57.096933036008586</v>
      </c>
      <c r="P424" s="1">
        <f t="shared" si="30"/>
        <v>2.9078259984973229</v>
      </c>
      <c r="Q424" s="1">
        <f t="shared" si="31"/>
        <v>0.43617389977459842</v>
      </c>
      <c r="R424" s="1">
        <f t="shared" si="32"/>
        <v>0.6604346294483644</v>
      </c>
      <c r="S424" s="1">
        <f t="shared" si="33"/>
        <v>-0.3557427291739606</v>
      </c>
      <c r="T424" s="56">
        <f t="shared" si="34"/>
        <v>0.36234974740327353</v>
      </c>
    </row>
    <row r="425" spans="1:20" x14ac:dyDescent="0.25">
      <c r="A425">
        <v>0.438956669288326</v>
      </c>
      <c r="B425">
        <v>0.74392346505192108</v>
      </c>
      <c r="D425">
        <v>0.41371403858338462</v>
      </c>
      <c r="E425">
        <v>6.4046919271731895</v>
      </c>
      <c r="J425">
        <v>20</v>
      </c>
      <c r="K425">
        <v>-0.4377397431198915</v>
      </c>
      <c r="L425">
        <v>24.429791430490557</v>
      </c>
      <c r="M425">
        <v>10</v>
      </c>
      <c r="N425">
        <v>-0.16111653508232848</v>
      </c>
      <c r="O425">
        <v>89.449000972676345</v>
      </c>
      <c r="P425" s="1">
        <f t="shared" si="30"/>
        <v>4.0670997286845321</v>
      </c>
      <c r="Q425" s="1">
        <f t="shared" si="31"/>
        <v>0.61006495930267979</v>
      </c>
      <c r="R425" s="1">
        <f t="shared" si="32"/>
        <v>0.78106655241578471</v>
      </c>
      <c r="S425" s="1">
        <f t="shared" si="33"/>
        <v>-0.35416086783128353</v>
      </c>
      <c r="T425" s="56">
        <f t="shared" si="34"/>
        <v>0.36293579049532143</v>
      </c>
    </row>
    <row r="426" spans="1:20" x14ac:dyDescent="0.25">
      <c r="A426">
        <v>0.44139499400361948</v>
      </c>
      <c r="B426">
        <v>-1.0682470019673929</v>
      </c>
      <c r="D426">
        <v>0.41400112301345593</v>
      </c>
      <c r="E426">
        <v>-1.1947911423249025</v>
      </c>
      <c r="J426">
        <v>20</v>
      </c>
      <c r="K426">
        <v>0.13914831242800574</v>
      </c>
      <c r="L426">
        <v>13.975478750496537</v>
      </c>
      <c r="M426">
        <v>10</v>
      </c>
      <c r="N426">
        <v>0.39447649783141969</v>
      </c>
      <c r="O426">
        <v>85.596809871140607</v>
      </c>
      <c r="P426" s="1">
        <f t="shared" si="30"/>
        <v>3.5561531650584692</v>
      </c>
      <c r="Q426" s="1">
        <f t="shared" si="31"/>
        <v>0.53342297475877032</v>
      </c>
      <c r="R426" s="1">
        <f t="shared" si="32"/>
        <v>0.73035811405006679</v>
      </c>
      <c r="S426" s="1">
        <f t="shared" si="33"/>
        <v>-0.34959313861461522</v>
      </c>
      <c r="T426" s="56">
        <f t="shared" si="34"/>
        <v>0.36462992471318667</v>
      </c>
    </row>
    <row r="427" spans="1:20" x14ac:dyDescent="0.25">
      <c r="A427">
        <v>0.44144207271770353</v>
      </c>
      <c r="B427">
        <v>-3.2066600397229195</v>
      </c>
      <c r="D427">
        <v>0.41402201928592408</v>
      </c>
      <c r="E427">
        <v>3.3142948689146579</v>
      </c>
      <c r="J427">
        <v>20</v>
      </c>
      <c r="K427">
        <v>-0.2284962192788953</v>
      </c>
      <c r="L427">
        <v>28.004340246644688</v>
      </c>
      <c r="M427">
        <v>10</v>
      </c>
      <c r="N427">
        <v>-2.7410582106313086E-2</v>
      </c>
      <c r="O427">
        <v>33.832008336236044</v>
      </c>
      <c r="P427" s="1">
        <f t="shared" si="30"/>
        <v>2.208441020817169</v>
      </c>
      <c r="Q427" s="1">
        <f t="shared" si="31"/>
        <v>0.33126615312257535</v>
      </c>
      <c r="R427" s="1">
        <f t="shared" si="32"/>
        <v>0.57555725442615646</v>
      </c>
      <c r="S427" s="1">
        <f t="shared" si="33"/>
        <v>-0.34937555842827334</v>
      </c>
      <c r="T427" s="56">
        <f t="shared" si="34"/>
        <v>0.36471069337842499</v>
      </c>
    </row>
    <row r="428" spans="1:20" x14ac:dyDescent="0.25">
      <c r="A428">
        <v>0.44197864358558092</v>
      </c>
      <c r="B428">
        <v>6.7407199821900576E-2</v>
      </c>
      <c r="D428">
        <v>0.41414882295024491</v>
      </c>
      <c r="E428">
        <v>0.30942896614760684</v>
      </c>
      <c r="J428">
        <v>20</v>
      </c>
      <c r="K428">
        <v>0.20489613916652161</v>
      </c>
      <c r="L428">
        <v>12.864069725290438</v>
      </c>
      <c r="M428">
        <v>10</v>
      </c>
      <c r="N428">
        <v>0.36091273273086699</v>
      </c>
      <c r="O428">
        <v>26.979131802854408</v>
      </c>
      <c r="P428" s="1">
        <f t="shared" si="30"/>
        <v>1.4229714831480302</v>
      </c>
      <c r="Q428" s="1">
        <f t="shared" si="31"/>
        <v>0.21344572247220453</v>
      </c>
      <c r="R428" s="1">
        <f t="shared" si="32"/>
        <v>0.46200186414364663</v>
      </c>
      <c r="S428" s="1">
        <f t="shared" si="33"/>
        <v>-0.33769689188058422</v>
      </c>
      <c r="T428" s="56">
        <f t="shared" si="34"/>
        <v>0.36905517270008026</v>
      </c>
    </row>
    <row r="429" spans="1:20" x14ac:dyDescent="0.25">
      <c r="A429">
        <v>0.44289511257831216</v>
      </c>
      <c r="B429">
        <v>-0.47826006266404875</v>
      </c>
      <c r="D429">
        <v>0.41448532509846947</v>
      </c>
      <c r="E429">
        <v>-4.652107921856441</v>
      </c>
      <c r="J429">
        <v>20</v>
      </c>
      <c r="K429">
        <v>0.12007080840703566</v>
      </c>
      <c r="L429">
        <v>9.6851123171807671</v>
      </c>
      <c r="M429">
        <v>10</v>
      </c>
      <c r="N429">
        <v>0.27679390882440202</v>
      </c>
      <c r="O429">
        <v>32.803068854127673</v>
      </c>
      <c r="P429" s="1">
        <f t="shared" si="30"/>
        <v>1.5174350418324443</v>
      </c>
      <c r="Q429" s="1">
        <f t="shared" si="31"/>
        <v>0.22761525627486662</v>
      </c>
      <c r="R429" s="1">
        <f t="shared" si="32"/>
        <v>0.47709040681496273</v>
      </c>
      <c r="S429" s="1">
        <f t="shared" si="33"/>
        <v>-0.32849769808545048</v>
      </c>
      <c r="T429" s="56">
        <f t="shared" si="34"/>
        <v>0.37248978059263371</v>
      </c>
    </row>
    <row r="430" spans="1:20" x14ac:dyDescent="0.25">
      <c r="A430">
        <v>0.44377595582021645</v>
      </c>
      <c r="B430">
        <v>0.8355755198863335</v>
      </c>
      <c r="D430">
        <v>0.41453382143573714</v>
      </c>
      <c r="E430">
        <v>0.57958299862548301</v>
      </c>
      <c r="J430">
        <v>20</v>
      </c>
      <c r="K430">
        <v>1.3710462098970311E-2</v>
      </c>
      <c r="L430">
        <v>17.285520637323156</v>
      </c>
      <c r="M430">
        <v>10</v>
      </c>
      <c r="N430">
        <v>0.20947333837284532</v>
      </c>
      <c r="O430">
        <v>49.061056567116324</v>
      </c>
      <c r="P430" s="1">
        <f t="shared" si="30"/>
        <v>2.3695206144442671</v>
      </c>
      <c r="Q430" s="1">
        <f t="shared" si="31"/>
        <v>0.35542809216664006</v>
      </c>
      <c r="R430" s="1">
        <f t="shared" si="32"/>
        <v>0.5961779031183897</v>
      </c>
      <c r="S430" s="1">
        <f t="shared" si="33"/>
        <v>-0.32836318697809935</v>
      </c>
      <c r="T430" s="56">
        <f t="shared" si="34"/>
        <v>0.37254008181720072</v>
      </c>
    </row>
    <row r="431" spans="1:20" x14ac:dyDescent="0.25">
      <c r="A431">
        <v>0.44413392200434265</v>
      </c>
      <c r="B431">
        <v>-0.16650005818519276</v>
      </c>
      <c r="D431">
        <v>0.41564886704356829</v>
      </c>
      <c r="E431">
        <v>1.1779463841321558</v>
      </c>
      <c r="J431">
        <v>20</v>
      </c>
      <c r="K431">
        <v>5.625281573884422E-3</v>
      </c>
      <c r="L431">
        <v>10.678153527697143</v>
      </c>
      <c r="M431">
        <v>10</v>
      </c>
      <c r="N431">
        <v>0.35221432540311071</v>
      </c>
      <c r="O431">
        <v>200.12945436528855</v>
      </c>
      <c r="P431" s="1">
        <f t="shared" si="30"/>
        <v>7.5288431390352031</v>
      </c>
      <c r="Q431" s="1">
        <f t="shared" si="31"/>
        <v>1.1293264708552804</v>
      </c>
      <c r="R431" s="1">
        <f t="shared" si="32"/>
        <v>1.0626977325915776</v>
      </c>
      <c r="S431" s="1">
        <f t="shared" si="33"/>
        <v>-0.32614075780890883</v>
      </c>
      <c r="T431" s="56">
        <f t="shared" si="34"/>
        <v>0.37337150355586179</v>
      </c>
    </row>
    <row r="432" spans="1:20" x14ac:dyDescent="0.25">
      <c r="A432">
        <v>0.44539437940461357</v>
      </c>
      <c r="B432">
        <v>0.25918097890098579</v>
      </c>
      <c r="D432">
        <v>0.41567756909291931</v>
      </c>
      <c r="E432">
        <v>1.5426151060182747</v>
      </c>
      <c r="J432">
        <v>20</v>
      </c>
      <c r="K432">
        <v>-3.3194851312146056E-3</v>
      </c>
      <c r="L432">
        <v>12.858484820854658</v>
      </c>
      <c r="M432">
        <v>10</v>
      </c>
      <c r="N432">
        <v>0.2921580028214521</v>
      </c>
      <c r="O432">
        <v>141.86187963452306</v>
      </c>
      <c r="P432" s="1">
        <f t="shared" si="30"/>
        <v>5.525727301977776</v>
      </c>
      <c r="Q432" s="1">
        <f t="shared" si="31"/>
        <v>0.82885909529666635</v>
      </c>
      <c r="R432" s="1">
        <f t="shared" si="32"/>
        <v>0.91041698978911101</v>
      </c>
      <c r="S432" s="1">
        <f t="shared" si="33"/>
        <v>-0.32455181665833271</v>
      </c>
      <c r="T432" s="56">
        <f t="shared" si="34"/>
        <v>0.37396631585369444</v>
      </c>
    </row>
    <row r="433" spans="1:20" x14ac:dyDescent="0.25">
      <c r="A433">
        <v>0.44731547711442388</v>
      </c>
      <c r="B433">
        <v>-0.59830199461430311</v>
      </c>
      <c r="D433">
        <v>0.41935408097539739</v>
      </c>
      <c r="E433">
        <v>-4.8422286943150539</v>
      </c>
      <c r="J433">
        <v>20</v>
      </c>
      <c r="K433">
        <v>5.6304997997358441E-2</v>
      </c>
      <c r="L433">
        <v>11.621910981970442</v>
      </c>
      <c r="M433">
        <v>10</v>
      </c>
      <c r="N433">
        <v>0.28394697096700838</v>
      </c>
      <c r="O433">
        <v>80.314499981197869</v>
      </c>
      <c r="P433" s="1">
        <f t="shared" si="30"/>
        <v>3.2834432486845828</v>
      </c>
      <c r="Q433" s="1">
        <f t="shared" si="31"/>
        <v>0.49251648730268738</v>
      </c>
      <c r="R433" s="1">
        <f t="shared" si="32"/>
        <v>0.70179518899938842</v>
      </c>
      <c r="S433" s="1">
        <f t="shared" si="33"/>
        <v>-0.32437095115202952</v>
      </c>
      <c r="T433" s="56">
        <f t="shared" si="34"/>
        <v>0.3740340420605946</v>
      </c>
    </row>
    <row r="434" spans="1:20" x14ac:dyDescent="0.25">
      <c r="A434">
        <v>0.45233454934748363</v>
      </c>
      <c r="B434">
        <v>1.059759142663097</v>
      </c>
      <c r="D434">
        <v>0.42088001103312012</v>
      </c>
      <c r="E434">
        <v>3.9131834876116045</v>
      </c>
      <c r="J434">
        <v>20</v>
      </c>
      <c r="K434">
        <v>0.14738498066435568</v>
      </c>
      <c r="L434">
        <v>7.6329170725604394</v>
      </c>
      <c r="M434">
        <v>10</v>
      </c>
      <c r="N434">
        <v>0.41453801827628922</v>
      </c>
      <c r="O434">
        <v>119.16231203572055</v>
      </c>
      <c r="P434" s="1">
        <f t="shared" si="30"/>
        <v>4.528401039581464</v>
      </c>
      <c r="Q434" s="1">
        <f t="shared" si="31"/>
        <v>0.67926015593721956</v>
      </c>
      <c r="R434" s="1">
        <f t="shared" si="32"/>
        <v>0.82417240668273983</v>
      </c>
      <c r="S434" s="1">
        <f t="shared" si="33"/>
        <v>-0.32414702973036136</v>
      </c>
      <c r="T434" s="56">
        <f t="shared" si="34"/>
        <v>0.37411789650108512</v>
      </c>
    </row>
    <row r="435" spans="1:20" x14ac:dyDescent="0.25">
      <c r="A435">
        <v>0.45244609416337178</v>
      </c>
      <c r="B435">
        <v>-1.3969793144497089</v>
      </c>
      <c r="D435">
        <v>0.42143405912361387</v>
      </c>
      <c r="E435">
        <v>3.3862108887205977</v>
      </c>
      <c r="J435">
        <v>20</v>
      </c>
      <c r="K435">
        <v>-3.8590144413319649E-2</v>
      </c>
      <c r="L435">
        <v>20.719733991120226</v>
      </c>
      <c r="M435">
        <v>10</v>
      </c>
      <c r="N435">
        <v>0.25411918272766343</v>
      </c>
      <c r="O435">
        <v>132.57644793845566</v>
      </c>
      <c r="P435" s="1">
        <f t="shared" si="30"/>
        <v>5.4748636403419955</v>
      </c>
      <c r="Q435" s="1">
        <f t="shared" si="31"/>
        <v>0.82122954605129928</v>
      </c>
      <c r="R435" s="1">
        <f t="shared" si="32"/>
        <v>0.90621716274373176</v>
      </c>
      <c r="S435" s="1">
        <f t="shared" si="33"/>
        <v>-0.32300130606084987</v>
      </c>
      <c r="T435" s="56">
        <f t="shared" si="34"/>
        <v>0.37454704707021547</v>
      </c>
    </row>
    <row r="436" spans="1:20" x14ac:dyDescent="0.25">
      <c r="A436">
        <v>0.45258530208107262</v>
      </c>
      <c r="B436">
        <v>0.7215112418634817</v>
      </c>
      <c r="D436">
        <v>0.42144255308762102</v>
      </c>
      <c r="E436">
        <v>-2.0198028812501434</v>
      </c>
      <c r="J436">
        <v>20</v>
      </c>
      <c r="K436">
        <v>-0.12843332797274343</v>
      </c>
      <c r="L436">
        <v>11.802326622053725</v>
      </c>
      <c r="M436">
        <v>10</v>
      </c>
      <c r="N436">
        <v>0.18375294189354463</v>
      </c>
      <c r="O436">
        <v>164.22338668942695</v>
      </c>
      <c r="P436" s="1">
        <f t="shared" si="30"/>
        <v>6.2866326182671672</v>
      </c>
      <c r="Q436" s="1">
        <f t="shared" si="31"/>
        <v>0.94299489274007509</v>
      </c>
      <c r="R436" s="1">
        <f t="shared" si="32"/>
        <v>0.97107924122600575</v>
      </c>
      <c r="S436" s="1">
        <f t="shared" si="33"/>
        <v>-0.32148382604919762</v>
      </c>
      <c r="T436" s="56">
        <f t="shared" si="34"/>
        <v>0.37511569761869296</v>
      </c>
    </row>
    <row r="437" spans="1:20" x14ac:dyDescent="0.25">
      <c r="A437">
        <v>0.45395222928248458</v>
      </c>
      <c r="B437">
        <v>-0.83460008681868203</v>
      </c>
      <c r="D437">
        <v>0.42177568002048782</v>
      </c>
      <c r="E437">
        <v>-4.1421269577313069</v>
      </c>
      <c r="J437">
        <v>20</v>
      </c>
      <c r="K437">
        <v>-0.23642917312827194</v>
      </c>
      <c r="L437">
        <v>14.809198915538481</v>
      </c>
      <c r="M437">
        <v>10</v>
      </c>
      <c r="N437">
        <v>-4.9098961198978941E-2</v>
      </c>
      <c r="O437">
        <v>50.319020488152049</v>
      </c>
      <c r="P437" s="1">
        <f t="shared" si="30"/>
        <v>2.3260078358460907</v>
      </c>
      <c r="Q437" s="1">
        <f t="shared" si="31"/>
        <v>0.34890117537691362</v>
      </c>
      <c r="R437" s="1">
        <f t="shared" si="32"/>
        <v>0.59067857196356266</v>
      </c>
      <c r="S437" s="1">
        <f t="shared" si="33"/>
        <v>-0.31714407940440559</v>
      </c>
      <c r="T437" s="56">
        <f t="shared" si="34"/>
        <v>0.37674352219371471</v>
      </c>
    </row>
    <row r="438" spans="1:20" x14ac:dyDescent="0.25">
      <c r="A438">
        <v>0.45631186775657884</v>
      </c>
      <c r="B438">
        <v>-0.31796616895007901</v>
      </c>
      <c r="D438">
        <v>0.42260573980123806</v>
      </c>
      <c r="E438">
        <v>6.2182273234157037</v>
      </c>
      <c r="J438">
        <v>20</v>
      </c>
      <c r="K438">
        <v>0.12266485782674863</v>
      </c>
      <c r="L438">
        <v>12.350078351853687</v>
      </c>
      <c r="M438">
        <v>10</v>
      </c>
      <c r="N438">
        <v>0.41490465832794143</v>
      </c>
      <c r="O438">
        <v>147.26360521353047</v>
      </c>
      <c r="P438" s="1">
        <f t="shared" si="30"/>
        <v>5.7004886987637198</v>
      </c>
      <c r="Q438" s="1">
        <f t="shared" si="31"/>
        <v>0.8550733048145579</v>
      </c>
      <c r="R438" s="1">
        <f t="shared" si="32"/>
        <v>0.92470173829973845</v>
      </c>
      <c r="S438" s="1">
        <f t="shared" si="33"/>
        <v>-0.31603682398017124</v>
      </c>
      <c r="T438" s="56">
        <f t="shared" si="34"/>
        <v>0.37715922163151594</v>
      </c>
    </row>
    <row r="439" spans="1:20" x14ac:dyDescent="0.25">
      <c r="A439">
        <v>0.45661401088301179</v>
      </c>
      <c r="B439">
        <v>0.48556216825090814</v>
      </c>
      <c r="D439">
        <v>0.42268788991098227</v>
      </c>
      <c r="E439">
        <v>-1.009342898896648</v>
      </c>
      <c r="J439">
        <v>20</v>
      </c>
      <c r="K439">
        <v>3.6887854548695032E-2</v>
      </c>
      <c r="L439">
        <v>21.796002306317462</v>
      </c>
      <c r="M439">
        <v>10</v>
      </c>
      <c r="N439">
        <v>0.19435276158219494</v>
      </c>
      <c r="O439">
        <v>24.641594771270839</v>
      </c>
      <c r="P439" s="1">
        <f t="shared" si="30"/>
        <v>1.6584856099138678</v>
      </c>
      <c r="Q439" s="1">
        <f t="shared" si="31"/>
        <v>0.24877284148708018</v>
      </c>
      <c r="R439" s="1">
        <f t="shared" si="32"/>
        <v>0.4987713318616861</v>
      </c>
      <c r="S439" s="1">
        <f t="shared" si="33"/>
        <v>-0.31570560891251542</v>
      </c>
      <c r="T439" s="56">
        <f t="shared" si="34"/>
        <v>0.37728359965934732</v>
      </c>
    </row>
    <row r="440" spans="1:20" x14ac:dyDescent="0.25">
      <c r="A440">
        <v>0.45661955545766764</v>
      </c>
      <c r="B440">
        <v>-0.60738443607988302</v>
      </c>
      <c r="D440">
        <v>0.42313943725706793</v>
      </c>
      <c r="E440">
        <v>1.0426544997699239</v>
      </c>
      <c r="J440">
        <v>20</v>
      </c>
      <c r="K440">
        <v>-0.30902396019882872</v>
      </c>
      <c r="L440">
        <v>13.919853200088333</v>
      </c>
      <c r="M440">
        <v>10</v>
      </c>
      <c r="N440">
        <v>-0.11881616387654503</v>
      </c>
      <c r="O440">
        <v>59.335951718318185</v>
      </c>
      <c r="P440" s="1">
        <f t="shared" si="30"/>
        <v>2.6162787470859468</v>
      </c>
      <c r="Q440" s="1">
        <f t="shared" si="31"/>
        <v>0.39244181206289203</v>
      </c>
      <c r="R440" s="1">
        <f t="shared" si="32"/>
        <v>0.62645176355637477</v>
      </c>
      <c r="S440" s="1">
        <f t="shared" si="33"/>
        <v>-0.3036272022644993</v>
      </c>
      <c r="T440" s="56">
        <f t="shared" si="34"/>
        <v>0.38182835676452742</v>
      </c>
    </row>
    <row r="441" spans="1:20" x14ac:dyDescent="0.25">
      <c r="A441">
        <v>0.45780795976823063</v>
      </c>
      <c r="B441">
        <v>0.34009190130745992</v>
      </c>
      <c r="D441">
        <v>0.42377941170610622</v>
      </c>
      <c r="E441">
        <v>-2.7059313686095265</v>
      </c>
      <c r="J441">
        <v>20</v>
      </c>
      <c r="K441">
        <v>-0.18261260947838309</v>
      </c>
      <c r="L441">
        <v>23.01872552095854</v>
      </c>
      <c r="M441">
        <v>10</v>
      </c>
      <c r="N441">
        <v>5.8003589629151975E-2</v>
      </c>
      <c r="O441">
        <v>96.365838922503528</v>
      </c>
      <c r="P441" s="1">
        <f t="shared" si="30"/>
        <v>4.2637344444093594</v>
      </c>
      <c r="Q441" s="1">
        <f t="shared" si="31"/>
        <v>0.63956016666140392</v>
      </c>
      <c r="R441" s="1">
        <f t="shared" si="32"/>
        <v>0.79972505691731577</v>
      </c>
      <c r="S441" s="1">
        <f t="shared" si="33"/>
        <v>-0.3008736527964167</v>
      </c>
      <c r="T441" s="56">
        <f t="shared" si="34"/>
        <v>0.38286687331046798</v>
      </c>
    </row>
    <row r="442" spans="1:20" x14ac:dyDescent="0.25">
      <c r="A442">
        <v>0.45815975514855978</v>
      </c>
      <c r="B442">
        <v>0.40936583900474943</v>
      </c>
      <c r="D442">
        <v>0.42653159997366186</v>
      </c>
      <c r="E442">
        <v>7.3143685278864723</v>
      </c>
      <c r="J442">
        <v>20</v>
      </c>
      <c r="K442">
        <v>-0.28671195195784094</v>
      </c>
      <c r="L442">
        <v>26.075187913184102</v>
      </c>
      <c r="M442">
        <v>10</v>
      </c>
      <c r="N442">
        <v>-0.11590896406232787</v>
      </c>
      <c r="O442">
        <v>40.489838652062495</v>
      </c>
      <c r="P442" s="1">
        <f t="shared" si="30"/>
        <v>2.3773223773302354</v>
      </c>
      <c r="Q442" s="1">
        <f t="shared" si="31"/>
        <v>0.35659835659953532</v>
      </c>
      <c r="R442" s="1">
        <f t="shared" si="32"/>
        <v>0.59715856905811482</v>
      </c>
      <c r="S442" s="1">
        <f t="shared" si="33"/>
        <v>-0.28602618591727974</v>
      </c>
      <c r="T442" s="56">
        <f t="shared" si="34"/>
        <v>0.38848180686386613</v>
      </c>
    </row>
    <row r="443" spans="1:20" x14ac:dyDescent="0.25">
      <c r="A443">
        <v>0.45827350303964332</v>
      </c>
      <c r="B443">
        <v>-0.44650505515164696</v>
      </c>
      <c r="D443">
        <v>0.42659637099422543</v>
      </c>
      <c r="E443">
        <v>-6.1679691043536877E-3</v>
      </c>
      <c r="J443">
        <v>20</v>
      </c>
      <c r="K443">
        <v>1.4092563560552662E-2</v>
      </c>
      <c r="L443">
        <v>10.922823527213147</v>
      </c>
      <c r="M443">
        <v>10</v>
      </c>
      <c r="N443">
        <v>0.16762487234700529</v>
      </c>
      <c r="O443">
        <v>45.059674188599871</v>
      </c>
      <c r="P443" s="1">
        <f t="shared" si="30"/>
        <v>1.9993749184218934</v>
      </c>
      <c r="Q443" s="1">
        <f t="shared" si="31"/>
        <v>0.29990623776328401</v>
      </c>
      <c r="R443" s="1">
        <f t="shared" si="32"/>
        <v>0.54763695799615641</v>
      </c>
      <c r="S443" s="1">
        <f t="shared" si="33"/>
        <v>-0.2803541772422346</v>
      </c>
      <c r="T443" s="56">
        <f t="shared" si="34"/>
        <v>0.39063339402892078</v>
      </c>
    </row>
    <row r="444" spans="1:20" x14ac:dyDescent="0.25">
      <c r="A444">
        <v>0.46169389663628324</v>
      </c>
      <c r="B444">
        <v>0.93900553110870533</v>
      </c>
      <c r="D444">
        <v>0.42729472043090833</v>
      </c>
      <c r="E444">
        <v>-5.1208751335707348</v>
      </c>
      <c r="J444">
        <v>20</v>
      </c>
      <c r="K444">
        <v>0.29772650123049971</v>
      </c>
      <c r="L444">
        <v>12.382335658720809</v>
      </c>
      <c r="M444">
        <v>10</v>
      </c>
      <c r="N444">
        <v>0.48300728053618514</v>
      </c>
      <c r="O444">
        <v>69.939221905394859</v>
      </c>
      <c r="P444" s="1">
        <f t="shared" si="30"/>
        <v>2.940055627289845</v>
      </c>
      <c r="Q444" s="1">
        <f t="shared" si="31"/>
        <v>0.44100834409347672</v>
      </c>
      <c r="R444" s="1">
        <f t="shared" si="32"/>
        <v>0.66408459106764162</v>
      </c>
      <c r="S444" s="1">
        <f t="shared" si="33"/>
        <v>-0.27900177446944152</v>
      </c>
      <c r="T444" s="56">
        <f t="shared" si="34"/>
        <v>0.39114693131935901</v>
      </c>
    </row>
    <row r="445" spans="1:20" x14ac:dyDescent="0.25">
      <c r="A445">
        <v>0.46312472175974428</v>
      </c>
      <c r="B445">
        <v>0.83970462583238259</v>
      </c>
      <c r="D445">
        <v>0.42748598385090542</v>
      </c>
      <c r="E445">
        <v>6.8569654524708312</v>
      </c>
      <c r="J445">
        <v>20</v>
      </c>
      <c r="K445">
        <v>-9.9100645911676111E-2</v>
      </c>
      <c r="L445">
        <v>11.710412856533315</v>
      </c>
      <c r="M445">
        <v>10</v>
      </c>
      <c r="N445">
        <v>5.6393101885987562E-2</v>
      </c>
      <c r="O445">
        <v>48.168343721515797</v>
      </c>
      <c r="P445" s="1">
        <f t="shared" si="30"/>
        <v>2.1385270206446112</v>
      </c>
      <c r="Q445" s="1">
        <f t="shared" si="31"/>
        <v>0.32077905309669169</v>
      </c>
      <c r="R445" s="1">
        <f t="shared" si="32"/>
        <v>0.56637359851664315</v>
      </c>
      <c r="S445" s="1">
        <f t="shared" si="33"/>
        <v>-0.2745427191608304</v>
      </c>
      <c r="T445" s="56">
        <f t="shared" si="34"/>
        <v>0.39284154662212684</v>
      </c>
    </row>
    <row r="446" spans="1:20" x14ac:dyDescent="0.25">
      <c r="A446">
        <v>0.46588750452146022</v>
      </c>
      <c r="B446">
        <v>0.88045453594531864</v>
      </c>
      <c r="D446">
        <v>0.42965964302947979</v>
      </c>
      <c r="E446">
        <v>0.55940244806151895</v>
      </c>
      <c r="J446">
        <v>20</v>
      </c>
      <c r="K446">
        <v>0.27241060251981253</v>
      </c>
      <c r="L446">
        <v>9.5253161740714507</v>
      </c>
      <c r="M446">
        <v>10</v>
      </c>
      <c r="N446">
        <v>0.46697197944922664</v>
      </c>
      <c r="O446">
        <v>84.433791733883822</v>
      </c>
      <c r="P446" s="1">
        <f t="shared" si="30"/>
        <v>3.3556824252841166</v>
      </c>
      <c r="Q446" s="1">
        <f t="shared" si="31"/>
        <v>0.5033523637926175</v>
      </c>
      <c r="R446" s="1">
        <f t="shared" si="32"/>
        <v>0.70947330026761224</v>
      </c>
      <c r="S446" s="1">
        <f t="shared" si="33"/>
        <v>-0.27423354318763771</v>
      </c>
      <c r="T446" s="56">
        <f t="shared" si="34"/>
        <v>0.39295912543442746</v>
      </c>
    </row>
    <row r="447" spans="1:20" x14ac:dyDescent="0.25">
      <c r="A447">
        <v>0.46708124662009354</v>
      </c>
      <c r="B447">
        <v>0.64932351051538717</v>
      </c>
      <c r="D447">
        <v>0.42968819346175824</v>
      </c>
      <c r="E447">
        <v>-6.6499585534529615</v>
      </c>
      <c r="J447">
        <v>20</v>
      </c>
      <c r="K447">
        <v>-0.1400080122948566</v>
      </c>
      <c r="L447">
        <v>21.80900625322727</v>
      </c>
      <c r="M447">
        <v>10</v>
      </c>
      <c r="N447">
        <v>8.0934452171277371E-2</v>
      </c>
      <c r="O447">
        <v>100.53468687660373</v>
      </c>
      <c r="P447" s="1">
        <f t="shared" si="30"/>
        <v>4.3694176117796788</v>
      </c>
      <c r="Q447" s="1">
        <f t="shared" si="31"/>
        <v>0.6554126417669518</v>
      </c>
      <c r="R447" s="1">
        <f t="shared" si="32"/>
        <v>0.80957559360874498</v>
      </c>
      <c r="S447" s="1">
        <f t="shared" si="33"/>
        <v>-0.27291146893555185</v>
      </c>
      <c r="T447" s="56">
        <f t="shared" si="34"/>
        <v>0.39346202284378928</v>
      </c>
    </row>
    <row r="448" spans="1:20" x14ac:dyDescent="0.25">
      <c r="A448">
        <v>0.46721099982169434</v>
      </c>
      <c r="B448">
        <v>0.13632075024361257</v>
      </c>
      <c r="D448">
        <v>0.42981794960179265</v>
      </c>
      <c r="E448">
        <v>3.5297496162911557</v>
      </c>
      <c r="J448">
        <v>20</v>
      </c>
      <c r="K448">
        <v>9.1692186288128141E-2</v>
      </c>
      <c r="L448">
        <v>15.38570537077454</v>
      </c>
      <c r="M448">
        <v>10</v>
      </c>
      <c r="N448">
        <v>0.32159459465219697</v>
      </c>
      <c r="O448">
        <v>124.0430378742082</v>
      </c>
      <c r="P448" s="1">
        <f t="shared" si="30"/>
        <v>4.9795979730350979</v>
      </c>
      <c r="Q448" s="1">
        <f t="shared" si="31"/>
        <v>0.74693969595526466</v>
      </c>
      <c r="R448" s="1">
        <f t="shared" si="32"/>
        <v>0.86425673034999539</v>
      </c>
      <c r="S448" s="1">
        <f t="shared" si="33"/>
        <v>-0.26601170727471912</v>
      </c>
      <c r="T448" s="56">
        <f t="shared" si="34"/>
        <v>0.39608961283203759</v>
      </c>
    </row>
    <row r="449" spans="1:20" x14ac:dyDescent="0.25">
      <c r="A449">
        <v>0.46764744541669223</v>
      </c>
      <c r="B449">
        <v>2.1355481294449419</v>
      </c>
      <c r="D449">
        <v>0.43037630031170693</v>
      </c>
      <c r="E449">
        <v>-1.1263334761224542</v>
      </c>
      <c r="J449">
        <v>20</v>
      </c>
      <c r="K449">
        <v>0.25147136284431326</v>
      </c>
      <c r="L449">
        <v>15.738179665319763</v>
      </c>
      <c r="M449">
        <v>10</v>
      </c>
      <c r="N449">
        <v>0.39768417195773509</v>
      </c>
      <c r="O449">
        <v>42.618459170671812</v>
      </c>
      <c r="P449" s="1">
        <f t="shared" si="30"/>
        <v>2.084165672713985</v>
      </c>
      <c r="Q449" s="1">
        <f t="shared" si="31"/>
        <v>0.31262485090709774</v>
      </c>
      <c r="R449" s="1">
        <f t="shared" si="32"/>
        <v>0.55912865326961891</v>
      </c>
      <c r="S449" s="1">
        <f t="shared" si="33"/>
        <v>-0.26150119164598806</v>
      </c>
      <c r="T449" s="56">
        <f t="shared" si="34"/>
        <v>0.39781002540645516</v>
      </c>
    </row>
    <row r="450" spans="1:20" x14ac:dyDescent="0.25">
      <c r="A450">
        <v>0.46791184737998071</v>
      </c>
      <c r="B450">
        <v>1.4349188859341666</v>
      </c>
      <c r="D450">
        <v>0.43055077214319859</v>
      </c>
      <c r="E450">
        <v>-3.7819397709881741</v>
      </c>
      <c r="J450">
        <v>20</v>
      </c>
      <c r="K450">
        <v>7.6095943768450525E-2</v>
      </c>
      <c r="L450">
        <v>16.149103923513444</v>
      </c>
      <c r="M450">
        <v>10</v>
      </c>
      <c r="N450">
        <v>0.29149293482078065</v>
      </c>
      <c r="O450">
        <v>112.96119087748873</v>
      </c>
      <c r="P450" s="1">
        <f t="shared" ref="P450:P513" si="35">(L450+O450)/(J450+M450-2)</f>
        <v>4.6110819571786488</v>
      </c>
      <c r="Q450" s="1">
        <f t="shared" ref="Q450:Q513" si="36">P450*0.15</f>
        <v>0.69166229357679732</v>
      </c>
      <c r="R450" s="1">
        <f t="shared" ref="R450:R513" si="37">SQRT(Q450)</f>
        <v>0.83166236753672895</v>
      </c>
      <c r="S450" s="1">
        <f t="shared" ref="S450:S513" si="38">(K450-N450)/R450</f>
        <v>-0.2589957168439721</v>
      </c>
      <c r="T450" s="56">
        <f t="shared" ref="T450:T513" si="39">_xlfn.T.DIST(S450,28,TRUE)</f>
        <v>0.398766578552047</v>
      </c>
    </row>
    <row r="451" spans="1:20" x14ac:dyDescent="0.25">
      <c r="A451">
        <v>0.46879164594827016</v>
      </c>
      <c r="B451">
        <v>1.2116311154386494</v>
      </c>
      <c r="D451">
        <v>0.43368010072891827</v>
      </c>
      <c r="E451">
        <v>-3.1889583203792427</v>
      </c>
      <c r="J451">
        <v>20</v>
      </c>
      <c r="K451">
        <v>-0.34048025554511696</v>
      </c>
      <c r="L451">
        <v>12.27348318244505</v>
      </c>
      <c r="M451">
        <v>10</v>
      </c>
      <c r="N451">
        <v>-0.12191299333608185</v>
      </c>
      <c r="O451">
        <v>121.56968527102745</v>
      </c>
      <c r="P451" s="1">
        <f t="shared" si="35"/>
        <v>4.7801131590525898</v>
      </c>
      <c r="Q451" s="1">
        <f t="shared" si="36"/>
        <v>0.71701697385788843</v>
      </c>
      <c r="R451" s="1">
        <f t="shared" si="37"/>
        <v>0.84676854798574586</v>
      </c>
      <c r="S451" s="1">
        <f t="shared" si="38"/>
        <v>-0.25811924962134325</v>
      </c>
      <c r="T451" s="56">
        <f t="shared" si="39"/>
        <v>0.3991013525125986</v>
      </c>
    </row>
    <row r="452" spans="1:20" x14ac:dyDescent="0.25">
      <c r="A452">
        <v>0.47055692765697421</v>
      </c>
      <c r="B452">
        <v>1.6524018064956181</v>
      </c>
      <c r="D452">
        <v>0.43435929048178756</v>
      </c>
      <c r="E452">
        <v>0.35642710486172291</v>
      </c>
      <c r="J452">
        <v>20</v>
      </c>
      <c r="K452">
        <v>9.7999418358085677E-2</v>
      </c>
      <c r="L452">
        <v>18.892367935381735</v>
      </c>
      <c r="M452">
        <v>10</v>
      </c>
      <c r="N452">
        <v>0.33015248504852934</v>
      </c>
      <c r="O452">
        <v>132.74027709261804</v>
      </c>
      <c r="P452" s="1">
        <f t="shared" si="35"/>
        <v>5.4154516081428499</v>
      </c>
      <c r="Q452" s="1">
        <f t="shared" si="36"/>
        <v>0.81231774122142741</v>
      </c>
      <c r="R452" s="1">
        <f t="shared" si="37"/>
        <v>0.90128671421553053</v>
      </c>
      <c r="S452" s="1">
        <f t="shared" si="38"/>
        <v>-0.25757959484902315</v>
      </c>
      <c r="T452" s="56">
        <f t="shared" si="39"/>
        <v>0.39930751709604728</v>
      </c>
    </row>
    <row r="453" spans="1:20" x14ac:dyDescent="0.25">
      <c r="A453">
        <v>0.47205781824215065</v>
      </c>
      <c r="B453">
        <v>1.8435503079672344</v>
      </c>
      <c r="D453">
        <v>0.43582336521340037</v>
      </c>
      <c r="E453">
        <v>-8.5805598928345717E-2</v>
      </c>
      <c r="J453">
        <v>20</v>
      </c>
      <c r="K453">
        <v>0.22614875661020051</v>
      </c>
      <c r="L453">
        <v>11.761402536842779</v>
      </c>
      <c r="M453">
        <v>10</v>
      </c>
      <c r="N453">
        <v>0.37650056242455321</v>
      </c>
      <c r="O453">
        <v>52.504146094129617</v>
      </c>
      <c r="P453" s="1">
        <f t="shared" si="35"/>
        <v>2.2951981653918709</v>
      </c>
      <c r="Q453" s="1">
        <f t="shared" si="36"/>
        <v>0.34427972480878061</v>
      </c>
      <c r="R453" s="1">
        <f t="shared" si="37"/>
        <v>0.58675354690771198</v>
      </c>
      <c r="S453" s="1">
        <f t="shared" si="38"/>
        <v>-0.25624353973952357</v>
      </c>
      <c r="T453" s="56">
        <f t="shared" si="39"/>
        <v>0.39981805819091448</v>
      </c>
    </row>
    <row r="454" spans="1:20" x14ac:dyDescent="0.25">
      <c r="A454">
        <v>0.47348367003363001</v>
      </c>
      <c r="B454">
        <v>2.1393134375102818</v>
      </c>
      <c r="D454">
        <v>0.43702725464748682</v>
      </c>
      <c r="E454">
        <v>1.8651355696874816</v>
      </c>
      <c r="J454">
        <v>20</v>
      </c>
      <c r="K454">
        <v>-0.580688549689512</v>
      </c>
      <c r="L454">
        <v>9.2402992698922795</v>
      </c>
      <c r="M454">
        <v>10</v>
      </c>
      <c r="N454">
        <v>-0.39069118770385103</v>
      </c>
      <c r="O454">
        <v>96.958690862256589</v>
      </c>
      <c r="P454" s="1">
        <f t="shared" si="35"/>
        <v>3.7928210761481735</v>
      </c>
      <c r="Q454" s="1">
        <f t="shared" si="36"/>
        <v>0.56892316142222599</v>
      </c>
      <c r="R454" s="1">
        <f t="shared" si="37"/>
        <v>0.75426995261791119</v>
      </c>
      <c r="S454" s="1">
        <f t="shared" si="38"/>
        <v>-0.25189570567701974</v>
      </c>
      <c r="T454" s="56">
        <f t="shared" si="39"/>
        <v>0.40148072350112513</v>
      </c>
    </row>
    <row r="455" spans="1:20" x14ac:dyDescent="0.25">
      <c r="A455">
        <v>0.47361875838653966</v>
      </c>
      <c r="B455">
        <v>-0.36418441595742479</v>
      </c>
      <c r="D455">
        <v>0.43721799741402212</v>
      </c>
      <c r="E455">
        <v>-7.7590873422650475</v>
      </c>
      <c r="J455">
        <v>20</v>
      </c>
      <c r="K455">
        <v>5.7395368457946461E-3</v>
      </c>
      <c r="L455">
        <v>17.916975296696069</v>
      </c>
      <c r="M455">
        <v>10</v>
      </c>
      <c r="N455">
        <v>0.16622788848508208</v>
      </c>
      <c r="O455">
        <v>61.130855170541956</v>
      </c>
      <c r="P455" s="1">
        <f t="shared" si="35"/>
        <v>2.8231368024013581</v>
      </c>
      <c r="Q455" s="1">
        <f t="shared" si="36"/>
        <v>0.42347052036020372</v>
      </c>
      <c r="R455" s="1">
        <f t="shared" si="37"/>
        <v>0.6507461258895082</v>
      </c>
      <c r="S455" s="1">
        <f t="shared" si="38"/>
        <v>-0.24662206235944176</v>
      </c>
      <c r="T455" s="56">
        <f t="shared" si="39"/>
        <v>0.40349995362999691</v>
      </c>
    </row>
    <row r="456" spans="1:20" x14ac:dyDescent="0.25">
      <c r="A456">
        <v>0.47416903277903089</v>
      </c>
      <c r="B456">
        <v>-1.0010921869252343</v>
      </c>
      <c r="D456">
        <v>0.44016096391586157</v>
      </c>
      <c r="E456">
        <v>0.99098383202544937</v>
      </c>
      <c r="J456">
        <v>20</v>
      </c>
      <c r="K456">
        <v>0.45876151943957666</v>
      </c>
      <c r="L456">
        <v>8.2851712578289547</v>
      </c>
      <c r="M456">
        <v>10</v>
      </c>
      <c r="N456">
        <v>0.62778644519312365</v>
      </c>
      <c r="O456">
        <v>79.74492455137478</v>
      </c>
      <c r="P456" s="1">
        <f t="shared" si="35"/>
        <v>3.1439319931858476</v>
      </c>
      <c r="Q456" s="1">
        <f t="shared" si="36"/>
        <v>0.47158979897787712</v>
      </c>
      <c r="R456" s="1">
        <f t="shared" si="37"/>
        <v>0.68672396126673574</v>
      </c>
      <c r="S456" s="1">
        <f t="shared" si="38"/>
        <v>-0.24613226752968173</v>
      </c>
      <c r="T456" s="56">
        <f t="shared" si="39"/>
        <v>0.40368763028871718</v>
      </c>
    </row>
    <row r="457" spans="1:20" x14ac:dyDescent="0.25">
      <c r="A457">
        <v>0.47425208517397277</v>
      </c>
      <c r="B457">
        <v>-0.24701648726477288</v>
      </c>
      <c r="D457">
        <v>0.44024628456507808</v>
      </c>
      <c r="E457">
        <v>1.7351369444895681</v>
      </c>
      <c r="J457">
        <v>20</v>
      </c>
      <c r="K457">
        <v>-0.26511764872338972</v>
      </c>
      <c r="L457">
        <v>20.524955600335101</v>
      </c>
      <c r="M457">
        <v>10</v>
      </c>
      <c r="N457">
        <v>-4.0191483776652603E-2</v>
      </c>
      <c r="O457">
        <v>136.40103600434566</v>
      </c>
      <c r="P457" s="1">
        <f t="shared" si="35"/>
        <v>5.6044997001671693</v>
      </c>
      <c r="Q457" s="1">
        <f t="shared" si="36"/>
        <v>0.84067495502507539</v>
      </c>
      <c r="R457" s="1">
        <f t="shared" si="37"/>
        <v>0.91688328320734225</v>
      </c>
      <c r="S457" s="1">
        <f t="shared" si="38"/>
        <v>-0.24531602774992761</v>
      </c>
      <c r="T457" s="56">
        <f t="shared" si="39"/>
        <v>0.4040004441089845</v>
      </c>
    </row>
    <row r="458" spans="1:20" x14ac:dyDescent="0.25">
      <c r="A458">
        <v>0.47642526973715316</v>
      </c>
      <c r="B458">
        <v>0.13083990779705346</v>
      </c>
      <c r="D458">
        <v>0.44086363906037285</v>
      </c>
      <c r="E458">
        <v>0.20302149664530589</v>
      </c>
      <c r="J458">
        <v>20</v>
      </c>
      <c r="K458">
        <v>0.14398978009921848</v>
      </c>
      <c r="L458">
        <v>20.879284942098121</v>
      </c>
      <c r="M458">
        <v>10</v>
      </c>
      <c r="N458">
        <v>0.28954820777471468</v>
      </c>
      <c r="O458">
        <v>47.649135698685996</v>
      </c>
      <c r="P458" s="1">
        <f t="shared" si="35"/>
        <v>2.4474435943137185</v>
      </c>
      <c r="Q458" s="1">
        <f t="shared" si="36"/>
        <v>0.36711653914705777</v>
      </c>
      <c r="R458" s="1">
        <f t="shared" si="37"/>
        <v>0.60590142692277738</v>
      </c>
      <c r="S458" s="1">
        <f t="shared" si="38"/>
        <v>-0.24023450219411308</v>
      </c>
      <c r="T458" s="56">
        <f t="shared" si="39"/>
        <v>0.40594932429078678</v>
      </c>
    </row>
    <row r="459" spans="1:20" x14ac:dyDescent="0.25">
      <c r="A459">
        <v>0.47750653083941674</v>
      </c>
      <c r="B459">
        <v>-0.54914835345698521</v>
      </c>
      <c r="D459">
        <v>0.44284940863327049</v>
      </c>
      <c r="E459">
        <v>1.6547387497212185</v>
      </c>
      <c r="J459">
        <v>20</v>
      </c>
      <c r="K459">
        <v>-0.15229187511067721</v>
      </c>
      <c r="L459">
        <v>15.49882726471942</v>
      </c>
      <c r="M459">
        <v>10</v>
      </c>
      <c r="N459">
        <v>1.3629911563839414E-2</v>
      </c>
      <c r="O459">
        <v>77.715384698735477</v>
      </c>
      <c r="P459" s="1">
        <f t="shared" si="35"/>
        <v>3.3290789986948179</v>
      </c>
      <c r="Q459" s="1">
        <f t="shared" si="36"/>
        <v>0.49936184980422266</v>
      </c>
      <c r="R459" s="1">
        <f t="shared" si="37"/>
        <v>0.7066553967841912</v>
      </c>
      <c r="S459" s="1">
        <f t="shared" si="38"/>
        <v>-0.23479872570079338</v>
      </c>
      <c r="T459" s="56">
        <f t="shared" si="39"/>
        <v>0.40803679031429779</v>
      </c>
    </row>
    <row r="460" spans="1:20" x14ac:dyDescent="0.25">
      <c r="A460">
        <v>0.47861322247741811</v>
      </c>
      <c r="B460">
        <v>-0.19223307390348054</v>
      </c>
      <c r="D460">
        <v>0.4462986746240315</v>
      </c>
      <c r="E460">
        <v>-1.680734161482178</v>
      </c>
      <c r="J460">
        <v>20</v>
      </c>
      <c r="K460">
        <v>-2.025501544267172E-2</v>
      </c>
      <c r="L460">
        <v>16.063345366781402</v>
      </c>
      <c r="M460">
        <v>10</v>
      </c>
      <c r="N460">
        <v>0.20151128069301194</v>
      </c>
      <c r="O460">
        <v>150.76955255810509</v>
      </c>
      <c r="P460" s="1">
        <f t="shared" si="35"/>
        <v>5.95831778303166</v>
      </c>
      <c r="Q460" s="1">
        <f t="shared" si="36"/>
        <v>0.89374766745474898</v>
      </c>
      <c r="R460" s="1">
        <f t="shared" si="37"/>
        <v>0.94538228640838673</v>
      </c>
      <c r="S460" s="1">
        <f t="shared" si="38"/>
        <v>-0.23457843385049945</v>
      </c>
      <c r="T460" s="56">
        <f t="shared" si="39"/>
        <v>0.40812144607432727</v>
      </c>
    </row>
    <row r="461" spans="1:20" x14ac:dyDescent="0.25">
      <c r="A461">
        <v>0.48296768822779512</v>
      </c>
      <c r="B461">
        <v>0.37171503208810464</v>
      </c>
      <c r="D461">
        <v>0.44721643717048509</v>
      </c>
      <c r="E461">
        <v>0.34322124179197999</v>
      </c>
      <c r="J461">
        <v>20</v>
      </c>
      <c r="K461">
        <v>9.4602114586450625E-2</v>
      </c>
      <c r="L461">
        <v>20.679082121977864</v>
      </c>
      <c r="M461">
        <v>10</v>
      </c>
      <c r="N461">
        <v>0.27950329354098358</v>
      </c>
      <c r="O461">
        <v>96.216831927396967</v>
      </c>
      <c r="P461" s="1">
        <f t="shared" si="35"/>
        <v>4.1748540731919581</v>
      </c>
      <c r="Q461" s="1">
        <f t="shared" si="36"/>
        <v>0.62622811097879372</v>
      </c>
      <c r="R461" s="1">
        <f t="shared" si="37"/>
        <v>0.79134575943691876</v>
      </c>
      <c r="S461" s="1">
        <f t="shared" si="38"/>
        <v>-0.23365409714977078</v>
      </c>
      <c r="T461" s="56">
        <f t="shared" si="39"/>
        <v>0.40847670785579782</v>
      </c>
    </row>
    <row r="462" spans="1:20" x14ac:dyDescent="0.25">
      <c r="A462">
        <v>0.48368670482199694</v>
      </c>
      <c r="B462">
        <v>1.0761300472950097</v>
      </c>
      <c r="D462">
        <v>0.44776170926469216</v>
      </c>
      <c r="E462">
        <v>6.5221804527482163</v>
      </c>
      <c r="J462">
        <v>20</v>
      </c>
      <c r="K462">
        <v>0.44178148073115153</v>
      </c>
      <c r="L462">
        <v>20.735472351461596</v>
      </c>
      <c r="M462">
        <v>10</v>
      </c>
      <c r="N462">
        <v>0.59406749755908095</v>
      </c>
      <c r="O462">
        <v>59.884760802892352</v>
      </c>
      <c r="P462" s="1">
        <f t="shared" si="35"/>
        <v>2.8792940412269266</v>
      </c>
      <c r="Q462" s="1">
        <f t="shared" si="36"/>
        <v>0.43189410618403895</v>
      </c>
      <c r="R462" s="1">
        <f t="shared" si="37"/>
        <v>0.657186507913879</v>
      </c>
      <c r="S462" s="1">
        <f t="shared" si="38"/>
        <v>-0.23172419852521642</v>
      </c>
      <c r="T462" s="56">
        <f t="shared" si="39"/>
        <v>0.40921870506935271</v>
      </c>
    </row>
    <row r="463" spans="1:20" x14ac:dyDescent="0.25">
      <c r="A463">
        <v>0.4846421478895071</v>
      </c>
      <c r="B463">
        <v>-4.5723709263256751E-2</v>
      </c>
      <c r="D463">
        <v>0.44897405799013324</v>
      </c>
      <c r="E463">
        <v>0.33349419595651852</v>
      </c>
      <c r="J463">
        <v>20</v>
      </c>
      <c r="K463">
        <v>0.24147720978362486</v>
      </c>
      <c r="L463">
        <v>11.893803725055399</v>
      </c>
      <c r="M463">
        <v>10</v>
      </c>
      <c r="N463">
        <v>0.41951443222387752</v>
      </c>
      <c r="O463">
        <v>100.09427579647033</v>
      </c>
      <c r="P463" s="1">
        <f t="shared" si="35"/>
        <v>3.9995742686259184</v>
      </c>
      <c r="Q463" s="1">
        <f t="shared" si="36"/>
        <v>0.59993614029388775</v>
      </c>
      <c r="R463" s="1">
        <f t="shared" si="37"/>
        <v>0.77455544688155653</v>
      </c>
      <c r="S463" s="1">
        <f t="shared" si="38"/>
        <v>-0.22985729834713531</v>
      </c>
      <c r="T463" s="56">
        <f t="shared" si="39"/>
        <v>0.40993680748087502</v>
      </c>
    </row>
    <row r="464" spans="1:20" x14ac:dyDescent="0.25">
      <c r="A464">
        <v>0.48602207041462275</v>
      </c>
      <c r="B464">
        <v>3.45578882843256</v>
      </c>
      <c r="D464">
        <v>0.45015650318148892</v>
      </c>
      <c r="E464">
        <v>-4.8793087933063362</v>
      </c>
      <c r="J464">
        <v>20</v>
      </c>
      <c r="K464">
        <v>-0.26256850560457679</v>
      </c>
      <c r="L464">
        <v>12.073721938936913</v>
      </c>
      <c r="M464">
        <v>10</v>
      </c>
      <c r="N464">
        <v>-9.4577334266432445E-2</v>
      </c>
      <c r="O464">
        <v>90.580724816425615</v>
      </c>
      <c r="P464" s="1">
        <f t="shared" si="35"/>
        <v>3.6662302412629475</v>
      </c>
      <c r="Q464" s="1">
        <f t="shared" si="36"/>
        <v>0.5499345361894421</v>
      </c>
      <c r="R464" s="1">
        <f t="shared" si="37"/>
        <v>0.74157571170409975</v>
      </c>
      <c r="S464" s="1">
        <f t="shared" si="38"/>
        <v>-0.22653273116525077</v>
      </c>
      <c r="T464" s="56">
        <f t="shared" si="39"/>
        <v>0.41121638828070362</v>
      </c>
    </row>
    <row r="465" spans="1:20" x14ac:dyDescent="0.25">
      <c r="A465">
        <v>0.48707817032230738</v>
      </c>
      <c r="B465">
        <v>-0.22279550648818258</v>
      </c>
      <c r="D465">
        <v>0.45195598171050744</v>
      </c>
      <c r="E465">
        <v>5.7161862480370473</v>
      </c>
      <c r="J465">
        <v>20</v>
      </c>
      <c r="K465">
        <v>-0.1977412580345117</v>
      </c>
      <c r="L465">
        <v>18.342516515127375</v>
      </c>
      <c r="M465">
        <v>10</v>
      </c>
      <c r="N465">
        <v>-3.3944278357012081E-2</v>
      </c>
      <c r="O465">
        <v>84.115358233017034</v>
      </c>
      <c r="P465" s="1">
        <f t="shared" si="35"/>
        <v>3.6592098124337289</v>
      </c>
      <c r="Q465" s="1">
        <f t="shared" si="36"/>
        <v>0.54888147186505931</v>
      </c>
      <c r="R465" s="1">
        <f t="shared" si="37"/>
        <v>0.74086535339767323</v>
      </c>
      <c r="S465" s="1">
        <f t="shared" si="38"/>
        <v>-0.2210887294517315</v>
      </c>
      <c r="T465" s="56">
        <f t="shared" si="39"/>
        <v>0.4133138565922726</v>
      </c>
    </row>
    <row r="466" spans="1:20" x14ac:dyDescent="0.25">
      <c r="A466">
        <v>0.48727772418907811</v>
      </c>
      <c r="B466">
        <v>-0.22923131837160327</v>
      </c>
      <c r="D466">
        <v>0.45251264906787159</v>
      </c>
      <c r="E466">
        <v>0.49271488592239621</v>
      </c>
      <c r="J466">
        <v>20</v>
      </c>
      <c r="K466">
        <v>-4.1458520172454882E-2</v>
      </c>
      <c r="L466">
        <v>31.558931978230021</v>
      </c>
      <c r="M466">
        <v>10</v>
      </c>
      <c r="N466">
        <v>0.14928673067515774</v>
      </c>
      <c r="O466">
        <v>111.55126408310549</v>
      </c>
      <c r="P466" s="1">
        <f t="shared" si="35"/>
        <v>5.1110784307619825</v>
      </c>
      <c r="Q466" s="1">
        <f t="shared" si="36"/>
        <v>0.76666176461429736</v>
      </c>
      <c r="R466" s="1">
        <f t="shared" si="37"/>
        <v>0.87559223649727347</v>
      </c>
      <c r="S466" s="1">
        <f t="shared" si="38"/>
        <v>-0.21784712437683496</v>
      </c>
      <c r="T466" s="56">
        <f t="shared" si="39"/>
        <v>0.41456402866027481</v>
      </c>
    </row>
    <row r="467" spans="1:20" x14ac:dyDescent="0.25">
      <c r="A467">
        <v>0.4954939241988765</v>
      </c>
      <c r="B467">
        <v>2.9274087864905596</v>
      </c>
      <c r="D467">
        <v>0.45359080752661973</v>
      </c>
      <c r="E467">
        <v>-0.3478560336134251</v>
      </c>
      <c r="J467">
        <v>20</v>
      </c>
      <c r="K467">
        <v>-0.25284180082962848</v>
      </c>
      <c r="L467">
        <v>17.003021632889016</v>
      </c>
      <c r="M467">
        <v>10</v>
      </c>
      <c r="N467">
        <v>-0.10292547244716843</v>
      </c>
      <c r="O467">
        <v>72.180054057640987</v>
      </c>
      <c r="P467" s="1">
        <f t="shared" si="35"/>
        <v>3.1851098460903571</v>
      </c>
      <c r="Q467" s="1">
        <f t="shared" si="36"/>
        <v>0.47776647691355356</v>
      </c>
      <c r="R467" s="1">
        <f t="shared" si="37"/>
        <v>0.69120653708826685</v>
      </c>
      <c r="S467" s="1">
        <f t="shared" si="38"/>
        <v>-0.21689078493671102</v>
      </c>
      <c r="T467" s="56">
        <f t="shared" si="39"/>
        <v>0.41493302986901182</v>
      </c>
    </row>
    <row r="468" spans="1:20" x14ac:dyDescent="0.25">
      <c r="A468">
        <v>0.49565272295301521</v>
      </c>
      <c r="B468">
        <v>-0.97997599368682131</v>
      </c>
      <c r="D468">
        <v>0.45437964983316403</v>
      </c>
      <c r="E468">
        <v>-0.66117468463744444</v>
      </c>
      <c r="J468">
        <v>20</v>
      </c>
      <c r="K468">
        <v>-0.10415055839985143</v>
      </c>
      <c r="L468">
        <v>16.434333096126867</v>
      </c>
      <c r="M468">
        <v>10</v>
      </c>
      <c r="N468">
        <v>8.3962046346641728E-2</v>
      </c>
      <c r="O468">
        <v>129.70924445073521</v>
      </c>
      <c r="P468" s="1">
        <f t="shared" si="35"/>
        <v>5.2194134838165027</v>
      </c>
      <c r="Q468" s="1">
        <f t="shared" si="36"/>
        <v>0.78291202257247539</v>
      </c>
      <c r="R468" s="1">
        <f t="shared" si="37"/>
        <v>0.88482315892638985</v>
      </c>
      <c r="S468" s="1">
        <f t="shared" si="38"/>
        <v>-0.21259909717410846</v>
      </c>
      <c r="T468" s="56">
        <f t="shared" si="39"/>
        <v>0.41658993680259976</v>
      </c>
    </row>
    <row r="469" spans="1:20" x14ac:dyDescent="0.25">
      <c r="A469">
        <v>0.49795227152192445</v>
      </c>
      <c r="B469">
        <v>0.42681449485826306</v>
      </c>
      <c r="D469">
        <v>0.45462818113003212</v>
      </c>
      <c r="E469">
        <v>1.4243830685245484</v>
      </c>
      <c r="J469">
        <v>20</v>
      </c>
      <c r="K469">
        <v>0.12042329444739153</v>
      </c>
      <c r="L469">
        <v>18.132053578726026</v>
      </c>
      <c r="M469">
        <v>10</v>
      </c>
      <c r="N469">
        <v>0.32513991868654557</v>
      </c>
      <c r="O469">
        <v>158.29390647104552</v>
      </c>
      <c r="P469" s="1">
        <f t="shared" si="35"/>
        <v>6.3009271446346977</v>
      </c>
      <c r="Q469" s="1">
        <f t="shared" si="36"/>
        <v>0.94513907169520461</v>
      </c>
      <c r="R469" s="1">
        <f t="shared" si="37"/>
        <v>0.97218263289116857</v>
      </c>
      <c r="S469" s="1">
        <f t="shared" si="38"/>
        <v>-0.21057424532502542</v>
      </c>
      <c r="T469" s="56">
        <f t="shared" si="39"/>
        <v>0.41737222330778867</v>
      </c>
    </row>
    <row r="470" spans="1:20" x14ac:dyDescent="0.25">
      <c r="A470">
        <v>0.49953169680424514</v>
      </c>
      <c r="B470">
        <v>-0.86578438640572131</v>
      </c>
      <c r="D470">
        <v>0.45575200323735232</v>
      </c>
      <c r="E470">
        <v>-1.8706093703713123</v>
      </c>
      <c r="J470">
        <v>20</v>
      </c>
      <c r="K470">
        <v>-0.165688504694117</v>
      </c>
      <c r="L470">
        <v>31.768874903662333</v>
      </c>
      <c r="M470">
        <v>10</v>
      </c>
      <c r="N470">
        <v>4.6356373104572413E-2</v>
      </c>
      <c r="O470">
        <v>161.00224233334015</v>
      </c>
      <c r="P470" s="1">
        <f t="shared" si="35"/>
        <v>6.8846827584643737</v>
      </c>
      <c r="Q470" s="1">
        <f t="shared" si="36"/>
        <v>1.0327024137696561</v>
      </c>
      <c r="R470" s="1">
        <f t="shared" si="37"/>
        <v>1.0162196680686986</v>
      </c>
      <c r="S470" s="1">
        <f t="shared" si="38"/>
        <v>-0.20866047416861719</v>
      </c>
      <c r="T470" s="56">
        <f t="shared" si="39"/>
        <v>0.41811191178872614</v>
      </c>
    </row>
    <row r="471" spans="1:20" x14ac:dyDescent="0.25">
      <c r="A471">
        <v>0.50070832828256751</v>
      </c>
      <c r="B471">
        <v>1.4904253475833684</v>
      </c>
      <c r="D471">
        <v>0.45603801890378515</v>
      </c>
      <c r="E471">
        <v>1.3249980349883117</v>
      </c>
      <c r="J471">
        <v>20</v>
      </c>
      <c r="K471">
        <v>6.5811036620289087E-3</v>
      </c>
      <c r="L471">
        <v>18.689487855126323</v>
      </c>
      <c r="M471">
        <v>10</v>
      </c>
      <c r="N471">
        <v>0.11296480920464091</v>
      </c>
      <c r="O471">
        <v>30.555371692543389</v>
      </c>
      <c r="P471" s="1">
        <f t="shared" si="35"/>
        <v>1.7587449838453468</v>
      </c>
      <c r="Q471" s="1">
        <f t="shared" si="36"/>
        <v>0.26381174757680204</v>
      </c>
      <c r="R471" s="1">
        <f t="shared" si="37"/>
        <v>0.5136260775864111</v>
      </c>
      <c r="S471" s="1">
        <f t="shared" si="38"/>
        <v>-0.20712286658520426</v>
      </c>
      <c r="T471" s="56">
        <f t="shared" si="39"/>
        <v>0.41870643138539776</v>
      </c>
    </row>
    <row r="472" spans="1:20" x14ac:dyDescent="0.25">
      <c r="A472">
        <v>0.50122150974166069</v>
      </c>
      <c r="B472">
        <v>-0.62765707298240159</v>
      </c>
      <c r="D472">
        <v>0.45889283780212053</v>
      </c>
      <c r="E472">
        <v>-2.996409197066896</v>
      </c>
      <c r="J472">
        <v>20</v>
      </c>
      <c r="K472">
        <v>0.17550308939462411</v>
      </c>
      <c r="L472">
        <v>21.539913590667386</v>
      </c>
      <c r="M472">
        <v>10</v>
      </c>
      <c r="N472">
        <v>0.30260229891609924</v>
      </c>
      <c r="O472">
        <v>49.017716842920109</v>
      </c>
      <c r="P472" s="1">
        <f t="shared" si="35"/>
        <v>2.5199153726281245</v>
      </c>
      <c r="Q472" s="1">
        <f t="shared" si="36"/>
        <v>0.37798730589421864</v>
      </c>
      <c r="R472" s="1">
        <f t="shared" si="37"/>
        <v>0.61480672238860457</v>
      </c>
      <c r="S472" s="1">
        <f t="shared" si="38"/>
        <v>-0.20673035100800147</v>
      </c>
      <c r="T472" s="56">
        <f t="shared" si="39"/>
        <v>0.41885822989035953</v>
      </c>
    </row>
    <row r="473" spans="1:20" x14ac:dyDescent="0.25">
      <c r="A473">
        <v>0.50224221684917392</v>
      </c>
      <c r="B473">
        <v>2.4673454390722327E-2</v>
      </c>
      <c r="D473">
        <v>0.45984037079146611</v>
      </c>
      <c r="E473">
        <v>2.2153740212615958</v>
      </c>
      <c r="J473">
        <v>20</v>
      </c>
      <c r="K473">
        <v>-0.25802359004956088</v>
      </c>
      <c r="L473">
        <v>23.404834156304275</v>
      </c>
      <c r="M473">
        <v>10</v>
      </c>
      <c r="N473">
        <v>-0.11056761536565318</v>
      </c>
      <c r="O473">
        <v>71.615789241978703</v>
      </c>
      <c r="P473" s="1">
        <f t="shared" si="35"/>
        <v>3.3935936927958208</v>
      </c>
      <c r="Q473" s="1">
        <f t="shared" si="36"/>
        <v>0.5090390539193731</v>
      </c>
      <c r="R473" s="1">
        <f t="shared" si="37"/>
        <v>0.71346972880380366</v>
      </c>
      <c r="S473" s="1">
        <f t="shared" si="38"/>
        <v>-0.2066744652658648</v>
      </c>
      <c r="T473" s="56">
        <f t="shared" si="39"/>
        <v>0.41887984375600895</v>
      </c>
    </row>
    <row r="474" spans="1:20" x14ac:dyDescent="0.25">
      <c r="A474">
        <v>0.50489205542521087</v>
      </c>
      <c r="B474">
        <v>-0.73567434810684063</v>
      </c>
      <c r="D474">
        <v>0.45995044421040809</v>
      </c>
      <c r="E474">
        <v>7.1844926844732981</v>
      </c>
      <c r="J474">
        <v>20</v>
      </c>
      <c r="K474">
        <v>0.17558886611368507</v>
      </c>
      <c r="L474">
        <v>9.013215119181945</v>
      </c>
      <c r="M474">
        <v>10</v>
      </c>
      <c r="N474">
        <v>0.2904008590576268</v>
      </c>
      <c r="O474">
        <v>52.920222460568596</v>
      </c>
      <c r="P474" s="1">
        <f t="shared" si="35"/>
        <v>2.2119084849910906</v>
      </c>
      <c r="Q474" s="1">
        <f t="shared" si="36"/>
        <v>0.33178627274866357</v>
      </c>
      <c r="R474" s="1">
        <f t="shared" si="37"/>
        <v>0.57600891724752279</v>
      </c>
      <c r="S474" s="1">
        <f t="shared" si="38"/>
        <v>-0.19932329084864614</v>
      </c>
      <c r="T474" s="56">
        <f t="shared" si="39"/>
        <v>0.42172514287947438</v>
      </c>
    </row>
    <row r="475" spans="1:20" x14ac:dyDescent="0.25">
      <c r="A475">
        <v>0.50935887941885194</v>
      </c>
      <c r="B475">
        <v>0.48805986807565205</v>
      </c>
      <c r="D475">
        <v>0.46237642556485792</v>
      </c>
      <c r="E475">
        <v>5.5307857530806359</v>
      </c>
      <c r="J475">
        <v>20</v>
      </c>
      <c r="K475">
        <v>-0.61269781781447819</v>
      </c>
      <c r="L475">
        <v>38.088063846431524</v>
      </c>
      <c r="M475">
        <v>10</v>
      </c>
      <c r="N475">
        <v>-0.46069112954683078</v>
      </c>
      <c r="O475">
        <v>71.503427412613874</v>
      </c>
      <c r="P475" s="1">
        <f t="shared" si="35"/>
        <v>3.9139818306801928</v>
      </c>
      <c r="Q475" s="1">
        <f t="shared" si="36"/>
        <v>0.58709727460202887</v>
      </c>
      <c r="R475" s="1">
        <f t="shared" si="37"/>
        <v>0.76622273171841415</v>
      </c>
      <c r="S475" s="1">
        <f t="shared" si="38"/>
        <v>-0.19838446704229296</v>
      </c>
      <c r="T475" s="56">
        <f t="shared" si="39"/>
        <v>0.42208883201048431</v>
      </c>
    </row>
    <row r="476" spans="1:20" x14ac:dyDescent="0.25">
      <c r="A476">
        <v>0.50975891583371213</v>
      </c>
      <c r="B476">
        <v>-0.79514848039252684</v>
      </c>
      <c r="D476">
        <v>0.46280942116921364</v>
      </c>
      <c r="E476">
        <v>-0.16523177123417554</v>
      </c>
      <c r="J476">
        <v>20</v>
      </c>
      <c r="K476">
        <v>0.2761078121693572</v>
      </c>
      <c r="L476">
        <v>23.58525897325503</v>
      </c>
      <c r="M476">
        <v>10</v>
      </c>
      <c r="N476">
        <v>0.45037120003144082</v>
      </c>
      <c r="O476">
        <v>123.49811354615949</v>
      </c>
      <c r="P476" s="1">
        <f t="shared" si="35"/>
        <v>5.25297758997909</v>
      </c>
      <c r="Q476" s="1">
        <f t="shared" si="36"/>
        <v>0.78794663849686353</v>
      </c>
      <c r="R476" s="1">
        <f t="shared" si="37"/>
        <v>0.88766358407724688</v>
      </c>
      <c r="S476" s="1">
        <f t="shared" si="38"/>
        <v>-0.1963169279307945</v>
      </c>
      <c r="T476" s="56">
        <f t="shared" si="39"/>
        <v>0.42289001857648623</v>
      </c>
    </row>
    <row r="477" spans="1:20" x14ac:dyDescent="0.25">
      <c r="A477">
        <v>0.5128726356123775</v>
      </c>
      <c r="B477">
        <v>2.0299648895161226</v>
      </c>
      <c r="D477">
        <v>0.46313617182215494</v>
      </c>
      <c r="E477">
        <v>0.21846130607627856</v>
      </c>
      <c r="J477">
        <v>20</v>
      </c>
      <c r="K477">
        <v>-7.3395767685724422E-2</v>
      </c>
      <c r="L477">
        <v>15.360132289611323</v>
      </c>
      <c r="M477">
        <v>10</v>
      </c>
      <c r="N477">
        <v>5.2942592674298794E-2</v>
      </c>
      <c r="O477">
        <v>64.813976052317287</v>
      </c>
      <c r="P477" s="1">
        <f t="shared" si="35"/>
        <v>2.8633610122117363</v>
      </c>
      <c r="Q477" s="1">
        <f t="shared" si="36"/>
        <v>0.42950415183176044</v>
      </c>
      <c r="R477" s="1">
        <f t="shared" si="37"/>
        <v>0.65536566268897578</v>
      </c>
      <c r="S477" s="1">
        <f t="shared" si="38"/>
        <v>-0.19277537343298534</v>
      </c>
      <c r="T477" s="56">
        <f t="shared" si="39"/>
        <v>0.42426317671678848</v>
      </c>
    </row>
    <row r="478" spans="1:20" x14ac:dyDescent="0.25">
      <c r="A478">
        <v>0.51303775620693148</v>
      </c>
      <c r="B478">
        <v>0.19145318219671026</v>
      </c>
      <c r="D478">
        <v>0.46336091405542756</v>
      </c>
      <c r="E478">
        <v>2.8085294127322413</v>
      </c>
      <c r="J478">
        <v>20</v>
      </c>
      <c r="K478">
        <v>0.23458693476641201</v>
      </c>
      <c r="L478">
        <v>10.633242025001151</v>
      </c>
      <c r="M478">
        <v>10</v>
      </c>
      <c r="N478">
        <v>0.40829047179613553</v>
      </c>
      <c r="O478">
        <v>142.51031325345667</v>
      </c>
      <c r="P478" s="1">
        <f t="shared" si="35"/>
        <v>5.4694126885163508</v>
      </c>
      <c r="Q478" s="1">
        <f t="shared" si="36"/>
        <v>0.82041190327745261</v>
      </c>
      <c r="R478" s="1">
        <f t="shared" si="37"/>
        <v>0.90576592079711882</v>
      </c>
      <c r="S478" s="1">
        <f t="shared" si="38"/>
        <v>-0.19177530644656604</v>
      </c>
      <c r="T478" s="56">
        <f t="shared" si="39"/>
        <v>0.42465110658143806</v>
      </c>
    </row>
    <row r="479" spans="1:20" x14ac:dyDescent="0.25">
      <c r="A479">
        <v>0.5131628556162765</v>
      </c>
      <c r="B479">
        <v>-0.54275460570352152</v>
      </c>
      <c r="D479">
        <v>0.46582141361731089</v>
      </c>
      <c r="E479">
        <v>1.1343213338932401</v>
      </c>
      <c r="J479">
        <v>20</v>
      </c>
      <c r="K479">
        <v>-0.17124290252468199</v>
      </c>
      <c r="L479">
        <v>24.982523581089342</v>
      </c>
      <c r="M479">
        <v>10</v>
      </c>
      <c r="N479">
        <v>4.685636781687208E-2</v>
      </c>
      <c r="O479">
        <v>246.46383783001579</v>
      </c>
      <c r="P479" s="1">
        <f t="shared" si="35"/>
        <v>9.6945129075394707</v>
      </c>
      <c r="Q479" s="1">
        <f t="shared" si="36"/>
        <v>1.4541769361309205</v>
      </c>
      <c r="R479" s="1">
        <f t="shared" si="37"/>
        <v>1.2058925889692333</v>
      </c>
      <c r="S479" s="1">
        <f t="shared" si="38"/>
        <v>-0.18086127432624813</v>
      </c>
      <c r="T479" s="56">
        <f t="shared" si="39"/>
        <v>0.42888962231746836</v>
      </c>
    </row>
    <row r="480" spans="1:20" x14ac:dyDescent="0.25">
      <c r="A480">
        <v>0.51533199340943259</v>
      </c>
      <c r="B480">
        <v>-0.3172408469254151</v>
      </c>
      <c r="D480">
        <v>0.46697090493825577</v>
      </c>
      <c r="E480">
        <v>3.711725863695392</v>
      </c>
      <c r="J480">
        <v>20</v>
      </c>
      <c r="K480">
        <v>0.10638075309543638</v>
      </c>
      <c r="L480">
        <v>9.3285308264842541</v>
      </c>
      <c r="M480">
        <v>10</v>
      </c>
      <c r="N480">
        <v>0.22118024048722873</v>
      </c>
      <c r="O480">
        <v>67.279860546807214</v>
      </c>
      <c r="P480" s="1">
        <f t="shared" si="35"/>
        <v>2.7360139776175525</v>
      </c>
      <c r="Q480" s="1">
        <f t="shared" si="36"/>
        <v>0.41040209664263289</v>
      </c>
      <c r="R480" s="1">
        <f t="shared" si="37"/>
        <v>0.6406263315245736</v>
      </c>
      <c r="S480" s="1">
        <f t="shared" si="38"/>
        <v>-0.17919882737038073</v>
      </c>
      <c r="T480" s="56">
        <f t="shared" si="39"/>
        <v>0.42953601428058513</v>
      </c>
    </row>
    <row r="481" spans="1:20" x14ac:dyDescent="0.25">
      <c r="A481">
        <v>0.51537129679495064</v>
      </c>
      <c r="B481">
        <v>1.860125848907046</v>
      </c>
      <c r="D481">
        <v>0.46852671028471049</v>
      </c>
      <c r="E481">
        <v>-6.2660608398346085</v>
      </c>
      <c r="J481">
        <v>20</v>
      </c>
      <c r="K481">
        <v>-0.21729488253185991</v>
      </c>
      <c r="L481">
        <v>23.201659966822341</v>
      </c>
      <c r="M481">
        <v>10</v>
      </c>
      <c r="N481">
        <v>-6.8128773591524805E-2</v>
      </c>
      <c r="O481">
        <v>107.7745930977817</v>
      </c>
      <c r="P481" s="1">
        <f t="shared" si="35"/>
        <v>4.6777233237358589</v>
      </c>
      <c r="Q481" s="1">
        <f t="shared" si="36"/>
        <v>0.70165849856037876</v>
      </c>
      <c r="R481" s="1">
        <f t="shared" si="37"/>
        <v>0.83765058261806202</v>
      </c>
      <c r="S481" s="1">
        <f t="shared" si="38"/>
        <v>-0.17807676856633833</v>
      </c>
      <c r="T481" s="56">
        <f t="shared" si="39"/>
        <v>0.42997240546971333</v>
      </c>
    </row>
    <row r="482" spans="1:20" x14ac:dyDescent="0.25">
      <c r="A482">
        <v>0.51550518511923105</v>
      </c>
      <c r="B482">
        <v>1.8377249944023788</v>
      </c>
      <c r="D482">
        <v>0.46961515171140034</v>
      </c>
      <c r="E482">
        <v>4.2051926777730841</v>
      </c>
      <c r="J482">
        <v>20</v>
      </c>
      <c r="K482">
        <v>-4.3525517412490444E-2</v>
      </c>
      <c r="L482">
        <v>12.262506683864066</v>
      </c>
      <c r="M482">
        <v>10</v>
      </c>
      <c r="N482">
        <v>0.11093584021182323</v>
      </c>
      <c r="O482">
        <v>133.29321215413972</v>
      </c>
      <c r="P482" s="1">
        <f t="shared" si="35"/>
        <v>5.1984185299287073</v>
      </c>
      <c r="Q482" s="1">
        <f t="shared" si="36"/>
        <v>0.77976277948930606</v>
      </c>
      <c r="R482" s="1">
        <f t="shared" si="37"/>
        <v>0.88304177675198703</v>
      </c>
      <c r="S482" s="1">
        <f t="shared" si="38"/>
        <v>-0.17491964898020451</v>
      </c>
      <c r="T482" s="56">
        <f t="shared" si="39"/>
        <v>0.4312007549026774</v>
      </c>
    </row>
    <row r="483" spans="1:20" x14ac:dyDescent="0.25">
      <c r="A483">
        <v>0.5190027035077569</v>
      </c>
      <c r="B483">
        <v>1.2357304512988776</v>
      </c>
      <c r="D483">
        <v>0.4708335530287775</v>
      </c>
      <c r="E483">
        <v>-1.2362913855668012</v>
      </c>
      <c r="J483">
        <v>20</v>
      </c>
      <c r="K483">
        <v>0.17304284938290948</v>
      </c>
      <c r="L483">
        <v>17.508762041924896</v>
      </c>
      <c r="M483">
        <v>10</v>
      </c>
      <c r="N483">
        <v>0.32367881544814736</v>
      </c>
      <c r="O483">
        <v>150.93143856989997</v>
      </c>
      <c r="P483" s="1">
        <f t="shared" si="35"/>
        <v>6.0157214504223173</v>
      </c>
      <c r="Q483" s="1">
        <f t="shared" si="36"/>
        <v>0.90235821756334755</v>
      </c>
      <c r="R483" s="1">
        <f t="shared" si="37"/>
        <v>0.94992537473390382</v>
      </c>
      <c r="S483" s="1">
        <f t="shared" si="38"/>
        <v>-0.15857663146163931</v>
      </c>
      <c r="T483" s="56">
        <f t="shared" si="39"/>
        <v>0.43757032850845012</v>
      </c>
    </row>
    <row r="484" spans="1:20" x14ac:dyDescent="0.25">
      <c r="A484">
        <v>0.52030892772351101</v>
      </c>
      <c r="B484">
        <v>-2.472206688253209</v>
      </c>
      <c r="D484">
        <v>0.47201853377570979</v>
      </c>
      <c r="E484">
        <v>3.8548143913885724</v>
      </c>
      <c r="J484">
        <v>20</v>
      </c>
      <c r="K484">
        <v>0.30037972464924678</v>
      </c>
      <c r="L484">
        <v>29.027319041448742</v>
      </c>
      <c r="M484">
        <v>10</v>
      </c>
      <c r="N484">
        <v>0.4133224786073697</v>
      </c>
      <c r="O484">
        <v>77.331279133948527</v>
      </c>
      <c r="P484" s="1">
        <f t="shared" si="35"/>
        <v>3.7985213634070454</v>
      </c>
      <c r="Q484" s="1">
        <f t="shared" si="36"/>
        <v>0.56977820451105676</v>
      </c>
      <c r="R484" s="1">
        <f t="shared" si="37"/>
        <v>0.75483654158437297</v>
      </c>
      <c r="S484" s="1">
        <f t="shared" si="38"/>
        <v>-0.14962544569061323</v>
      </c>
      <c r="T484" s="56">
        <f t="shared" si="39"/>
        <v>0.44106634798687272</v>
      </c>
    </row>
    <row r="485" spans="1:20" x14ac:dyDescent="0.25">
      <c r="A485">
        <v>0.52117550661289236</v>
      </c>
      <c r="B485">
        <v>1.357871042273473</v>
      </c>
      <c r="D485">
        <v>0.47312156220898727</v>
      </c>
      <c r="E485">
        <v>-5.254038800330818</v>
      </c>
      <c r="J485">
        <v>20</v>
      </c>
      <c r="K485">
        <v>-4.8888409764913376E-2</v>
      </c>
      <c r="L485">
        <v>12.11914168677192</v>
      </c>
      <c r="M485">
        <v>10</v>
      </c>
      <c r="N485">
        <v>9.1144439693380264E-2</v>
      </c>
      <c r="O485">
        <v>162.78368146067967</v>
      </c>
      <c r="P485" s="1">
        <f t="shared" si="35"/>
        <v>6.246529398123271</v>
      </c>
      <c r="Q485" s="1">
        <f t="shared" si="36"/>
        <v>0.93697940971849059</v>
      </c>
      <c r="R485" s="1">
        <f t="shared" si="37"/>
        <v>0.96797696755578366</v>
      </c>
      <c r="S485" s="1">
        <f t="shared" si="38"/>
        <v>-0.14466547671261989</v>
      </c>
      <c r="T485" s="56">
        <f t="shared" si="39"/>
        <v>0.44300564402823439</v>
      </c>
    </row>
    <row r="486" spans="1:20" x14ac:dyDescent="0.25">
      <c r="A486">
        <v>0.52121626858585135</v>
      </c>
      <c r="B486">
        <v>0.54825932238600217</v>
      </c>
      <c r="D486">
        <v>0.47361109450523331</v>
      </c>
      <c r="E486">
        <v>-0.65438758042546397</v>
      </c>
      <c r="J486">
        <v>20</v>
      </c>
      <c r="K486">
        <v>7.9880464909365401E-2</v>
      </c>
      <c r="L486">
        <v>42.069201961899843</v>
      </c>
      <c r="M486">
        <v>10</v>
      </c>
      <c r="N486">
        <v>0.20789456925740524</v>
      </c>
      <c r="O486">
        <v>104.64025011853161</v>
      </c>
      <c r="P486" s="1">
        <f t="shared" si="35"/>
        <v>5.239623288586837</v>
      </c>
      <c r="Q486" s="1">
        <f t="shared" si="36"/>
        <v>0.78594349328802549</v>
      </c>
      <c r="R486" s="1">
        <f t="shared" si="37"/>
        <v>0.88653454150869127</v>
      </c>
      <c r="S486" s="1">
        <f t="shared" si="38"/>
        <v>-0.14439832669146466</v>
      </c>
      <c r="T486" s="56">
        <f t="shared" si="39"/>
        <v>0.44311013821458789</v>
      </c>
    </row>
    <row r="487" spans="1:20" x14ac:dyDescent="0.25">
      <c r="A487">
        <v>0.52227068382266595</v>
      </c>
      <c r="B487">
        <v>-0.66986331148655154</v>
      </c>
      <c r="D487">
        <v>0.47577660555394119</v>
      </c>
      <c r="E487">
        <v>0.28053431947228091</v>
      </c>
      <c r="J487">
        <v>20</v>
      </c>
      <c r="K487">
        <v>-0.33337875038341735</v>
      </c>
      <c r="L487">
        <v>14.615542683617273</v>
      </c>
      <c r="M487">
        <v>10</v>
      </c>
      <c r="N487">
        <v>-0.24609721890556102</v>
      </c>
      <c r="O487">
        <v>62.048067180074383</v>
      </c>
      <c r="P487" s="1">
        <f t="shared" si="35"/>
        <v>2.7379860665604165</v>
      </c>
      <c r="Q487" s="1">
        <f t="shared" si="36"/>
        <v>0.41069790998406247</v>
      </c>
      <c r="R487" s="1">
        <f t="shared" si="37"/>
        <v>0.64085716816156657</v>
      </c>
      <c r="S487" s="1">
        <f t="shared" si="38"/>
        <v>-0.13619498355342072</v>
      </c>
      <c r="T487" s="56">
        <f t="shared" si="39"/>
        <v>0.44632082299977133</v>
      </c>
    </row>
    <row r="488" spans="1:20" x14ac:dyDescent="0.25">
      <c r="A488">
        <v>0.52282235061620519</v>
      </c>
      <c r="B488">
        <v>1.8532591639086604</v>
      </c>
      <c r="D488">
        <v>0.47626450096004036</v>
      </c>
      <c r="E488">
        <v>-0.22771405724597571</v>
      </c>
      <c r="J488">
        <v>20</v>
      </c>
      <c r="K488">
        <v>0.29889622510381741</v>
      </c>
      <c r="L488">
        <v>15.48509355992398</v>
      </c>
      <c r="M488">
        <v>10</v>
      </c>
      <c r="N488">
        <v>0.382541426233729</v>
      </c>
      <c r="O488">
        <v>64.807173840094805</v>
      </c>
      <c r="P488" s="1">
        <f t="shared" si="35"/>
        <v>2.8675809785720996</v>
      </c>
      <c r="Q488" s="1">
        <f t="shared" si="36"/>
        <v>0.43013714678581494</v>
      </c>
      <c r="R488" s="1">
        <f t="shared" si="37"/>
        <v>0.65584841753702128</v>
      </c>
      <c r="S488" s="1">
        <f t="shared" si="38"/>
        <v>-0.12753739872398182</v>
      </c>
      <c r="T488" s="56">
        <f t="shared" si="39"/>
        <v>0.44971331702714379</v>
      </c>
    </row>
    <row r="489" spans="1:20" x14ac:dyDescent="0.25">
      <c r="A489">
        <v>0.52335852921188131</v>
      </c>
      <c r="B489">
        <v>-0.27821670300909318</v>
      </c>
      <c r="D489">
        <v>0.47635266612170724</v>
      </c>
      <c r="E489">
        <v>-0.20083166759832238</v>
      </c>
      <c r="J489">
        <v>20</v>
      </c>
      <c r="K489">
        <v>1.1408531008783029E-2</v>
      </c>
      <c r="L489">
        <v>16.168276243792622</v>
      </c>
      <c r="M489">
        <v>10</v>
      </c>
      <c r="N489">
        <v>0.11781503076235822</v>
      </c>
      <c r="O489">
        <v>114.01265571809725</v>
      </c>
      <c r="P489" s="1">
        <f t="shared" si="35"/>
        <v>4.6493189986389245</v>
      </c>
      <c r="Q489" s="1">
        <f t="shared" si="36"/>
        <v>0.69739784979583863</v>
      </c>
      <c r="R489" s="1">
        <f t="shared" si="37"/>
        <v>0.83510349645767779</v>
      </c>
      <c r="S489" s="1">
        <f t="shared" si="38"/>
        <v>-0.12741714075552044</v>
      </c>
      <c r="T489" s="56">
        <f t="shared" si="39"/>
        <v>0.44976046829930116</v>
      </c>
    </row>
    <row r="490" spans="1:20" x14ac:dyDescent="0.25">
      <c r="A490">
        <v>0.52379095569585443</v>
      </c>
      <c r="B490">
        <v>-0.51181132221245207</v>
      </c>
      <c r="D490">
        <v>0.47777162280977192</v>
      </c>
      <c r="E490">
        <v>-0.1946277768638538</v>
      </c>
      <c r="J490">
        <v>20</v>
      </c>
      <c r="K490">
        <v>0.21971408159515704</v>
      </c>
      <c r="L490">
        <v>22.975438279899421</v>
      </c>
      <c r="M490">
        <v>10</v>
      </c>
      <c r="N490">
        <v>0.32332036084881111</v>
      </c>
      <c r="O490">
        <v>120.42187862370317</v>
      </c>
      <c r="P490" s="1">
        <f t="shared" si="35"/>
        <v>5.1213327465572354</v>
      </c>
      <c r="Q490" s="1">
        <f t="shared" si="36"/>
        <v>0.76819991198358528</v>
      </c>
      <c r="R490" s="1">
        <f t="shared" si="37"/>
        <v>0.87647014323568673</v>
      </c>
      <c r="S490" s="1">
        <f t="shared" si="38"/>
        <v>-0.11820856654759303</v>
      </c>
      <c r="T490" s="56">
        <f t="shared" si="39"/>
        <v>0.45337317578964698</v>
      </c>
    </row>
    <row r="491" spans="1:20" x14ac:dyDescent="0.25">
      <c r="A491">
        <v>0.52429543978907567</v>
      </c>
      <c r="B491">
        <v>-0.88859906099969521</v>
      </c>
      <c r="D491">
        <v>0.47781393771583103</v>
      </c>
      <c r="E491">
        <v>3.1604083653746784</v>
      </c>
      <c r="J491">
        <v>20</v>
      </c>
      <c r="K491">
        <v>0.19203019974156632</v>
      </c>
      <c r="L491">
        <v>11.669903402857754</v>
      </c>
      <c r="M491">
        <v>10</v>
      </c>
      <c r="N491">
        <v>0.2873940695735655</v>
      </c>
      <c r="O491">
        <v>111.06260620718994</v>
      </c>
      <c r="P491" s="1">
        <f t="shared" si="35"/>
        <v>4.3833039146445607</v>
      </c>
      <c r="Q491" s="1">
        <f t="shared" si="36"/>
        <v>0.65749558719668411</v>
      </c>
      <c r="R491" s="1">
        <f t="shared" si="37"/>
        <v>0.81086101595568405</v>
      </c>
      <c r="S491" s="1">
        <f t="shared" si="38"/>
        <v>-0.11760815720016203</v>
      </c>
      <c r="T491" s="56">
        <f t="shared" si="39"/>
        <v>0.45360887319050663</v>
      </c>
    </row>
    <row r="492" spans="1:20" x14ac:dyDescent="0.25">
      <c r="A492">
        <v>0.5249497940346638</v>
      </c>
      <c r="B492">
        <v>1.6234389477176592</v>
      </c>
      <c r="D492">
        <v>0.47798685264710428</v>
      </c>
      <c r="E492">
        <v>-3.2947416491424519</v>
      </c>
      <c r="J492">
        <v>20</v>
      </c>
      <c r="K492">
        <v>2.9101045129209524E-2</v>
      </c>
      <c r="L492">
        <v>16.838187547740052</v>
      </c>
      <c r="M492">
        <v>10</v>
      </c>
      <c r="N492">
        <v>0.12732038726426254</v>
      </c>
      <c r="O492">
        <v>115.46257593235458</v>
      </c>
      <c r="P492" s="1">
        <f t="shared" si="35"/>
        <v>4.7250272671462374</v>
      </c>
      <c r="Q492" s="1">
        <f t="shared" si="36"/>
        <v>0.70875409007193557</v>
      </c>
      <c r="R492" s="1">
        <f t="shared" si="37"/>
        <v>0.84187534117108787</v>
      </c>
      <c r="S492" s="1">
        <f t="shared" si="38"/>
        <v>-0.11666732273976017</v>
      </c>
      <c r="T492" s="56">
        <f t="shared" si="39"/>
        <v>0.45397824289488231</v>
      </c>
    </row>
    <row r="493" spans="1:20" x14ac:dyDescent="0.25">
      <c r="A493">
        <v>0.52675354537372998</v>
      </c>
      <c r="B493">
        <v>0.12752366274071392</v>
      </c>
      <c r="D493">
        <v>0.47830287090319112</v>
      </c>
      <c r="E493">
        <v>3.7407773982067738</v>
      </c>
      <c r="J493">
        <v>20</v>
      </c>
      <c r="K493">
        <v>6.9087889187358087E-2</v>
      </c>
      <c r="L493">
        <v>27.694618939337968</v>
      </c>
      <c r="M493">
        <v>10</v>
      </c>
      <c r="N493">
        <v>0.18621676304064749</v>
      </c>
      <c r="O493">
        <v>183.70878987435236</v>
      </c>
      <c r="P493" s="1">
        <f t="shared" si="35"/>
        <v>7.5501217433460832</v>
      </c>
      <c r="Q493" s="1">
        <f t="shared" si="36"/>
        <v>1.1325182615019125</v>
      </c>
      <c r="R493" s="1">
        <f t="shared" si="37"/>
        <v>1.06419841265711</v>
      </c>
      <c r="S493" s="1">
        <f t="shared" si="38"/>
        <v>-0.11006300372205959</v>
      </c>
      <c r="T493" s="56">
        <f t="shared" si="39"/>
        <v>0.45657224778319783</v>
      </c>
    </row>
    <row r="494" spans="1:20" x14ac:dyDescent="0.25">
      <c r="A494">
        <v>0.52734904088758894</v>
      </c>
      <c r="B494">
        <v>1.5787918528076261</v>
      </c>
      <c r="D494">
        <v>0.47920871263975406</v>
      </c>
      <c r="E494">
        <v>-0.27784313147094508</v>
      </c>
      <c r="J494">
        <v>20</v>
      </c>
      <c r="K494">
        <v>-0.10702740382839693</v>
      </c>
      <c r="L494">
        <v>26.198015959725112</v>
      </c>
      <c r="M494">
        <v>10</v>
      </c>
      <c r="N494">
        <v>-4.675485229199694E-2</v>
      </c>
      <c r="O494">
        <v>30.192085573549832</v>
      </c>
      <c r="P494" s="1">
        <f t="shared" si="35"/>
        <v>2.0139321976169624</v>
      </c>
      <c r="Q494" s="1">
        <f t="shared" si="36"/>
        <v>0.30208982964254433</v>
      </c>
      <c r="R494" s="1">
        <f t="shared" si="37"/>
        <v>0.54962699137009663</v>
      </c>
      <c r="S494" s="1">
        <f t="shared" si="38"/>
        <v>-0.10966082903998957</v>
      </c>
      <c r="T494" s="56">
        <f t="shared" si="39"/>
        <v>0.45673027579505249</v>
      </c>
    </row>
    <row r="495" spans="1:20" x14ac:dyDescent="0.25">
      <c r="A495">
        <v>0.527885693767705</v>
      </c>
      <c r="B495">
        <v>-9.5731138571863994E-2</v>
      </c>
      <c r="D495">
        <v>0.4830659307165035</v>
      </c>
      <c r="E495">
        <v>4.8012982426826056</v>
      </c>
      <c r="J495">
        <v>20</v>
      </c>
      <c r="K495">
        <v>-0.11521552778503974</v>
      </c>
      <c r="L495">
        <v>16.612883239089975</v>
      </c>
      <c r="M495">
        <v>10</v>
      </c>
      <c r="N495">
        <v>-1.0667239394024364E-2</v>
      </c>
      <c r="O495">
        <v>160.763697781888</v>
      </c>
      <c r="P495" s="1">
        <f t="shared" si="35"/>
        <v>6.3348778936063557</v>
      </c>
      <c r="Q495" s="1">
        <f t="shared" si="36"/>
        <v>0.95023168404095326</v>
      </c>
      <c r="R495" s="1">
        <f t="shared" si="37"/>
        <v>0.97479827864074176</v>
      </c>
      <c r="S495" s="1">
        <f t="shared" si="38"/>
        <v>-0.10725120333285514</v>
      </c>
      <c r="T495" s="56">
        <f t="shared" si="39"/>
        <v>0.45767724931105613</v>
      </c>
    </row>
    <row r="496" spans="1:20" x14ac:dyDescent="0.25">
      <c r="A496">
        <v>0.52810536210960091</v>
      </c>
      <c r="B496">
        <v>0.6968184607103467</v>
      </c>
      <c r="D496">
        <v>0.48424394962341921</v>
      </c>
      <c r="E496">
        <v>-0.37437689911712368</v>
      </c>
      <c r="J496">
        <v>20</v>
      </c>
      <c r="K496">
        <v>-0.28478558533606702</v>
      </c>
      <c r="L496">
        <v>26.306164254769257</v>
      </c>
      <c r="M496">
        <v>10</v>
      </c>
      <c r="N496">
        <v>-0.2091999283493351</v>
      </c>
      <c r="O496">
        <v>68.006614016108742</v>
      </c>
      <c r="P496" s="1">
        <f t="shared" si="35"/>
        <v>3.3683135096742141</v>
      </c>
      <c r="Q496" s="1">
        <f t="shared" si="36"/>
        <v>0.50524702645113206</v>
      </c>
      <c r="R496" s="1">
        <f t="shared" si="37"/>
        <v>0.71080730613235266</v>
      </c>
      <c r="S496" s="1">
        <f t="shared" si="38"/>
        <v>-0.10633776036716459</v>
      </c>
      <c r="T496" s="56">
        <f t="shared" si="39"/>
        <v>0.45803629537928237</v>
      </c>
    </row>
    <row r="497" spans="1:20" x14ac:dyDescent="0.25">
      <c r="A497">
        <v>0.52857131876859353</v>
      </c>
      <c r="B497">
        <v>1.5979685485945083</v>
      </c>
      <c r="D497">
        <v>0.48545996125300572</v>
      </c>
      <c r="E497">
        <v>-1.0691035220133926</v>
      </c>
      <c r="J497">
        <v>20</v>
      </c>
      <c r="K497">
        <v>0.13158387446310371</v>
      </c>
      <c r="L497">
        <v>19.523502495796777</v>
      </c>
      <c r="M497">
        <v>10</v>
      </c>
      <c r="N497">
        <v>0.21511038653443393</v>
      </c>
      <c r="O497">
        <v>100.80225920232138</v>
      </c>
      <c r="P497" s="1">
        <f t="shared" si="35"/>
        <v>4.2973486320756482</v>
      </c>
      <c r="Q497" s="1">
        <f t="shared" si="36"/>
        <v>0.64460229481134723</v>
      </c>
      <c r="R497" s="1">
        <f t="shared" si="37"/>
        <v>0.80287128159584042</v>
      </c>
      <c r="S497" s="1">
        <f t="shared" si="38"/>
        <v>-0.1040347487648423</v>
      </c>
      <c r="T497" s="56">
        <f t="shared" si="39"/>
        <v>0.45894169732667695</v>
      </c>
    </row>
    <row r="498" spans="1:20" x14ac:dyDescent="0.25">
      <c r="A498">
        <v>0.52919882101911575</v>
      </c>
      <c r="B498">
        <v>-0.6403774932550732</v>
      </c>
      <c r="D498">
        <v>0.4859945822905597</v>
      </c>
      <c r="E498">
        <v>-2.8443780627185333</v>
      </c>
      <c r="J498">
        <v>20</v>
      </c>
      <c r="K498">
        <v>-8.6380225639004493E-2</v>
      </c>
      <c r="L498">
        <v>19.268659198534561</v>
      </c>
      <c r="M498">
        <v>10</v>
      </c>
      <c r="N498">
        <v>-1.8274253079653136E-2</v>
      </c>
      <c r="O498">
        <v>67.115923210143293</v>
      </c>
      <c r="P498" s="1">
        <f t="shared" si="35"/>
        <v>3.0851636574527808</v>
      </c>
      <c r="Q498" s="1">
        <f t="shared" si="36"/>
        <v>0.46277454861791711</v>
      </c>
      <c r="R498" s="1">
        <f t="shared" si="37"/>
        <v>0.68027534764822772</v>
      </c>
      <c r="S498" s="1">
        <f t="shared" si="38"/>
        <v>-0.10011530300899445</v>
      </c>
      <c r="T498" s="56">
        <f t="shared" si="39"/>
        <v>0.46048309514593777</v>
      </c>
    </row>
    <row r="499" spans="1:20" x14ac:dyDescent="0.25">
      <c r="A499">
        <v>0.53029713730183414</v>
      </c>
      <c r="B499">
        <v>0.81952293840004131</v>
      </c>
      <c r="D499">
        <v>0.48602791045276261</v>
      </c>
      <c r="E499">
        <v>-2.2102988202732377</v>
      </c>
      <c r="J499">
        <v>20</v>
      </c>
      <c r="K499">
        <v>8.3223937963339267E-2</v>
      </c>
      <c r="L499">
        <v>43.439006626943822</v>
      </c>
      <c r="M499">
        <v>10</v>
      </c>
      <c r="N499">
        <v>0.16575210906921711</v>
      </c>
      <c r="O499">
        <v>91.082920937537523</v>
      </c>
      <c r="P499" s="1">
        <f t="shared" si="35"/>
        <v>4.8043545558743341</v>
      </c>
      <c r="Q499" s="1">
        <f t="shared" si="36"/>
        <v>0.72065318338115014</v>
      </c>
      <c r="R499" s="1">
        <f t="shared" si="37"/>
        <v>0.84891294216848301</v>
      </c>
      <c r="S499" s="1">
        <f t="shared" si="38"/>
        <v>-9.7216295106852729E-2</v>
      </c>
      <c r="T499" s="56">
        <f t="shared" si="39"/>
        <v>0.46162359037057943</v>
      </c>
    </row>
    <row r="500" spans="1:20" x14ac:dyDescent="0.25">
      <c r="A500">
        <v>0.53168292616350277</v>
      </c>
      <c r="B500">
        <v>-8.8585920821060427E-2</v>
      </c>
      <c r="D500">
        <v>0.48781481067451382</v>
      </c>
      <c r="E500">
        <v>0.52075688131481002</v>
      </c>
      <c r="J500">
        <v>20</v>
      </c>
      <c r="K500">
        <v>0.21368845182223595</v>
      </c>
      <c r="L500">
        <v>8.3919589349787405</v>
      </c>
      <c r="M500">
        <v>10</v>
      </c>
      <c r="N500">
        <v>0.25479652890680882</v>
      </c>
      <c r="O500">
        <v>31.068066109021252</v>
      </c>
      <c r="P500" s="1">
        <f t="shared" si="35"/>
        <v>1.4092866087142855</v>
      </c>
      <c r="Q500" s="1">
        <f t="shared" si="36"/>
        <v>0.21139299130714281</v>
      </c>
      <c r="R500" s="1">
        <f t="shared" si="37"/>
        <v>0.45977493549251119</v>
      </c>
      <c r="S500" s="1">
        <f t="shared" si="38"/>
        <v>-8.9409130231376949E-2</v>
      </c>
      <c r="T500" s="56">
        <f t="shared" si="39"/>
        <v>0.46469662531697198</v>
      </c>
    </row>
    <row r="501" spans="1:20" x14ac:dyDescent="0.25">
      <c r="A501">
        <v>0.53247746606072299</v>
      </c>
      <c r="B501">
        <v>0.84319253801368177</v>
      </c>
      <c r="D501">
        <v>0.48889625128690417</v>
      </c>
      <c r="E501">
        <v>0.13626572240355017</v>
      </c>
      <c r="J501">
        <v>20</v>
      </c>
      <c r="K501">
        <v>-0.32383206871600123</v>
      </c>
      <c r="L501">
        <v>12.124818859461524</v>
      </c>
      <c r="M501">
        <v>10</v>
      </c>
      <c r="N501">
        <v>-0.28889110467389401</v>
      </c>
      <c r="O501">
        <v>20.666187055603359</v>
      </c>
      <c r="P501" s="1">
        <f t="shared" si="35"/>
        <v>1.1711073541094603</v>
      </c>
      <c r="Q501" s="1">
        <f t="shared" si="36"/>
        <v>0.17566610311641903</v>
      </c>
      <c r="R501" s="1">
        <f t="shared" si="37"/>
        <v>0.41912540261408521</v>
      </c>
      <c r="S501" s="1">
        <f t="shared" si="38"/>
        <v>-8.3366371554146862E-2</v>
      </c>
      <c r="T501" s="56">
        <f t="shared" si="39"/>
        <v>0.46707669484004405</v>
      </c>
    </row>
    <row r="502" spans="1:20" x14ac:dyDescent="0.25">
      <c r="A502">
        <v>0.53431117465097677</v>
      </c>
      <c r="B502">
        <v>-0.2317449343536282</v>
      </c>
      <c r="D502">
        <v>0.49076107436306005</v>
      </c>
      <c r="E502">
        <v>3.668540781518459</v>
      </c>
      <c r="J502">
        <v>20</v>
      </c>
      <c r="K502">
        <v>0.15226112282107351</v>
      </c>
      <c r="L502">
        <v>12.747528030279364</v>
      </c>
      <c r="M502">
        <v>10</v>
      </c>
      <c r="N502">
        <v>0.23212043856801756</v>
      </c>
      <c r="O502">
        <v>162.83076059201755</v>
      </c>
      <c r="P502" s="1">
        <f t="shared" si="35"/>
        <v>6.2706531650820327</v>
      </c>
      <c r="Q502" s="1">
        <f t="shared" si="36"/>
        <v>0.94059797476230489</v>
      </c>
      <c r="R502" s="1">
        <f t="shared" si="37"/>
        <v>0.96984430439236224</v>
      </c>
      <c r="S502" s="1">
        <f t="shared" si="38"/>
        <v>-8.2342408348707485E-2</v>
      </c>
      <c r="T502" s="56">
        <f t="shared" si="39"/>
        <v>0.46748013010562683</v>
      </c>
    </row>
    <row r="503" spans="1:20" x14ac:dyDescent="0.25">
      <c r="A503">
        <v>0.53502984229960338</v>
      </c>
      <c r="B503">
        <v>1.0946041584247723</v>
      </c>
      <c r="D503">
        <v>0.49089570949688832</v>
      </c>
      <c r="E503">
        <v>0.94011124588178063</v>
      </c>
      <c r="J503">
        <v>20</v>
      </c>
      <c r="K503">
        <v>-1.5258706298482139E-2</v>
      </c>
      <c r="L503">
        <v>22.596370067056341</v>
      </c>
      <c r="M503">
        <v>10</v>
      </c>
      <c r="N503">
        <v>4.5160614945416455E-2</v>
      </c>
      <c r="O503">
        <v>99.161345860195368</v>
      </c>
      <c r="P503" s="1">
        <f t="shared" si="35"/>
        <v>4.3484898545447042</v>
      </c>
      <c r="Q503" s="1">
        <f t="shared" si="36"/>
        <v>0.65227347818170556</v>
      </c>
      <c r="R503" s="1">
        <f t="shared" si="37"/>
        <v>0.80763449541342991</v>
      </c>
      <c r="S503" s="1">
        <f t="shared" si="38"/>
        <v>-7.4810228620769609E-2</v>
      </c>
      <c r="T503" s="56">
        <f t="shared" si="39"/>
        <v>0.47044881723538035</v>
      </c>
    </row>
    <row r="504" spans="1:20" x14ac:dyDescent="0.25">
      <c r="A504">
        <v>0.53570122563243949</v>
      </c>
      <c r="B504">
        <v>0.55556483857799321</v>
      </c>
      <c r="D504">
        <v>0.49231252304582307</v>
      </c>
      <c r="E504">
        <v>-1.2130447009894851</v>
      </c>
      <c r="J504">
        <v>20</v>
      </c>
      <c r="K504">
        <v>-3.8909263366804225E-2</v>
      </c>
      <c r="L504">
        <v>16.637326502884001</v>
      </c>
      <c r="M504">
        <v>10</v>
      </c>
      <c r="N504">
        <v>7.2599243594595464E-3</v>
      </c>
      <c r="O504">
        <v>84.190802773692795</v>
      </c>
      <c r="P504" s="1">
        <f t="shared" si="35"/>
        <v>3.6010046170205996</v>
      </c>
      <c r="Q504" s="1">
        <f t="shared" si="36"/>
        <v>0.5401506925530899</v>
      </c>
      <c r="R504" s="1">
        <f t="shared" si="37"/>
        <v>0.7349494489780164</v>
      </c>
      <c r="S504" s="1">
        <f t="shared" si="38"/>
        <v>-6.2819541929671915E-2</v>
      </c>
      <c r="T504" s="56">
        <f t="shared" si="39"/>
        <v>0.47517825703417982</v>
      </c>
    </row>
    <row r="505" spans="1:20" x14ac:dyDescent="0.25">
      <c r="A505">
        <v>0.53630988650261835</v>
      </c>
      <c r="B505">
        <v>-1.3319800018507522</v>
      </c>
      <c r="D505">
        <v>0.49266681981764937</v>
      </c>
      <c r="E505">
        <v>-1.9538520098194567</v>
      </c>
      <c r="J505">
        <v>20</v>
      </c>
      <c r="K505">
        <v>9.9671240150200902E-2</v>
      </c>
      <c r="L505">
        <v>18.010653865757156</v>
      </c>
      <c r="M505">
        <v>10</v>
      </c>
      <c r="N505">
        <v>0.15395857758448983</v>
      </c>
      <c r="O505">
        <v>130.02245618992725</v>
      </c>
      <c r="P505" s="1">
        <f t="shared" si="35"/>
        <v>5.2868967877030144</v>
      </c>
      <c r="Q505" s="1">
        <f t="shared" si="36"/>
        <v>0.79303451815545212</v>
      </c>
      <c r="R505" s="1">
        <f t="shared" si="37"/>
        <v>0.89052485543944937</v>
      </c>
      <c r="S505" s="1">
        <f t="shared" si="38"/>
        <v>-6.0961058080180854E-2</v>
      </c>
      <c r="T505" s="56">
        <f t="shared" si="39"/>
        <v>0.4759116395919496</v>
      </c>
    </row>
    <row r="506" spans="1:20" x14ac:dyDescent="0.25">
      <c r="A506">
        <v>0.53686569873837153</v>
      </c>
      <c r="B506">
        <v>0.76435640039562713</v>
      </c>
      <c r="D506">
        <v>0.49291729668328654</v>
      </c>
      <c r="E506">
        <v>-0.32619186981719395</v>
      </c>
      <c r="J506">
        <v>20</v>
      </c>
      <c r="K506">
        <v>-0.23443504915121594</v>
      </c>
      <c r="L506">
        <v>18.972288383664836</v>
      </c>
      <c r="M506">
        <v>10</v>
      </c>
      <c r="N506">
        <v>-0.19651008983601059</v>
      </c>
      <c r="O506">
        <v>67.567487545659489</v>
      </c>
      <c r="P506" s="1">
        <f t="shared" si="35"/>
        <v>3.0907062831901544</v>
      </c>
      <c r="Q506" s="1">
        <f t="shared" si="36"/>
        <v>0.46360594247852316</v>
      </c>
      <c r="R506" s="1">
        <f t="shared" si="37"/>
        <v>0.6808861450187712</v>
      </c>
      <c r="S506" s="1">
        <f t="shared" si="38"/>
        <v>-5.5699414054253958E-2</v>
      </c>
      <c r="T506" s="56">
        <f t="shared" si="39"/>
        <v>0.47798841264501357</v>
      </c>
    </row>
    <row r="507" spans="1:20" x14ac:dyDescent="0.25">
      <c r="A507">
        <v>0.5371115427766403</v>
      </c>
      <c r="B507">
        <v>-0.3769673639908433</v>
      </c>
      <c r="D507">
        <v>0.49402103641074391</v>
      </c>
      <c r="E507">
        <v>4.6764837372847978</v>
      </c>
      <c r="J507">
        <v>20</v>
      </c>
      <c r="K507">
        <v>-3.3546598388056736E-2</v>
      </c>
      <c r="L507">
        <v>17.844072047006904</v>
      </c>
      <c r="M507">
        <v>10</v>
      </c>
      <c r="N507">
        <v>-3.4353922728769248E-3</v>
      </c>
      <c r="O507">
        <v>44.376852027919242</v>
      </c>
      <c r="P507" s="1">
        <f t="shared" si="35"/>
        <v>2.2221758598187908</v>
      </c>
      <c r="Q507" s="1">
        <f t="shared" si="36"/>
        <v>0.33332637897281864</v>
      </c>
      <c r="R507" s="1">
        <f t="shared" si="37"/>
        <v>0.57734424650533989</v>
      </c>
      <c r="S507" s="1">
        <f t="shared" si="38"/>
        <v>-5.2154682925209181E-2</v>
      </c>
      <c r="T507" s="56">
        <f t="shared" si="39"/>
        <v>0.47938787852032233</v>
      </c>
    </row>
    <row r="508" spans="1:20" x14ac:dyDescent="0.25">
      <c r="A508">
        <v>0.53884575843438587</v>
      </c>
      <c r="B508">
        <v>0.74563786256476305</v>
      </c>
      <c r="D508">
        <v>0.49425273299402772</v>
      </c>
      <c r="E508">
        <v>1.0909486684340663</v>
      </c>
      <c r="J508">
        <v>20</v>
      </c>
      <c r="K508">
        <v>0.1816549115574162</v>
      </c>
      <c r="L508">
        <v>17.47735096735391</v>
      </c>
      <c r="M508">
        <v>10</v>
      </c>
      <c r="N508">
        <v>0.20896925093438767</v>
      </c>
      <c r="O508">
        <v>47.781877224431987</v>
      </c>
      <c r="P508" s="1">
        <f t="shared" si="35"/>
        <v>2.3306867211352107</v>
      </c>
      <c r="Q508" s="1">
        <f t="shared" si="36"/>
        <v>0.34960300817028162</v>
      </c>
      <c r="R508" s="1">
        <f t="shared" si="37"/>
        <v>0.59127236378024772</v>
      </c>
      <c r="S508" s="1">
        <f t="shared" si="38"/>
        <v>-4.6195866829187915E-2</v>
      </c>
      <c r="T508" s="56">
        <f t="shared" si="39"/>
        <v>0.48174102380003536</v>
      </c>
    </row>
    <row r="509" spans="1:20" x14ac:dyDescent="0.25">
      <c r="A509">
        <v>0.54049613203859859</v>
      </c>
      <c r="B509">
        <v>-0.86311729319277219</v>
      </c>
      <c r="D509">
        <v>0.49473485582907695</v>
      </c>
      <c r="E509">
        <v>-1.7644304114128317</v>
      </c>
      <c r="J509">
        <v>20</v>
      </c>
      <c r="K509">
        <v>3.7737777347501833E-3</v>
      </c>
      <c r="L509">
        <v>16.15759137623051</v>
      </c>
      <c r="M509">
        <v>10</v>
      </c>
      <c r="N509">
        <v>3.2724184393373434E-2</v>
      </c>
      <c r="O509">
        <v>62.581288900830494</v>
      </c>
      <c r="P509" s="1">
        <f t="shared" si="35"/>
        <v>2.8121028670378929</v>
      </c>
      <c r="Q509" s="1">
        <f t="shared" si="36"/>
        <v>0.42181543005568395</v>
      </c>
      <c r="R509" s="1">
        <f t="shared" si="37"/>
        <v>0.64947319425491612</v>
      </c>
      <c r="S509" s="1">
        <f t="shared" si="38"/>
        <v>-4.457521405765718E-2</v>
      </c>
      <c r="T509" s="56">
        <f t="shared" si="39"/>
        <v>0.48238114165164114</v>
      </c>
    </row>
    <row r="510" spans="1:20" x14ac:dyDescent="0.25">
      <c r="A510">
        <v>0.54067127305497897</v>
      </c>
      <c r="B510">
        <v>-0.4009780241176486</v>
      </c>
      <c r="D510">
        <v>0.49475011089897813</v>
      </c>
      <c r="E510">
        <v>1.822994132680833</v>
      </c>
      <c r="J510">
        <v>20</v>
      </c>
      <c r="K510">
        <v>-0.14693114280817099</v>
      </c>
      <c r="L510">
        <v>16.19351656864109</v>
      </c>
      <c r="M510">
        <v>10</v>
      </c>
      <c r="N510">
        <v>-0.12646956179196422</v>
      </c>
      <c r="O510">
        <v>30.521441922911116</v>
      </c>
      <c r="P510" s="1">
        <f t="shared" si="35"/>
        <v>1.6683913746982932</v>
      </c>
      <c r="Q510" s="1">
        <f t="shared" si="36"/>
        <v>0.250258706204744</v>
      </c>
      <c r="R510" s="1">
        <f t="shared" si="37"/>
        <v>0.50025863931045111</v>
      </c>
      <c r="S510" s="1">
        <f t="shared" si="38"/>
        <v>-4.090200430003707E-2</v>
      </c>
      <c r="T510" s="56">
        <f t="shared" si="39"/>
        <v>0.48383214343293512</v>
      </c>
    </row>
    <row r="511" spans="1:20" x14ac:dyDescent="0.25">
      <c r="A511">
        <v>0.54365027151523926</v>
      </c>
      <c r="B511">
        <v>3.7455265555763617E-2</v>
      </c>
      <c r="D511">
        <v>0.49498464736617498</v>
      </c>
      <c r="E511">
        <v>0.983176956879106</v>
      </c>
      <c r="J511">
        <v>20</v>
      </c>
      <c r="K511">
        <v>0.43044701669714414</v>
      </c>
      <c r="L511">
        <v>18.213017487103254</v>
      </c>
      <c r="M511">
        <v>10</v>
      </c>
      <c r="N511">
        <v>0.46098329789856507</v>
      </c>
      <c r="O511">
        <v>125.99638217173116</v>
      </c>
      <c r="P511" s="1">
        <f t="shared" si="35"/>
        <v>5.1503357021012288</v>
      </c>
      <c r="Q511" s="1">
        <f t="shared" si="36"/>
        <v>0.77255035531518434</v>
      </c>
      <c r="R511" s="1">
        <f t="shared" si="37"/>
        <v>0.87894843723348437</v>
      </c>
      <c r="S511" s="1">
        <f t="shared" si="38"/>
        <v>-3.4741834569425666E-2</v>
      </c>
      <c r="T511" s="56">
        <f t="shared" si="39"/>
        <v>0.48626604782098209</v>
      </c>
    </row>
    <row r="512" spans="1:20" x14ac:dyDescent="0.25">
      <c r="A512">
        <v>0.54477575819870516</v>
      </c>
      <c r="B512">
        <v>0.20721699911518954</v>
      </c>
      <c r="D512">
        <v>0.49757444088288538</v>
      </c>
      <c r="E512">
        <v>-5.7579430858822889E-2</v>
      </c>
      <c r="J512">
        <v>20</v>
      </c>
      <c r="K512">
        <v>3.3805349630711135E-3</v>
      </c>
      <c r="L512">
        <v>13.152002217173782</v>
      </c>
      <c r="M512">
        <v>10</v>
      </c>
      <c r="N512">
        <v>2.0815033394683269E-2</v>
      </c>
      <c r="O512">
        <v>42.326088919285517</v>
      </c>
      <c r="P512" s="1">
        <f t="shared" si="35"/>
        <v>1.9813603977306893</v>
      </c>
      <c r="Q512" s="1">
        <f t="shared" si="36"/>
        <v>0.29720405965960339</v>
      </c>
      <c r="R512" s="1">
        <f t="shared" si="37"/>
        <v>0.54516425016650105</v>
      </c>
      <c r="S512" s="1">
        <f t="shared" si="38"/>
        <v>-3.1980267279608683E-2</v>
      </c>
      <c r="T512" s="56">
        <f t="shared" si="39"/>
        <v>0.48735733347073007</v>
      </c>
    </row>
    <row r="513" spans="1:20" x14ac:dyDescent="0.25">
      <c r="A513">
        <v>0.5450439243418107</v>
      </c>
      <c r="B513">
        <v>0.28291083253861871</v>
      </c>
      <c r="D513">
        <v>0.49778912705990708</v>
      </c>
      <c r="E513">
        <v>8.7523887907536846</v>
      </c>
      <c r="J513">
        <v>20</v>
      </c>
      <c r="K513">
        <v>0.17621454162508599</v>
      </c>
      <c r="L513">
        <v>16.573972723679905</v>
      </c>
      <c r="M513">
        <v>10</v>
      </c>
      <c r="N513">
        <v>0.19539367826837406</v>
      </c>
      <c r="O513">
        <v>94.804777725114178</v>
      </c>
      <c r="P513" s="1">
        <f t="shared" si="35"/>
        <v>3.9778125160283602</v>
      </c>
      <c r="Q513" s="1">
        <f t="shared" si="36"/>
        <v>0.59667187740425398</v>
      </c>
      <c r="R513" s="1">
        <f t="shared" si="37"/>
        <v>0.77244538797526263</v>
      </c>
      <c r="S513" s="1">
        <f t="shared" si="38"/>
        <v>-2.4829116649347231E-2</v>
      </c>
      <c r="T513" s="56">
        <f t="shared" si="39"/>
        <v>0.49018368888418751</v>
      </c>
    </row>
    <row r="514" spans="1:20" x14ac:dyDescent="0.25">
      <c r="A514">
        <v>0.54556490348675357</v>
      </c>
      <c r="B514">
        <v>2.056494849966839</v>
      </c>
      <c r="D514">
        <v>0.49843441707164893</v>
      </c>
      <c r="E514">
        <v>-3.8917544350169919</v>
      </c>
      <c r="J514">
        <v>20</v>
      </c>
      <c r="K514">
        <v>-5.2542759476637002E-2</v>
      </c>
      <c r="L514">
        <v>14.185086625931755</v>
      </c>
      <c r="M514">
        <v>10</v>
      </c>
      <c r="N514">
        <v>-3.2258757300951402E-2</v>
      </c>
      <c r="O514">
        <v>111.16074788884751</v>
      </c>
      <c r="P514" s="1">
        <f t="shared" ref="P514:P577" si="40">(L514+O514)/(J514+M514-2)</f>
        <v>4.4766369469564022</v>
      </c>
      <c r="Q514" s="1">
        <f t="shared" ref="Q514:Q577" si="41">P514*0.15</f>
        <v>0.67149554204346029</v>
      </c>
      <c r="R514" s="1">
        <f t="shared" ref="R514:R577" si="42">SQRT(Q514)</f>
        <v>0.81944831566332499</v>
      </c>
      <c r="S514" s="1">
        <f t="shared" ref="S514:S577" si="43">(K514-N514)/R514</f>
        <v>-2.4753241648030184E-2</v>
      </c>
      <c r="T514" s="56">
        <f t="shared" ref="T514:T577" si="44">_xlfn.T.DIST(S514,28,TRUE)</f>
        <v>0.49021368007755678</v>
      </c>
    </row>
    <row r="515" spans="1:20" x14ac:dyDescent="0.25">
      <c r="A515">
        <v>0.54646636548791883</v>
      </c>
      <c r="B515">
        <v>1.0368330549681559</v>
      </c>
      <c r="D515">
        <v>0.4984940861029763</v>
      </c>
      <c r="E515">
        <v>-3.5934492677824892</v>
      </c>
      <c r="J515">
        <v>20</v>
      </c>
      <c r="K515">
        <v>-5.1728761718550231E-2</v>
      </c>
      <c r="L515">
        <v>16.191978946092078</v>
      </c>
      <c r="M515">
        <v>10</v>
      </c>
      <c r="N515">
        <v>-3.8048259511924698E-2</v>
      </c>
      <c r="O515">
        <v>74.416958003352718</v>
      </c>
      <c r="P515" s="1">
        <f t="shared" si="40"/>
        <v>3.2360334624801714</v>
      </c>
      <c r="Q515" s="1">
        <f t="shared" si="41"/>
        <v>0.48540501937202568</v>
      </c>
      <c r="R515" s="1">
        <f t="shared" si="42"/>
        <v>0.69671014013865595</v>
      </c>
      <c r="S515" s="1">
        <f t="shared" si="43"/>
        <v>-1.9635859188015987E-2</v>
      </c>
      <c r="T515" s="56">
        <f t="shared" si="44"/>
        <v>0.49223655886251572</v>
      </c>
    </row>
    <row r="516" spans="1:20" x14ac:dyDescent="0.25">
      <c r="A516">
        <v>0.54864406391134135</v>
      </c>
      <c r="B516">
        <v>1.8218088371213526</v>
      </c>
      <c r="D516">
        <v>0.49932868414142073</v>
      </c>
      <c r="E516">
        <v>-7.2142636361149926</v>
      </c>
      <c r="J516">
        <v>20</v>
      </c>
      <c r="K516">
        <v>-4.0222403185907751E-2</v>
      </c>
      <c r="L516">
        <v>20.18416289763049</v>
      </c>
      <c r="M516">
        <v>10</v>
      </c>
      <c r="N516">
        <v>-3.2835831689226325E-2</v>
      </c>
      <c r="O516">
        <v>30.93230563483462</v>
      </c>
      <c r="P516" s="1">
        <f t="shared" si="40"/>
        <v>1.8255881618737537</v>
      </c>
      <c r="Q516" s="1">
        <f t="shared" si="41"/>
        <v>0.27383822428106303</v>
      </c>
      <c r="R516" s="1">
        <f t="shared" si="42"/>
        <v>0.52329554200381168</v>
      </c>
      <c r="S516" s="1">
        <f t="shared" si="43"/>
        <v>-1.4115487145937931E-2</v>
      </c>
      <c r="T516" s="56">
        <f t="shared" si="44"/>
        <v>0.49441897209927332</v>
      </c>
    </row>
    <row r="517" spans="1:20" x14ac:dyDescent="0.25">
      <c r="A517">
        <v>0.54932400428523942</v>
      </c>
      <c r="B517">
        <v>-0.95276618594652973</v>
      </c>
      <c r="D517">
        <v>0.50271254877158522</v>
      </c>
      <c r="E517">
        <v>1.8283146766862046</v>
      </c>
      <c r="J517">
        <v>20</v>
      </c>
      <c r="K517">
        <v>-0.10962048690998927</v>
      </c>
      <c r="L517">
        <v>13.700472180235604</v>
      </c>
      <c r="M517">
        <v>10</v>
      </c>
      <c r="N517">
        <v>-0.10062842989100318</v>
      </c>
      <c r="O517">
        <v>73.304689630093179</v>
      </c>
      <c r="P517" s="1">
        <f t="shared" si="40"/>
        <v>3.1073272075117422</v>
      </c>
      <c r="Q517" s="1">
        <f t="shared" si="41"/>
        <v>0.46609908112676129</v>
      </c>
      <c r="R517" s="1">
        <f t="shared" si="42"/>
        <v>0.68271449459255018</v>
      </c>
      <c r="S517" s="1">
        <f t="shared" si="43"/>
        <v>-1.3171035755367438E-2</v>
      </c>
      <c r="T517" s="56">
        <f t="shared" si="44"/>
        <v>0.49479236924199865</v>
      </c>
    </row>
    <row r="518" spans="1:20" x14ac:dyDescent="0.25">
      <c r="A518">
        <v>0.54995857865452713</v>
      </c>
      <c r="B518">
        <v>0.5617334863927681</v>
      </c>
      <c r="D518">
        <v>0.50298454569614559</v>
      </c>
      <c r="E518">
        <v>1.3866037954812782</v>
      </c>
      <c r="J518">
        <v>20</v>
      </c>
      <c r="K518">
        <v>-1.2858663467341103E-2</v>
      </c>
      <c r="L518">
        <v>11.334172652188956</v>
      </c>
      <c r="M518">
        <v>10</v>
      </c>
      <c r="N518">
        <v>-5.5315501867880812E-3</v>
      </c>
      <c r="O518">
        <v>52.997094136019157</v>
      </c>
      <c r="P518" s="1">
        <f t="shared" si="40"/>
        <v>2.2975452424360041</v>
      </c>
      <c r="Q518" s="1">
        <f t="shared" si="41"/>
        <v>0.34463178636540059</v>
      </c>
      <c r="R518" s="1">
        <f t="shared" si="42"/>
        <v>0.58705347828404919</v>
      </c>
      <c r="S518" s="1">
        <f t="shared" si="43"/>
        <v>-1.2481168328940138E-2</v>
      </c>
      <c r="T518" s="56">
        <f t="shared" si="44"/>
        <v>0.49506511744102788</v>
      </c>
    </row>
    <row r="519" spans="1:20" x14ac:dyDescent="0.25">
      <c r="A519">
        <v>0.55025434750376878</v>
      </c>
      <c r="B519">
        <v>6.0049387684557587E-2</v>
      </c>
      <c r="D519">
        <v>0.50338100408109354</v>
      </c>
      <c r="E519">
        <v>6.2855935959760245</v>
      </c>
      <c r="J519">
        <v>20</v>
      </c>
      <c r="K519">
        <v>7.5266257226758171E-2</v>
      </c>
      <c r="L519">
        <v>17.250347502509989</v>
      </c>
      <c r="M519">
        <v>10</v>
      </c>
      <c r="N519">
        <v>8.1878166611204506E-2</v>
      </c>
      <c r="O519">
        <v>69.635953537303308</v>
      </c>
      <c r="P519" s="1">
        <f t="shared" si="40"/>
        <v>3.1030821799933324</v>
      </c>
      <c r="Q519" s="1">
        <f t="shared" si="41"/>
        <v>0.46546232699899981</v>
      </c>
      <c r="R519" s="1">
        <f t="shared" si="42"/>
        <v>0.68224799523267188</v>
      </c>
      <c r="S519" s="1">
        <f t="shared" si="43"/>
        <v>-9.6913577330358137E-3</v>
      </c>
      <c r="T519" s="56">
        <f t="shared" si="44"/>
        <v>0.49616812932481336</v>
      </c>
    </row>
    <row r="520" spans="1:20" x14ac:dyDescent="0.25">
      <c r="A520">
        <v>0.55026788865975718</v>
      </c>
      <c r="B520">
        <v>-0.44811145016865339</v>
      </c>
      <c r="D520">
        <v>0.50390085032152598</v>
      </c>
      <c r="E520">
        <v>1.4163408616241213</v>
      </c>
      <c r="J520">
        <v>20</v>
      </c>
      <c r="K520">
        <v>1.1682516287692124E-2</v>
      </c>
      <c r="L520">
        <v>14.159465804265086</v>
      </c>
      <c r="M520">
        <v>10</v>
      </c>
      <c r="N520">
        <v>2.0279227328501293E-2</v>
      </c>
      <c r="O520">
        <v>140.52020797422037</v>
      </c>
      <c r="P520" s="1">
        <f t="shared" si="40"/>
        <v>5.5242740635173382</v>
      </c>
      <c r="Q520" s="1">
        <f t="shared" si="41"/>
        <v>0.82864110952760073</v>
      </c>
      <c r="R520" s="1">
        <f t="shared" si="42"/>
        <v>0.91029726437444636</v>
      </c>
      <c r="S520" s="1">
        <f t="shared" si="43"/>
        <v>-9.44385024238956E-3</v>
      </c>
      <c r="T520" s="56">
        <f t="shared" si="44"/>
        <v>0.49626598837995672</v>
      </c>
    </row>
    <row r="521" spans="1:20" x14ac:dyDescent="0.25">
      <c r="A521">
        <v>0.55033630552952995</v>
      </c>
      <c r="B521">
        <v>-3.1484432838624343E-2</v>
      </c>
      <c r="D521">
        <v>0.50451490585293046</v>
      </c>
      <c r="E521">
        <v>-3.7208762967111397</v>
      </c>
      <c r="J521">
        <v>20</v>
      </c>
      <c r="K521">
        <v>-7.5624768669513287E-2</v>
      </c>
      <c r="L521">
        <v>19.101530834268459</v>
      </c>
      <c r="M521">
        <v>10</v>
      </c>
      <c r="N521">
        <v>-6.8803391286564874E-2</v>
      </c>
      <c r="O521">
        <v>152.31865527941827</v>
      </c>
      <c r="P521" s="1">
        <f t="shared" si="40"/>
        <v>6.1221495040602401</v>
      </c>
      <c r="Q521" s="1">
        <f t="shared" si="41"/>
        <v>0.91832242560903599</v>
      </c>
      <c r="R521" s="1">
        <f t="shared" si="42"/>
        <v>0.95829140954567471</v>
      </c>
      <c r="S521" s="1">
        <f t="shared" si="43"/>
        <v>-7.1182704081448698E-3</v>
      </c>
      <c r="T521" s="56">
        <f t="shared" si="44"/>
        <v>0.49718548256747253</v>
      </c>
    </row>
    <row r="522" spans="1:20" x14ac:dyDescent="0.25">
      <c r="A522">
        <v>0.55174718999687011</v>
      </c>
      <c r="B522">
        <v>-1.1010342859663069</v>
      </c>
      <c r="D522">
        <v>0.5053163105911348</v>
      </c>
      <c r="E522">
        <v>0.34159779374931531</v>
      </c>
      <c r="J522">
        <v>20</v>
      </c>
      <c r="K522">
        <v>6.8705446665262571E-2</v>
      </c>
      <c r="L522">
        <v>7.6733733907747768</v>
      </c>
      <c r="M522">
        <v>10</v>
      </c>
      <c r="N522">
        <v>7.4021496629939065E-2</v>
      </c>
      <c r="O522">
        <v>143.23151633377387</v>
      </c>
      <c r="P522" s="1">
        <f t="shared" si="40"/>
        <v>5.3894603473053087</v>
      </c>
      <c r="Q522" s="1">
        <f t="shared" si="41"/>
        <v>0.80841905209579623</v>
      </c>
      <c r="R522" s="1">
        <f t="shared" si="42"/>
        <v>0.89912126662413905</v>
      </c>
      <c r="S522" s="1">
        <f t="shared" si="43"/>
        <v>-5.9124949681551358E-3</v>
      </c>
      <c r="T522" s="56">
        <f t="shared" si="44"/>
        <v>0.49766223192759046</v>
      </c>
    </row>
    <row r="523" spans="1:20" x14ac:dyDescent="0.25">
      <c r="A523">
        <v>0.55250593929938041</v>
      </c>
      <c r="B523">
        <v>-1.1786619324993808</v>
      </c>
      <c r="D523">
        <v>0.50716474403090706</v>
      </c>
      <c r="E523">
        <v>-1.728441706063677</v>
      </c>
      <c r="J523">
        <v>20</v>
      </c>
      <c r="K523">
        <v>-0.23685134920015116</v>
      </c>
      <c r="L523">
        <v>21.480589676423527</v>
      </c>
      <c r="M523">
        <v>10</v>
      </c>
      <c r="N523">
        <v>-0.23475900320590881</v>
      </c>
      <c r="O523">
        <v>26.490685635504388</v>
      </c>
      <c r="P523" s="1">
        <f t="shared" si="40"/>
        <v>1.7132598325688539</v>
      </c>
      <c r="Q523" s="1">
        <f t="shared" si="41"/>
        <v>0.25698897488532807</v>
      </c>
      <c r="R523" s="1">
        <f t="shared" si="42"/>
        <v>0.50694080017821419</v>
      </c>
      <c r="S523" s="1">
        <f t="shared" si="43"/>
        <v>-4.1273971112737225E-3</v>
      </c>
      <c r="T523" s="56">
        <f t="shared" si="44"/>
        <v>0.49836804477776547</v>
      </c>
    </row>
    <row r="524" spans="1:20" x14ac:dyDescent="0.25">
      <c r="A524">
        <v>0.5528572939114762</v>
      </c>
      <c r="B524">
        <v>-0.46168565859261435</v>
      </c>
      <c r="D524">
        <v>0.50762774923161336</v>
      </c>
      <c r="E524">
        <v>5.2286743505192135</v>
      </c>
      <c r="J524">
        <v>20</v>
      </c>
      <c r="K524">
        <v>1.3728936210100073E-2</v>
      </c>
      <c r="L524">
        <v>15.774107442964175</v>
      </c>
      <c r="M524">
        <v>10</v>
      </c>
      <c r="N524">
        <v>9.1493996023928048E-3</v>
      </c>
      <c r="O524">
        <v>57.057274239152328</v>
      </c>
      <c r="P524" s="1">
        <f t="shared" si="40"/>
        <v>2.6011207743613034</v>
      </c>
      <c r="Q524" s="1">
        <f t="shared" si="41"/>
        <v>0.3901681161541955</v>
      </c>
      <c r="R524" s="1">
        <f t="shared" si="42"/>
        <v>0.62463438598446974</v>
      </c>
      <c r="S524" s="1">
        <f t="shared" si="43"/>
        <v>7.3315473987068166E-3</v>
      </c>
      <c r="T524" s="56">
        <f t="shared" si="44"/>
        <v>0.50289884421365438</v>
      </c>
    </row>
    <row r="525" spans="1:20" x14ac:dyDescent="0.25">
      <c r="A525">
        <v>0.55451700033472429</v>
      </c>
      <c r="B525">
        <v>0.74826857598964125</v>
      </c>
      <c r="D525">
        <v>0.50888351379743946</v>
      </c>
      <c r="E525">
        <v>1.1286051596925972</v>
      </c>
      <c r="J525">
        <v>20</v>
      </c>
      <c r="K525">
        <v>-0.22058156901039183</v>
      </c>
      <c r="L525">
        <v>13.159892802844958</v>
      </c>
      <c r="M525">
        <v>10</v>
      </c>
      <c r="N525">
        <v>-0.22791425976720348</v>
      </c>
      <c r="O525">
        <v>99.428026598852284</v>
      </c>
      <c r="P525" s="1">
        <f t="shared" si="40"/>
        <v>4.0209971214891871</v>
      </c>
      <c r="Q525" s="1">
        <f t="shared" si="41"/>
        <v>0.60314956822337806</v>
      </c>
      <c r="R525" s="1">
        <f t="shared" si="42"/>
        <v>0.77662704577124919</v>
      </c>
      <c r="S525" s="1">
        <f t="shared" si="43"/>
        <v>9.44171439397881E-3</v>
      </c>
      <c r="T525" s="56">
        <f t="shared" si="44"/>
        <v>0.50373316715119809</v>
      </c>
    </row>
    <row r="526" spans="1:20" x14ac:dyDescent="0.25">
      <c r="A526">
        <v>0.55505510093637112</v>
      </c>
      <c r="B526">
        <v>1.0334338185202796</v>
      </c>
      <c r="D526">
        <v>0.50927270287694815</v>
      </c>
      <c r="E526">
        <v>0.20716879248539044</v>
      </c>
      <c r="J526">
        <v>20</v>
      </c>
      <c r="K526">
        <v>-0.44637317841988988</v>
      </c>
      <c r="L526">
        <v>16.455834774767013</v>
      </c>
      <c r="M526">
        <v>10</v>
      </c>
      <c r="N526">
        <v>-0.45208310325506318</v>
      </c>
      <c r="O526">
        <v>45.617489534288417</v>
      </c>
      <c r="P526" s="1">
        <f t="shared" si="40"/>
        <v>2.2169044396091224</v>
      </c>
      <c r="Q526" s="1">
        <f t="shared" si="41"/>
        <v>0.33253566594136835</v>
      </c>
      <c r="R526" s="1">
        <f t="shared" si="42"/>
        <v>0.57665905519758243</v>
      </c>
      <c r="S526" s="1">
        <f t="shared" si="43"/>
        <v>9.9017344541947553E-3</v>
      </c>
      <c r="T526" s="56">
        <f t="shared" si="44"/>
        <v>0.50391504884427585</v>
      </c>
    </row>
    <row r="527" spans="1:20" x14ac:dyDescent="0.25">
      <c r="A527">
        <v>0.55580938353284914</v>
      </c>
      <c r="B527">
        <v>1.5353452909039333</v>
      </c>
      <c r="D527">
        <v>0.51179131707886394</v>
      </c>
      <c r="E527">
        <v>1.9977023805495264</v>
      </c>
      <c r="J527">
        <v>20</v>
      </c>
      <c r="K527">
        <v>7.8633433986396994E-2</v>
      </c>
      <c r="L527">
        <v>17.441911660156219</v>
      </c>
      <c r="M527">
        <v>10</v>
      </c>
      <c r="N527">
        <v>6.5364016563762561E-2</v>
      </c>
      <c r="O527">
        <v>162.75354484183052</v>
      </c>
      <c r="P527" s="1">
        <f t="shared" si="40"/>
        <v>6.4355520179280976</v>
      </c>
      <c r="Q527" s="1">
        <f t="shared" si="41"/>
        <v>0.96533280268921462</v>
      </c>
      <c r="R527" s="1">
        <f t="shared" si="42"/>
        <v>0.98251351272601573</v>
      </c>
      <c r="S527" s="1">
        <f t="shared" si="43"/>
        <v>1.3505582621268997E-2</v>
      </c>
      <c r="T527" s="56">
        <f t="shared" si="44"/>
        <v>0.50533989736437279</v>
      </c>
    </row>
    <row r="528" spans="1:20" x14ac:dyDescent="0.25">
      <c r="A528">
        <v>0.55674718971478221</v>
      </c>
      <c r="B528">
        <v>0.7703124538238626</v>
      </c>
      <c r="D528">
        <v>0.51278416373558389</v>
      </c>
      <c r="E528">
        <v>3.6305329979313683</v>
      </c>
      <c r="J528">
        <v>20</v>
      </c>
      <c r="K528">
        <v>8.6989757619448937E-2</v>
      </c>
      <c r="L528">
        <v>23.336012877447907</v>
      </c>
      <c r="M528">
        <v>10</v>
      </c>
      <c r="N528">
        <v>6.9478911655096454E-2</v>
      </c>
      <c r="O528">
        <v>76.398391317134838</v>
      </c>
      <c r="P528" s="1">
        <f t="shared" si="40"/>
        <v>3.5619430069493836</v>
      </c>
      <c r="Q528" s="1">
        <f t="shared" si="41"/>
        <v>0.53429145104240749</v>
      </c>
      <c r="R528" s="1">
        <f t="shared" si="42"/>
        <v>0.7309524273455883</v>
      </c>
      <c r="S528" s="1">
        <f t="shared" si="43"/>
        <v>2.3956204684813912E-2</v>
      </c>
      <c r="T528" s="56">
        <f t="shared" si="44"/>
        <v>0.50947127077389776</v>
      </c>
    </row>
    <row r="529" spans="1:20" x14ac:dyDescent="0.25">
      <c r="A529">
        <v>0.55756879516040225</v>
      </c>
      <c r="B529">
        <v>-0.56666749514988624</v>
      </c>
      <c r="D529">
        <v>0.5138249579392753</v>
      </c>
      <c r="E529">
        <v>-6.2219958215337101</v>
      </c>
      <c r="J529">
        <v>20</v>
      </c>
      <c r="K529">
        <v>-0.18462060324964114</v>
      </c>
      <c r="L529">
        <v>12.026240683666542</v>
      </c>
      <c r="M529">
        <v>10</v>
      </c>
      <c r="N529">
        <v>-0.19623553612291289</v>
      </c>
      <c r="O529">
        <v>31.731109402914083</v>
      </c>
      <c r="P529" s="1">
        <f t="shared" si="40"/>
        <v>1.562762503092165</v>
      </c>
      <c r="Q529" s="1">
        <f t="shared" si="41"/>
        <v>0.23441437546382474</v>
      </c>
      <c r="R529" s="1">
        <f t="shared" si="42"/>
        <v>0.48416358337221599</v>
      </c>
      <c r="S529" s="1">
        <f t="shared" si="43"/>
        <v>2.3989687106108534E-2</v>
      </c>
      <c r="T529" s="56">
        <f t="shared" si="44"/>
        <v>0.50948450568003434</v>
      </c>
    </row>
    <row r="530" spans="1:20" x14ac:dyDescent="0.25">
      <c r="A530">
        <v>0.5589635965416534</v>
      </c>
      <c r="B530">
        <v>0.29487409847206436</v>
      </c>
      <c r="D530">
        <v>0.51392094948884981</v>
      </c>
      <c r="E530">
        <v>1.1864524333304871</v>
      </c>
      <c r="J530">
        <v>20</v>
      </c>
      <c r="K530">
        <v>-0.27782937195297563</v>
      </c>
      <c r="L530">
        <v>16.615043314338362</v>
      </c>
      <c r="M530">
        <v>10</v>
      </c>
      <c r="N530">
        <v>-0.30428418881456309</v>
      </c>
      <c r="O530">
        <v>101.0386524288013</v>
      </c>
      <c r="P530" s="1">
        <f t="shared" si="40"/>
        <v>4.2019177051121313</v>
      </c>
      <c r="Q530" s="1">
        <f t="shared" si="41"/>
        <v>0.63028765576681967</v>
      </c>
      <c r="R530" s="1">
        <f t="shared" si="42"/>
        <v>0.79390657874010573</v>
      </c>
      <c r="S530" s="1">
        <f t="shared" si="43"/>
        <v>3.3322329818163333E-2</v>
      </c>
      <c r="T530" s="56">
        <f t="shared" si="44"/>
        <v>0.5131730209755605</v>
      </c>
    </row>
    <row r="531" spans="1:20" x14ac:dyDescent="0.25">
      <c r="A531">
        <v>0.55952590070219133</v>
      </c>
      <c r="B531">
        <v>0.94472625278285705</v>
      </c>
      <c r="D531">
        <v>0.51454505419814711</v>
      </c>
      <c r="E531">
        <v>2.1818238985815697</v>
      </c>
      <c r="J531">
        <v>20</v>
      </c>
      <c r="K531">
        <v>8.6920863395789638E-2</v>
      </c>
      <c r="L531">
        <v>20.058286633017321</v>
      </c>
      <c r="M531">
        <v>10</v>
      </c>
      <c r="N531">
        <v>4.3751011844506138E-2</v>
      </c>
      <c r="O531">
        <v>116.81018659312434</v>
      </c>
      <c r="P531" s="1">
        <f t="shared" si="40"/>
        <v>4.8881597580764886</v>
      </c>
      <c r="Q531" s="1">
        <f t="shared" si="41"/>
        <v>0.73322396371147325</v>
      </c>
      <c r="R531" s="1">
        <f t="shared" si="42"/>
        <v>0.856284978095186</v>
      </c>
      <c r="S531" s="1">
        <f t="shared" si="43"/>
        <v>5.0415285396358631E-2</v>
      </c>
      <c r="T531" s="56">
        <f t="shared" si="44"/>
        <v>0.519925305244886</v>
      </c>
    </row>
    <row r="532" spans="1:20" x14ac:dyDescent="0.25">
      <c r="A532">
        <v>0.5595739804611356</v>
      </c>
      <c r="B532">
        <v>1.5550358511973172</v>
      </c>
      <c r="D532">
        <v>0.51514542168280941</v>
      </c>
      <c r="E532">
        <v>0.29463035048138408</v>
      </c>
      <c r="J532">
        <v>20</v>
      </c>
      <c r="K532">
        <v>-0.27081011921836762</v>
      </c>
      <c r="L532">
        <v>16.445895145382522</v>
      </c>
      <c r="M532">
        <v>10</v>
      </c>
      <c r="N532">
        <v>-0.31012348586045846</v>
      </c>
      <c r="O532">
        <v>92.704404233479551</v>
      </c>
      <c r="P532" s="1">
        <f t="shared" si="40"/>
        <v>3.8982249778165028</v>
      </c>
      <c r="Q532" s="1">
        <f t="shared" si="41"/>
        <v>0.58473374667247535</v>
      </c>
      <c r="R532" s="1">
        <f t="shared" si="42"/>
        <v>0.76467885198459318</v>
      </c>
      <c r="S532" s="1">
        <f t="shared" si="43"/>
        <v>5.1411604414140291E-2</v>
      </c>
      <c r="T532" s="56">
        <f t="shared" si="44"/>
        <v>0.52031871823947795</v>
      </c>
    </row>
    <row r="533" spans="1:20" x14ac:dyDescent="0.25">
      <c r="A533">
        <v>0.55967119359035056</v>
      </c>
      <c r="B533">
        <v>-1.7534148355480283</v>
      </c>
      <c r="D533">
        <v>0.51606510175571285</v>
      </c>
      <c r="E533">
        <v>2.0518048097528663</v>
      </c>
      <c r="J533">
        <v>20</v>
      </c>
      <c r="K533">
        <v>-0.14458385066973278</v>
      </c>
      <c r="L533">
        <v>24.915257534312612</v>
      </c>
      <c r="M533">
        <v>10</v>
      </c>
      <c r="N533">
        <v>-0.18708556467572635</v>
      </c>
      <c r="O533">
        <v>94.523849155058571</v>
      </c>
      <c r="P533" s="1">
        <f t="shared" si="40"/>
        <v>4.2656823817632565</v>
      </c>
      <c r="Q533" s="1">
        <f t="shared" si="41"/>
        <v>0.63985235726448841</v>
      </c>
      <c r="R533" s="1">
        <f t="shared" si="42"/>
        <v>0.7999077179678219</v>
      </c>
      <c r="S533" s="1">
        <f t="shared" si="43"/>
        <v>5.3133271565337356E-2</v>
      </c>
      <c r="T533" s="56">
        <f t="shared" si="44"/>
        <v>0.5209984974870272</v>
      </c>
    </row>
    <row r="534" spans="1:20" x14ac:dyDescent="0.25">
      <c r="A534">
        <v>0.55969211835082111</v>
      </c>
      <c r="B534">
        <v>0.46790773922111839</v>
      </c>
      <c r="D534">
        <v>0.51760023255396892</v>
      </c>
      <c r="E534">
        <v>4.1587323948988342E-2</v>
      </c>
      <c r="J534">
        <v>20</v>
      </c>
      <c r="K534">
        <v>-0.15158650512603344</v>
      </c>
      <c r="L534">
        <v>17.426760604434111</v>
      </c>
      <c r="M534">
        <v>10</v>
      </c>
      <c r="N534">
        <v>-0.1994790216031106</v>
      </c>
      <c r="O534">
        <v>130.54409197234784</v>
      </c>
      <c r="P534" s="1">
        <f t="shared" si="40"/>
        <v>5.2846733063136417</v>
      </c>
      <c r="Q534" s="1">
        <f t="shared" si="41"/>
        <v>0.79270099594704624</v>
      </c>
      <c r="R534" s="1">
        <f t="shared" si="42"/>
        <v>0.89033757415210002</v>
      </c>
      <c r="S534" s="1">
        <f t="shared" si="43"/>
        <v>5.3791413355419586E-2</v>
      </c>
      <c r="T534" s="56">
        <f t="shared" si="44"/>
        <v>0.52125833983452019</v>
      </c>
    </row>
    <row r="535" spans="1:20" x14ac:dyDescent="0.25">
      <c r="A535">
        <v>0.55999390096712987</v>
      </c>
      <c r="B535">
        <v>0.64206801653199363</v>
      </c>
      <c r="D535">
        <v>0.51788534315156931</v>
      </c>
      <c r="E535">
        <v>-1.8609914639000635</v>
      </c>
      <c r="J535">
        <v>20</v>
      </c>
      <c r="K535">
        <v>1.2295799933781382E-2</v>
      </c>
      <c r="L535">
        <v>10.609629587870064</v>
      </c>
      <c r="M535">
        <v>10</v>
      </c>
      <c r="N535">
        <v>-2.8331445491858176E-2</v>
      </c>
      <c r="O535">
        <v>91.307788394472567</v>
      </c>
      <c r="P535" s="1">
        <f t="shared" si="40"/>
        <v>3.6399077850836652</v>
      </c>
      <c r="Q535" s="1">
        <f t="shared" si="41"/>
        <v>0.54598616776254971</v>
      </c>
      <c r="R535" s="1">
        <f t="shared" si="42"/>
        <v>0.73890876822686957</v>
      </c>
      <c r="S535" s="1">
        <f t="shared" si="43"/>
        <v>5.4982762653001352E-2</v>
      </c>
      <c r="T535" s="56">
        <f t="shared" si="44"/>
        <v>0.52172867465232686</v>
      </c>
    </row>
    <row r="536" spans="1:20" x14ac:dyDescent="0.25">
      <c r="A536">
        <v>0.56119304293669359</v>
      </c>
      <c r="B536">
        <v>-1.0040002962341532</v>
      </c>
      <c r="D536">
        <v>0.51969175842646942</v>
      </c>
      <c r="E536">
        <v>-2.0694612919669453</v>
      </c>
      <c r="J536">
        <v>20</v>
      </c>
      <c r="K536">
        <v>0.15381976936623687</v>
      </c>
      <c r="L536">
        <v>15.730426850463605</v>
      </c>
      <c r="M536">
        <v>10</v>
      </c>
      <c r="N536">
        <v>0.10424900779071322</v>
      </c>
      <c r="O536">
        <v>133.93158137457377</v>
      </c>
      <c r="P536" s="1">
        <f t="shared" si="40"/>
        <v>5.3450717223227633</v>
      </c>
      <c r="Q536" s="1">
        <f t="shared" si="41"/>
        <v>0.80176075834841443</v>
      </c>
      <c r="R536" s="1">
        <f t="shared" si="42"/>
        <v>0.89541094383998587</v>
      </c>
      <c r="S536" s="1">
        <f t="shared" si="43"/>
        <v>5.5360906538553738E-2</v>
      </c>
      <c r="T536" s="56">
        <f t="shared" si="44"/>
        <v>0.52187795608306287</v>
      </c>
    </row>
    <row r="537" spans="1:20" x14ac:dyDescent="0.25">
      <c r="A537">
        <v>0.56181423784296902</v>
      </c>
      <c r="B537">
        <v>0.13655153452418745</v>
      </c>
      <c r="D537">
        <v>0.52052895369785857</v>
      </c>
      <c r="E537">
        <v>-1.2725461181162245</v>
      </c>
      <c r="J537">
        <v>20</v>
      </c>
      <c r="K537">
        <v>3.3016647194017423E-2</v>
      </c>
      <c r="L537">
        <v>16.658980480139277</v>
      </c>
      <c r="M537">
        <v>10</v>
      </c>
      <c r="N537">
        <v>-5.8292960147809936E-3</v>
      </c>
      <c r="O537">
        <v>55.316899422228545</v>
      </c>
      <c r="P537" s="1">
        <f t="shared" si="40"/>
        <v>2.5705671393702794</v>
      </c>
      <c r="Q537" s="1">
        <f t="shared" si="41"/>
        <v>0.38558507090554189</v>
      </c>
      <c r="R537" s="1">
        <f t="shared" si="42"/>
        <v>0.62095496689014562</v>
      </c>
      <c r="S537" s="1">
        <f t="shared" si="43"/>
        <v>6.2558390350504645E-2</v>
      </c>
      <c r="T537" s="56">
        <f t="shared" si="44"/>
        <v>0.52471869435752261</v>
      </c>
    </row>
    <row r="538" spans="1:20" x14ac:dyDescent="0.25">
      <c r="A538">
        <v>0.56205514004497614</v>
      </c>
      <c r="B538">
        <v>-0.33920059649972245</v>
      </c>
      <c r="D538">
        <v>0.52102072873396532</v>
      </c>
      <c r="E538">
        <v>-2.1984571992561541</v>
      </c>
      <c r="J538">
        <v>20</v>
      </c>
      <c r="K538">
        <v>-3.5706761991605163E-3</v>
      </c>
      <c r="L538">
        <v>15.076176066293851</v>
      </c>
      <c r="M538">
        <v>10</v>
      </c>
      <c r="N538">
        <v>-5.474862859955465E-2</v>
      </c>
      <c r="O538">
        <v>101.2069961393204</v>
      </c>
      <c r="P538" s="1">
        <f t="shared" si="40"/>
        <v>4.1529704359147948</v>
      </c>
      <c r="Q538" s="1">
        <f t="shared" si="41"/>
        <v>0.62294556538721924</v>
      </c>
      <c r="R538" s="1">
        <f t="shared" si="42"/>
        <v>0.78926900698508318</v>
      </c>
      <c r="S538" s="1">
        <f t="shared" si="43"/>
        <v>6.4842217225642776E-2</v>
      </c>
      <c r="T538" s="56">
        <f t="shared" si="44"/>
        <v>0.52561981681740166</v>
      </c>
    </row>
    <row r="539" spans="1:20" x14ac:dyDescent="0.25">
      <c r="A539">
        <v>0.56320938956908229</v>
      </c>
      <c r="B539">
        <v>-0.72190687205875292</v>
      </c>
      <c r="D539">
        <v>0.52107223097269117</v>
      </c>
      <c r="E539">
        <v>-5.7638287705685798</v>
      </c>
      <c r="J539">
        <v>20</v>
      </c>
      <c r="K539">
        <v>-6.8645249484688975E-2</v>
      </c>
      <c r="L539">
        <v>13.618420085708827</v>
      </c>
      <c r="M539">
        <v>10</v>
      </c>
      <c r="N539">
        <v>-0.12030045922983845</v>
      </c>
      <c r="O539">
        <v>86.048042928451054</v>
      </c>
      <c r="P539" s="1">
        <f t="shared" si="40"/>
        <v>3.5595165362199959</v>
      </c>
      <c r="Q539" s="1">
        <f t="shared" si="41"/>
        <v>0.53392748043299931</v>
      </c>
      <c r="R539" s="1">
        <f t="shared" si="42"/>
        <v>0.73070341482231993</v>
      </c>
      <c r="S539" s="1">
        <f t="shared" si="43"/>
        <v>7.0692443332443053E-2</v>
      </c>
      <c r="T539" s="56">
        <f t="shared" si="44"/>
        <v>0.52792748048796356</v>
      </c>
    </row>
    <row r="540" spans="1:20" x14ac:dyDescent="0.25">
      <c r="A540">
        <v>0.56404957506532527</v>
      </c>
      <c r="B540">
        <v>0.22821041056886315</v>
      </c>
      <c r="D540">
        <v>0.52154902129645297</v>
      </c>
      <c r="E540">
        <v>-3.5435043662346288</v>
      </c>
      <c r="J540">
        <v>20</v>
      </c>
      <c r="K540">
        <v>0.26665793484426104</v>
      </c>
      <c r="L540">
        <v>22.657653884852071</v>
      </c>
      <c r="M540">
        <v>10</v>
      </c>
      <c r="N540">
        <v>0.21734399183515052</v>
      </c>
      <c r="O540">
        <v>50.848727749721441</v>
      </c>
      <c r="P540" s="1">
        <f t="shared" si="40"/>
        <v>2.6252279155204827</v>
      </c>
      <c r="Q540" s="1">
        <f t="shared" si="41"/>
        <v>0.39378418732807241</v>
      </c>
      <c r="R540" s="1">
        <f t="shared" si="42"/>
        <v>0.62752226042433934</v>
      </c>
      <c r="S540" s="1">
        <f t="shared" si="43"/>
        <v>7.8585169195055704E-2</v>
      </c>
      <c r="T540" s="56">
        <f t="shared" si="44"/>
        <v>0.5310392421223048</v>
      </c>
    </row>
    <row r="541" spans="1:20" x14ac:dyDescent="0.25">
      <c r="A541">
        <v>0.56442581012161441</v>
      </c>
      <c r="B541">
        <v>-0.83709437603829429</v>
      </c>
      <c r="D541">
        <v>0.52254003762715673</v>
      </c>
      <c r="E541">
        <v>-0.10186954909841006</v>
      </c>
      <c r="J541">
        <v>20</v>
      </c>
      <c r="K541">
        <v>-8.1630162185319932E-2</v>
      </c>
      <c r="L541">
        <v>19.137405628745679</v>
      </c>
      <c r="M541">
        <v>10</v>
      </c>
      <c r="N541">
        <v>-0.14724458083037462</v>
      </c>
      <c r="O541">
        <v>95.595145395419905</v>
      </c>
      <c r="P541" s="1">
        <f t="shared" si="40"/>
        <v>4.097591108005914</v>
      </c>
      <c r="Q541" s="1">
        <f t="shared" si="41"/>
        <v>0.61463866620088703</v>
      </c>
      <c r="R541" s="1">
        <f t="shared" si="42"/>
        <v>0.78398894520323881</v>
      </c>
      <c r="S541" s="1">
        <f t="shared" si="43"/>
        <v>8.3693040630879068E-2</v>
      </c>
      <c r="T541" s="56">
        <f t="shared" si="44"/>
        <v>0.53305200330453251</v>
      </c>
    </row>
    <row r="542" spans="1:20" x14ac:dyDescent="0.25">
      <c r="A542">
        <v>0.56522349975565034</v>
      </c>
      <c r="B542">
        <v>0.92284153652144596</v>
      </c>
      <c r="D542">
        <v>0.52261156919490148</v>
      </c>
      <c r="E542">
        <v>2.2992714968950168</v>
      </c>
      <c r="J542">
        <v>20</v>
      </c>
      <c r="K542">
        <v>0.14198991493685753</v>
      </c>
      <c r="L542">
        <v>13.174131271632973</v>
      </c>
      <c r="M542">
        <v>10</v>
      </c>
      <c r="N542">
        <v>5.1651337571456679E-2</v>
      </c>
      <c r="O542">
        <v>183.55650244400476</v>
      </c>
      <c r="P542" s="1">
        <f t="shared" si="40"/>
        <v>7.0260940612727767</v>
      </c>
      <c r="Q542" s="1">
        <f t="shared" si="41"/>
        <v>1.0539141091909165</v>
      </c>
      <c r="R542" s="1">
        <f t="shared" si="42"/>
        <v>1.026603189743202</v>
      </c>
      <c r="S542" s="1">
        <f t="shared" si="43"/>
        <v>8.7997561538843902E-2</v>
      </c>
      <c r="T542" s="56">
        <f t="shared" si="44"/>
        <v>0.53474751408283594</v>
      </c>
    </row>
    <row r="543" spans="1:20" x14ac:dyDescent="0.25">
      <c r="A543">
        <v>0.56614770454119889</v>
      </c>
      <c r="B543">
        <v>-0.74928038884536363</v>
      </c>
      <c r="D543">
        <v>0.52306129272930868</v>
      </c>
      <c r="E543">
        <v>0.36222172298039368</v>
      </c>
      <c r="J543">
        <v>20</v>
      </c>
      <c r="K543">
        <v>0.1619362137716962</v>
      </c>
      <c r="L543">
        <v>18.418191505571208</v>
      </c>
      <c r="M543">
        <v>10</v>
      </c>
      <c r="N543">
        <v>9.7319681344743003E-2</v>
      </c>
      <c r="O543">
        <v>80.42656297125292</v>
      </c>
      <c r="P543" s="1">
        <f t="shared" si="40"/>
        <v>3.5301698027437189</v>
      </c>
      <c r="Q543" s="1">
        <f t="shared" si="41"/>
        <v>0.52952547041155784</v>
      </c>
      <c r="R543" s="1">
        <f t="shared" si="42"/>
        <v>0.72768500768640121</v>
      </c>
      <c r="S543" s="1">
        <f t="shared" si="43"/>
        <v>8.8797394125783552E-2</v>
      </c>
      <c r="T543" s="56">
        <f t="shared" si="44"/>
        <v>0.53506248842195347</v>
      </c>
    </row>
    <row r="544" spans="1:20" x14ac:dyDescent="0.25">
      <c r="A544">
        <v>0.56627314953308128</v>
      </c>
      <c r="B544">
        <v>-0.51120082389388699</v>
      </c>
      <c r="D544">
        <v>0.5234934869532486</v>
      </c>
      <c r="E544">
        <v>-0.19761205635404622</v>
      </c>
      <c r="J544">
        <v>20</v>
      </c>
      <c r="K544">
        <v>-0.38933035284571815</v>
      </c>
      <c r="L544">
        <v>14.476910554876605</v>
      </c>
      <c r="M544">
        <v>10</v>
      </c>
      <c r="N544">
        <v>-0.46736125000279571</v>
      </c>
      <c r="O544">
        <v>124.24831474171474</v>
      </c>
      <c r="P544" s="1">
        <f t="shared" si="40"/>
        <v>4.954472332021119</v>
      </c>
      <c r="Q544" s="1">
        <f t="shared" si="41"/>
        <v>0.74317084980316783</v>
      </c>
      <c r="R544" s="1">
        <f t="shared" si="42"/>
        <v>0.86207357563213116</v>
      </c>
      <c r="S544" s="1">
        <f t="shared" si="43"/>
        <v>9.0515356650225573E-2</v>
      </c>
      <c r="T544" s="56">
        <f t="shared" si="44"/>
        <v>0.53573894406509137</v>
      </c>
    </row>
    <row r="545" spans="1:20" x14ac:dyDescent="0.25">
      <c r="A545">
        <v>0.56643375940934571</v>
      </c>
      <c r="B545">
        <v>-0.52581413001462352</v>
      </c>
      <c r="D545">
        <v>0.5246762155022946</v>
      </c>
      <c r="E545">
        <v>5.9267160816034448</v>
      </c>
      <c r="J545">
        <v>20</v>
      </c>
      <c r="K545">
        <v>0.11385327525204048</v>
      </c>
      <c r="L545">
        <v>10.207491729238642</v>
      </c>
      <c r="M545">
        <v>10</v>
      </c>
      <c r="N545">
        <v>4.7554177626807359E-2</v>
      </c>
      <c r="O545">
        <v>89.887127298105256</v>
      </c>
      <c r="P545" s="1">
        <f t="shared" si="40"/>
        <v>3.5748078224051389</v>
      </c>
      <c r="Q545" s="1">
        <f t="shared" si="41"/>
        <v>0.5362211733607708</v>
      </c>
      <c r="R545" s="1">
        <f t="shared" si="42"/>
        <v>0.73227124302458502</v>
      </c>
      <c r="S545" s="1">
        <f t="shared" si="43"/>
        <v>9.0538988464698197E-2</v>
      </c>
      <c r="T545" s="56">
        <f t="shared" si="44"/>
        <v>0.53574824844604718</v>
      </c>
    </row>
    <row r="546" spans="1:20" x14ac:dyDescent="0.25">
      <c r="A546">
        <v>0.56939758044128941</v>
      </c>
      <c r="B546">
        <v>-1.7386582840117626</v>
      </c>
      <c r="D546">
        <v>0.52590913135578332</v>
      </c>
      <c r="E546">
        <v>-0.42333272517680598</v>
      </c>
      <c r="J546">
        <v>20</v>
      </c>
      <c r="K546">
        <v>0.23575506702400162</v>
      </c>
      <c r="L546">
        <v>21.351062430983305</v>
      </c>
      <c r="M546">
        <v>10</v>
      </c>
      <c r="N546">
        <v>0.16016417362152424</v>
      </c>
      <c r="O546">
        <v>92.897713941440571</v>
      </c>
      <c r="P546" s="1">
        <f t="shared" si="40"/>
        <v>4.0803134418722813</v>
      </c>
      <c r="Q546" s="1">
        <f t="shared" si="41"/>
        <v>0.61204701628084213</v>
      </c>
      <c r="R546" s="1">
        <f t="shared" si="42"/>
        <v>0.7823343379149621</v>
      </c>
      <c r="S546" s="1">
        <f t="shared" si="43"/>
        <v>9.6622236477486592E-2</v>
      </c>
      <c r="T546" s="56">
        <f t="shared" si="44"/>
        <v>0.53814266032368407</v>
      </c>
    </row>
    <row r="547" spans="1:20" x14ac:dyDescent="0.25">
      <c r="A547">
        <v>0.56957392345678204</v>
      </c>
      <c r="B547">
        <v>-0.62830849856254645</v>
      </c>
      <c r="D547">
        <v>0.53109951361501362</v>
      </c>
      <c r="E547">
        <v>-1.6775486562892183</v>
      </c>
      <c r="J547">
        <v>20</v>
      </c>
      <c r="K547">
        <v>-0.16506766087331926</v>
      </c>
      <c r="L547">
        <v>20.887165461088973</v>
      </c>
      <c r="M547">
        <v>10</v>
      </c>
      <c r="N547">
        <v>-0.2429451376428915</v>
      </c>
      <c r="O547">
        <v>89.983736930111704</v>
      </c>
      <c r="P547" s="1">
        <f t="shared" si="40"/>
        <v>3.9596750854000242</v>
      </c>
      <c r="Q547" s="1">
        <f t="shared" si="41"/>
        <v>0.59395126281000366</v>
      </c>
      <c r="R547" s="1">
        <f t="shared" si="42"/>
        <v>0.77068233586219148</v>
      </c>
      <c r="S547" s="1">
        <f t="shared" si="43"/>
        <v>0.10105003468445629</v>
      </c>
      <c r="T547" s="56">
        <f t="shared" si="44"/>
        <v>0.53988456394093831</v>
      </c>
    </row>
    <row r="548" spans="1:20" x14ac:dyDescent="0.25">
      <c r="A548">
        <v>0.57170358377243402</v>
      </c>
      <c r="B548">
        <v>-0.61661012296099216</v>
      </c>
      <c r="D548">
        <v>0.53508676027797863</v>
      </c>
      <c r="E548">
        <v>-4.253005730561199</v>
      </c>
      <c r="J548">
        <v>20</v>
      </c>
      <c r="K548">
        <v>-0.23576308194606099</v>
      </c>
      <c r="L548">
        <v>15.53598176209665</v>
      </c>
      <c r="M548">
        <v>10</v>
      </c>
      <c r="N548">
        <v>-0.31554327847516106</v>
      </c>
      <c r="O548">
        <v>100.70215794624204</v>
      </c>
      <c r="P548" s="1">
        <f t="shared" si="40"/>
        <v>4.151362132440668</v>
      </c>
      <c r="Q548" s="1">
        <f t="shared" si="41"/>
        <v>0.6227043198661002</v>
      </c>
      <c r="R548" s="1">
        <f t="shared" si="42"/>
        <v>0.78911616373389548</v>
      </c>
      <c r="S548" s="1">
        <f t="shared" si="43"/>
        <v>0.10110069999276231</v>
      </c>
      <c r="T548" s="56">
        <f t="shared" si="44"/>
        <v>0.53990449116080963</v>
      </c>
    </row>
    <row r="549" spans="1:20" x14ac:dyDescent="0.25">
      <c r="A549">
        <v>0.5718206205265367</v>
      </c>
      <c r="B549">
        <v>0.82542328527779318</v>
      </c>
      <c r="D549">
        <v>0.5353458804316138</v>
      </c>
      <c r="E549">
        <v>2.8121651178025786</v>
      </c>
      <c r="J549">
        <v>20</v>
      </c>
      <c r="K549">
        <v>3.8000962376827374E-2</v>
      </c>
      <c r="L549">
        <v>15.607170635283106</v>
      </c>
      <c r="M549">
        <v>10</v>
      </c>
      <c r="N549">
        <v>-3.1741368502480327E-2</v>
      </c>
      <c r="O549">
        <v>71.885748275122282</v>
      </c>
      <c r="P549" s="1">
        <f t="shared" si="40"/>
        <v>3.1247471039430499</v>
      </c>
      <c r="Q549" s="1">
        <f t="shared" si="41"/>
        <v>0.46871206559145745</v>
      </c>
      <c r="R549" s="1">
        <f t="shared" si="42"/>
        <v>0.68462549294592989</v>
      </c>
      <c r="S549" s="1">
        <f t="shared" si="43"/>
        <v>0.10186931628737317</v>
      </c>
      <c r="T549" s="56">
        <f t="shared" si="44"/>
        <v>0.54020678336298522</v>
      </c>
    </row>
    <row r="550" spans="1:20" x14ac:dyDescent="0.25">
      <c r="A550">
        <v>0.57220821905416386</v>
      </c>
      <c r="B550">
        <v>0.24551809474360198</v>
      </c>
      <c r="D550">
        <v>0.53564449324933561</v>
      </c>
      <c r="E550">
        <v>-0.47030357904986886</v>
      </c>
      <c r="J550">
        <v>20</v>
      </c>
      <c r="K550">
        <v>3.3291598811047152E-2</v>
      </c>
      <c r="L550">
        <v>18.400456536516749</v>
      </c>
      <c r="M550">
        <v>10</v>
      </c>
      <c r="N550">
        <v>-5.4606065305051743E-2</v>
      </c>
      <c r="O550">
        <v>116.8343257974129</v>
      </c>
      <c r="P550" s="1">
        <f t="shared" si="40"/>
        <v>4.8298136547832016</v>
      </c>
      <c r="Q550" s="1">
        <f t="shared" si="41"/>
        <v>0.72447204821748024</v>
      </c>
      <c r="R550" s="1">
        <f t="shared" si="42"/>
        <v>0.85115923787354864</v>
      </c>
      <c r="S550" s="1">
        <f t="shared" si="43"/>
        <v>0.10326817850875196</v>
      </c>
      <c r="T550" s="56">
        <f t="shared" si="44"/>
        <v>0.54075688451781834</v>
      </c>
    </row>
    <row r="551" spans="1:20" x14ac:dyDescent="0.25">
      <c r="A551">
        <v>0.57385045383182909</v>
      </c>
      <c r="B551">
        <v>0.27241640054853633</v>
      </c>
      <c r="D551">
        <v>0.53877367335221227</v>
      </c>
      <c r="E551">
        <v>-0.91883225991296058</v>
      </c>
      <c r="J551">
        <v>20</v>
      </c>
      <c r="K551">
        <v>7.2478997026337311E-2</v>
      </c>
      <c r="L551">
        <v>15.701235640767168</v>
      </c>
      <c r="M551">
        <v>10</v>
      </c>
      <c r="N551">
        <v>-3.5302070955367526E-3</v>
      </c>
      <c r="O551">
        <v>76.308863105050534</v>
      </c>
      <c r="P551" s="1">
        <f t="shared" si="40"/>
        <v>3.2860749552077748</v>
      </c>
      <c r="Q551" s="1">
        <f t="shared" si="41"/>
        <v>0.4929112432811662</v>
      </c>
      <c r="R551" s="1">
        <f t="shared" si="42"/>
        <v>0.70207637994819783</v>
      </c>
      <c r="S551" s="1">
        <f t="shared" si="43"/>
        <v>0.10826344012240142</v>
      </c>
      <c r="T551" s="56">
        <f t="shared" si="44"/>
        <v>0.54272058699395653</v>
      </c>
    </row>
    <row r="552" spans="1:20" x14ac:dyDescent="0.25">
      <c r="A552">
        <v>0.57427748645631471</v>
      </c>
      <c r="B552">
        <v>-0.246701574724284</v>
      </c>
      <c r="D552">
        <v>0.54139481153805102</v>
      </c>
      <c r="E552">
        <v>2.3767399818552803</v>
      </c>
      <c r="J552">
        <v>20</v>
      </c>
      <c r="K552">
        <v>0.16390231394325383</v>
      </c>
      <c r="L552">
        <v>17.823652159471905</v>
      </c>
      <c r="M552">
        <v>10</v>
      </c>
      <c r="N552">
        <v>1.0297068229192519E-2</v>
      </c>
      <c r="O552">
        <v>346.42344936387485</v>
      </c>
      <c r="P552" s="1">
        <f t="shared" si="40"/>
        <v>13.008825054405241</v>
      </c>
      <c r="Q552" s="1">
        <f t="shared" si="41"/>
        <v>1.9513237581607861</v>
      </c>
      <c r="R552" s="1">
        <f t="shared" si="42"/>
        <v>1.3968979054178534</v>
      </c>
      <c r="S552" s="1">
        <f t="shared" si="43"/>
        <v>0.10996168375534462</v>
      </c>
      <c r="T552" s="56">
        <f t="shared" si="44"/>
        <v>0.54338794086220221</v>
      </c>
    </row>
    <row r="553" spans="1:20" x14ac:dyDescent="0.25">
      <c r="A553">
        <v>0.57639286900221109</v>
      </c>
      <c r="B553">
        <v>-0.24346945792785846</v>
      </c>
      <c r="D553">
        <v>0.54320174519541031</v>
      </c>
      <c r="E553">
        <v>-3.6997373661051824</v>
      </c>
      <c r="J553">
        <v>20</v>
      </c>
      <c r="K553">
        <v>0.21677675476894365</v>
      </c>
      <c r="L553">
        <v>18.875137483786876</v>
      </c>
      <c r="M553">
        <v>10</v>
      </c>
      <c r="N553">
        <v>0.12940563124175242</v>
      </c>
      <c r="O553">
        <v>77.833157722518195</v>
      </c>
      <c r="P553" s="1">
        <f t="shared" si="40"/>
        <v>3.4538676859394668</v>
      </c>
      <c r="Q553" s="1">
        <f t="shared" si="41"/>
        <v>0.51808015289092002</v>
      </c>
      <c r="R553" s="1">
        <f t="shared" si="42"/>
        <v>0.71977784968066361</v>
      </c>
      <c r="S553" s="1">
        <f t="shared" si="43"/>
        <v>0.12138623544188568</v>
      </c>
      <c r="T553" s="56">
        <f t="shared" si="44"/>
        <v>0.54787396324755244</v>
      </c>
    </row>
    <row r="554" spans="1:20" x14ac:dyDescent="0.25">
      <c r="A554">
        <v>0.57750191749199242</v>
      </c>
      <c r="B554">
        <v>-0.54018642003939021</v>
      </c>
      <c r="D554">
        <v>0.54492954487510403</v>
      </c>
      <c r="E554">
        <v>-5.1132899477579485</v>
      </c>
      <c r="J554">
        <v>20</v>
      </c>
      <c r="K554">
        <v>0.26885413717536721</v>
      </c>
      <c r="L554">
        <v>31.122658511797187</v>
      </c>
      <c r="M554">
        <v>10</v>
      </c>
      <c r="N554">
        <v>0.14294982634055486</v>
      </c>
      <c r="O554">
        <v>164.65263766740551</v>
      </c>
      <c r="P554" s="1">
        <f t="shared" si="40"/>
        <v>6.9919748635429544</v>
      </c>
      <c r="Q554" s="1">
        <f t="shared" si="41"/>
        <v>1.048796229531443</v>
      </c>
      <c r="R554" s="1">
        <f t="shared" si="42"/>
        <v>1.0241075283052279</v>
      </c>
      <c r="S554" s="1">
        <f t="shared" si="43"/>
        <v>0.12294051879802945</v>
      </c>
      <c r="T554" s="56">
        <f t="shared" si="44"/>
        <v>0.54848379198393815</v>
      </c>
    </row>
    <row r="555" spans="1:20" x14ac:dyDescent="0.25">
      <c r="A555">
        <v>0.57998789494843572</v>
      </c>
      <c r="B555">
        <v>-0.90841467681457289</v>
      </c>
      <c r="D555">
        <v>0.54527830099039409</v>
      </c>
      <c r="E555">
        <v>1.1637071077075234</v>
      </c>
      <c r="J555">
        <v>20</v>
      </c>
      <c r="K555">
        <v>-6.7962957928102696E-2</v>
      </c>
      <c r="L555">
        <v>12.075276354741474</v>
      </c>
      <c r="M555">
        <v>10</v>
      </c>
      <c r="N555">
        <v>-0.14313411952571187</v>
      </c>
      <c r="O555">
        <v>56.111704320360694</v>
      </c>
      <c r="P555" s="1">
        <f t="shared" si="40"/>
        <v>2.4352493098250774</v>
      </c>
      <c r="Q555" s="1">
        <f t="shared" si="41"/>
        <v>0.36528739647376157</v>
      </c>
      <c r="R555" s="1">
        <f t="shared" si="42"/>
        <v>0.60439010289196626</v>
      </c>
      <c r="S555" s="1">
        <f t="shared" si="43"/>
        <v>0.12437523585829778</v>
      </c>
      <c r="T555" s="56">
        <f t="shared" si="44"/>
        <v>0.54904660143005501</v>
      </c>
    </row>
    <row r="556" spans="1:20" x14ac:dyDescent="0.25">
      <c r="A556">
        <v>0.58060582174430853</v>
      </c>
      <c r="B556">
        <v>2.0251900423318148</v>
      </c>
      <c r="D556">
        <v>0.54763993359955743</v>
      </c>
      <c r="E556">
        <v>-0.20841003220084531</v>
      </c>
      <c r="J556">
        <v>20</v>
      </c>
      <c r="K556">
        <v>4.4088324102631304E-3</v>
      </c>
      <c r="L556">
        <v>11.653968192318002</v>
      </c>
      <c r="M556">
        <v>10</v>
      </c>
      <c r="N556">
        <v>-0.14164095659907616</v>
      </c>
      <c r="O556">
        <v>245.67038095510426</v>
      </c>
      <c r="P556" s="1">
        <f t="shared" si="40"/>
        <v>9.1901553266936524</v>
      </c>
      <c r="Q556" s="1">
        <f t="shared" si="41"/>
        <v>1.3785232990040479</v>
      </c>
      <c r="R556" s="1">
        <f t="shared" si="42"/>
        <v>1.1741053185315395</v>
      </c>
      <c r="S556" s="1">
        <f t="shared" si="43"/>
        <v>0.12439240901489539</v>
      </c>
      <c r="T556" s="56">
        <f t="shared" si="44"/>
        <v>0.54905333747240148</v>
      </c>
    </row>
    <row r="557" spans="1:20" x14ac:dyDescent="0.25">
      <c r="A557">
        <v>0.58161506311631783</v>
      </c>
      <c r="B557">
        <v>0.48547690312261693</v>
      </c>
      <c r="D557">
        <v>0.54810325887693434</v>
      </c>
      <c r="E557">
        <v>3.4492184079226718</v>
      </c>
      <c r="J557">
        <v>20</v>
      </c>
      <c r="K557">
        <v>-9.8740201792679727E-2</v>
      </c>
      <c r="L557">
        <v>18.792384764181733</v>
      </c>
      <c r="M557">
        <v>10</v>
      </c>
      <c r="N557">
        <v>-0.18271487419951882</v>
      </c>
      <c r="O557">
        <v>58.036381773234595</v>
      </c>
      <c r="P557" s="1">
        <f t="shared" si="40"/>
        <v>2.7438845191934402</v>
      </c>
      <c r="Q557" s="1">
        <f t="shared" si="41"/>
        <v>0.41158267787901603</v>
      </c>
      <c r="R557" s="1">
        <f t="shared" si="42"/>
        <v>0.64154709716358005</v>
      </c>
      <c r="S557" s="1">
        <f t="shared" si="43"/>
        <v>0.13089401039784837</v>
      </c>
      <c r="T557" s="56">
        <f t="shared" si="44"/>
        <v>0.55160245346663617</v>
      </c>
    </row>
    <row r="558" spans="1:20" x14ac:dyDescent="0.25">
      <c r="A558">
        <v>0.58380482460381999</v>
      </c>
      <c r="B558">
        <v>-0.39410679164575413</v>
      </c>
      <c r="D558">
        <v>0.54881715624895777</v>
      </c>
      <c r="E558">
        <v>-0.75912385341325717</v>
      </c>
      <c r="J558">
        <v>20</v>
      </c>
      <c r="K558">
        <v>0.38496551724165329</v>
      </c>
      <c r="L558">
        <v>19.679080279326183</v>
      </c>
      <c r="M558">
        <v>10</v>
      </c>
      <c r="N558">
        <v>0.25557823960298265</v>
      </c>
      <c r="O558">
        <v>160.76336284281206</v>
      </c>
      <c r="P558" s="1">
        <f t="shared" si="40"/>
        <v>6.4443729686477935</v>
      </c>
      <c r="Q558" s="1">
        <f t="shared" si="41"/>
        <v>0.96665594529716903</v>
      </c>
      <c r="R558" s="1">
        <f t="shared" si="42"/>
        <v>0.98318662790803302</v>
      </c>
      <c r="S558" s="1">
        <f t="shared" si="43"/>
        <v>0.13159991599354165</v>
      </c>
      <c r="T558" s="56">
        <f t="shared" si="44"/>
        <v>0.55187908835331312</v>
      </c>
    </row>
    <row r="559" spans="1:20" x14ac:dyDescent="0.25">
      <c r="A559">
        <v>0.58442022572211316</v>
      </c>
      <c r="B559">
        <v>-0.42857436710619368</v>
      </c>
      <c r="D559">
        <v>0.54891332343934773</v>
      </c>
      <c r="E559">
        <v>-1.3702701869533485</v>
      </c>
      <c r="J559">
        <v>20</v>
      </c>
      <c r="K559">
        <v>6.5756296407926129E-2</v>
      </c>
      <c r="L559">
        <v>36.297580833974997</v>
      </c>
      <c r="M559">
        <v>10</v>
      </c>
      <c r="N559">
        <v>-4.4695528913507587E-2</v>
      </c>
      <c r="O559">
        <v>85.054905021650384</v>
      </c>
      <c r="P559" s="1">
        <f t="shared" si="40"/>
        <v>4.3340173519866214</v>
      </c>
      <c r="Q559" s="1">
        <f t="shared" si="41"/>
        <v>0.65010260279799315</v>
      </c>
      <c r="R559" s="1">
        <f t="shared" si="42"/>
        <v>0.80628940387307158</v>
      </c>
      <c r="S559" s="1">
        <f t="shared" si="43"/>
        <v>0.13698781701814522</v>
      </c>
      <c r="T559" s="56">
        <f t="shared" si="44"/>
        <v>0.5539896476603885</v>
      </c>
    </row>
    <row r="560" spans="1:20" x14ac:dyDescent="0.25">
      <c r="A560">
        <v>0.58549400144151764</v>
      </c>
      <c r="B560">
        <v>-0.30607907319790684</v>
      </c>
      <c r="D560">
        <v>0.54912748904851871</v>
      </c>
      <c r="E560">
        <v>3.2103328032917489</v>
      </c>
      <c r="J560">
        <v>20</v>
      </c>
      <c r="K560">
        <v>0.15505383998970501</v>
      </c>
      <c r="L560">
        <v>18.431420345531258</v>
      </c>
      <c r="M560">
        <v>10</v>
      </c>
      <c r="N560">
        <v>3.855938871311082E-2</v>
      </c>
      <c r="O560">
        <v>102.25515668897744</v>
      </c>
      <c r="P560" s="1">
        <f t="shared" si="40"/>
        <v>4.3102348940895965</v>
      </c>
      <c r="Q560" s="1">
        <f t="shared" si="41"/>
        <v>0.64653523411343949</v>
      </c>
      <c r="R560" s="1">
        <f t="shared" si="42"/>
        <v>0.80407414714902969</v>
      </c>
      <c r="S560" s="1">
        <f t="shared" si="43"/>
        <v>0.14488023485103138</v>
      </c>
      <c r="T560" s="56">
        <f t="shared" si="44"/>
        <v>0.55707835434607589</v>
      </c>
    </row>
    <row r="561" spans="1:20" x14ac:dyDescent="0.25">
      <c r="A561">
        <v>0.5870325452883961</v>
      </c>
      <c r="B561">
        <v>-0.73047203841269948</v>
      </c>
      <c r="D561">
        <v>0.55010209596324655</v>
      </c>
      <c r="E561">
        <v>-1.9760107113597769</v>
      </c>
      <c r="J561">
        <v>20</v>
      </c>
      <c r="K561">
        <v>-0.28263303875064594</v>
      </c>
      <c r="L561">
        <v>9.1521017711484252</v>
      </c>
      <c r="M561">
        <v>10</v>
      </c>
      <c r="N561">
        <v>-0.37707707519984979</v>
      </c>
      <c r="O561">
        <v>67.46983571666162</v>
      </c>
      <c r="P561" s="1">
        <f t="shared" si="40"/>
        <v>2.7364977674217874</v>
      </c>
      <c r="Q561" s="1">
        <f t="shared" si="41"/>
        <v>0.41047466511326808</v>
      </c>
      <c r="R561" s="1">
        <f t="shared" si="42"/>
        <v>0.64068296770966848</v>
      </c>
      <c r="S561" s="1">
        <f t="shared" si="43"/>
        <v>0.14741149868057996</v>
      </c>
      <c r="T561" s="56">
        <f t="shared" si="44"/>
        <v>0.55806820296433934</v>
      </c>
    </row>
    <row r="562" spans="1:20" x14ac:dyDescent="0.25">
      <c r="A562">
        <v>0.58734767075459604</v>
      </c>
      <c r="B562">
        <v>0.40122586142388172</v>
      </c>
      <c r="D562">
        <v>0.55037834486293036</v>
      </c>
      <c r="E562">
        <v>-3.6127805776686728</v>
      </c>
      <c r="J562">
        <v>20</v>
      </c>
      <c r="K562">
        <v>-0.21381003989517922</v>
      </c>
      <c r="L562">
        <v>9.004659869048929</v>
      </c>
      <c r="M562">
        <v>10</v>
      </c>
      <c r="N562">
        <v>-0.34736388329292822</v>
      </c>
      <c r="O562">
        <v>143.11525967904618</v>
      </c>
      <c r="P562" s="1">
        <f t="shared" si="40"/>
        <v>5.4328542695748254</v>
      </c>
      <c r="Q562" s="1">
        <f t="shared" si="41"/>
        <v>0.81492814043622375</v>
      </c>
      <c r="R562" s="1">
        <f t="shared" si="42"/>
        <v>0.90273370405464737</v>
      </c>
      <c r="S562" s="1">
        <f t="shared" si="43"/>
        <v>0.147943787628499</v>
      </c>
      <c r="T562" s="56">
        <f t="shared" si="44"/>
        <v>0.55827630569760978</v>
      </c>
    </row>
    <row r="563" spans="1:20" x14ac:dyDescent="0.25">
      <c r="A563">
        <v>0.58949206080467387</v>
      </c>
      <c r="B563">
        <v>-0.39245378502528183</v>
      </c>
      <c r="D563">
        <v>0.55350756253317801</v>
      </c>
      <c r="E563">
        <v>-4.6550683271107118</v>
      </c>
      <c r="J563">
        <v>20</v>
      </c>
      <c r="K563">
        <v>0.10724016874519293</v>
      </c>
      <c r="L563">
        <v>19.578105967891968</v>
      </c>
      <c r="M563">
        <v>10</v>
      </c>
      <c r="N563">
        <v>2.8314613018665113E-2</v>
      </c>
      <c r="O563">
        <v>29.108261212137457</v>
      </c>
      <c r="P563" s="1">
        <f t="shared" si="40"/>
        <v>1.7387988278581936</v>
      </c>
      <c r="Q563" s="1">
        <f t="shared" si="41"/>
        <v>0.26081982417872901</v>
      </c>
      <c r="R563" s="1">
        <f t="shared" si="42"/>
        <v>0.51070522239226124</v>
      </c>
      <c r="S563" s="1">
        <f t="shared" si="43"/>
        <v>0.15454229223821578</v>
      </c>
      <c r="T563" s="56">
        <f t="shared" si="44"/>
        <v>0.56085461827374428</v>
      </c>
    </row>
    <row r="564" spans="1:20" x14ac:dyDescent="0.25">
      <c r="A564">
        <v>0.58972253263145047</v>
      </c>
      <c r="B564">
        <v>-0.23850816432968713</v>
      </c>
      <c r="D564">
        <v>0.55361624195749015</v>
      </c>
      <c r="E564">
        <v>-0.37022278206677584</v>
      </c>
      <c r="J564">
        <v>20</v>
      </c>
      <c r="K564">
        <v>-0.19991273347841343</v>
      </c>
      <c r="L564">
        <v>16.448136729731957</v>
      </c>
      <c r="M564">
        <v>10</v>
      </c>
      <c r="N564">
        <v>-0.31168349664767447</v>
      </c>
      <c r="O564">
        <v>81.001328271440769</v>
      </c>
      <c r="P564" s="1">
        <f t="shared" si="40"/>
        <v>3.4803380357561688</v>
      </c>
      <c r="Q564" s="1">
        <f t="shared" si="41"/>
        <v>0.52205070536342535</v>
      </c>
      <c r="R564" s="1">
        <f t="shared" si="42"/>
        <v>0.72253076430241037</v>
      </c>
      <c r="S564" s="1">
        <f t="shared" si="43"/>
        <v>0.15469343132700181</v>
      </c>
      <c r="T564" s="56">
        <f t="shared" si="44"/>
        <v>0.56091364323082094</v>
      </c>
    </row>
    <row r="565" spans="1:20" x14ac:dyDescent="0.25">
      <c r="A565">
        <v>0.58982240328452085</v>
      </c>
      <c r="B565">
        <v>-0.8930373951443471</v>
      </c>
      <c r="D565">
        <v>0.55420104978112106</v>
      </c>
      <c r="E565">
        <v>1.9465603566004575</v>
      </c>
      <c r="J565">
        <v>20</v>
      </c>
      <c r="K565">
        <v>-0.32841336405908805</v>
      </c>
      <c r="L565">
        <v>28.898140355225518</v>
      </c>
      <c r="M565">
        <v>10</v>
      </c>
      <c r="N565">
        <v>-0.49572895818528195</v>
      </c>
      <c r="O565">
        <v>180.70312647775367</v>
      </c>
      <c r="P565" s="1">
        <f t="shared" si="40"/>
        <v>7.4857595297492567</v>
      </c>
      <c r="Q565" s="1">
        <f t="shared" si="41"/>
        <v>1.1228639294623886</v>
      </c>
      <c r="R565" s="1">
        <f t="shared" si="42"/>
        <v>1.0596527400343891</v>
      </c>
      <c r="S565" s="1">
        <f t="shared" si="43"/>
        <v>0.15789662764498111</v>
      </c>
      <c r="T565" s="56">
        <f t="shared" si="44"/>
        <v>0.56216426238369355</v>
      </c>
    </row>
    <row r="566" spans="1:20" x14ac:dyDescent="0.25">
      <c r="A566">
        <v>0.58992204967230155</v>
      </c>
      <c r="B566">
        <v>9.9420276455930434E-2</v>
      </c>
      <c r="D566">
        <v>0.55585271195876129</v>
      </c>
      <c r="E566">
        <v>4.7374380721976195</v>
      </c>
      <c r="J566">
        <v>20</v>
      </c>
      <c r="K566">
        <v>0.23753887035127264</v>
      </c>
      <c r="L566">
        <v>21.375532112258249</v>
      </c>
      <c r="M566">
        <v>10</v>
      </c>
      <c r="N566">
        <v>0.13034866356065322</v>
      </c>
      <c r="O566">
        <v>58.660985423892797</v>
      </c>
      <c r="P566" s="1">
        <f t="shared" si="40"/>
        <v>2.8584470548625376</v>
      </c>
      <c r="Q566" s="1">
        <f t="shared" si="41"/>
        <v>0.4287670582293806</v>
      </c>
      <c r="R566" s="1">
        <f t="shared" si="42"/>
        <v>0.65480306828036516</v>
      </c>
      <c r="S566" s="1">
        <f t="shared" si="43"/>
        <v>0.16369838808501747</v>
      </c>
      <c r="T566" s="56">
        <f t="shared" si="44"/>
        <v>0.56442776020216257</v>
      </c>
    </row>
    <row r="567" spans="1:20" x14ac:dyDescent="0.25">
      <c r="A567">
        <v>0.59068753056851642</v>
      </c>
      <c r="B567">
        <v>-0.56262933867401443</v>
      </c>
      <c r="D567">
        <v>0.55770315639404533</v>
      </c>
      <c r="E567">
        <v>3.2893224181407277</v>
      </c>
      <c r="J567">
        <v>20</v>
      </c>
      <c r="K567">
        <v>-8.1720315847633174E-2</v>
      </c>
      <c r="L567">
        <v>19.493681114669243</v>
      </c>
      <c r="M567">
        <v>10</v>
      </c>
      <c r="N567">
        <v>-0.18136632093046501</v>
      </c>
      <c r="O567">
        <v>48.434671407894854</v>
      </c>
      <c r="P567" s="1">
        <f t="shared" si="40"/>
        <v>2.4260125900915748</v>
      </c>
      <c r="Q567" s="1">
        <f t="shared" si="41"/>
        <v>0.36390188851373623</v>
      </c>
      <c r="R567" s="1">
        <f t="shared" si="42"/>
        <v>0.6032428105777442</v>
      </c>
      <c r="S567" s="1">
        <f t="shared" si="43"/>
        <v>0.16518390826307203</v>
      </c>
      <c r="T567" s="56">
        <f t="shared" si="44"/>
        <v>0.56500696632674285</v>
      </c>
    </row>
    <row r="568" spans="1:20" x14ac:dyDescent="0.25">
      <c r="A568">
        <v>0.59094907105609484</v>
      </c>
      <c r="B568">
        <v>1.1774363883887418</v>
      </c>
      <c r="D568">
        <v>0.55959452266973853</v>
      </c>
      <c r="E568">
        <v>1.7568829628089588</v>
      </c>
      <c r="J568">
        <v>20</v>
      </c>
      <c r="K568">
        <v>-0.20138145373493899</v>
      </c>
      <c r="L568">
        <v>24.962040521061716</v>
      </c>
      <c r="M568">
        <v>10</v>
      </c>
      <c r="N568">
        <v>-0.31295292387767404</v>
      </c>
      <c r="O568">
        <v>56.207734401858588</v>
      </c>
      <c r="P568" s="1">
        <f t="shared" si="40"/>
        <v>2.8989205329614398</v>
      </c>
      <c r="Q568" s="1">
        <f t="shared" si="41"/>
        <v>0.43483807994421597</v>
      </c>
      <c r="R568" s="1">
        <f t="shared" si="42"/>
        <v>0.65942253521108596</v>
      </c>
      <c r="S568" s="1">
        <f t="shared" si="43"/>
        <v>0.16919571926218779</v>
      </c>
      <c r="T568" s="56">
        <f t="shared" si="44"/>
        <v>0.56657043792349748</v>
      </c>
    </row>
    <row r="569" spans="1:20" x14ac:dyDescent="0.25">
      <c r="A569">
        <v>0.59128480962631136</v>
      </c>
      <c r="B569">
        <v>-0.6367190508171916</v>
      </c>
      <c r="D569">
        <v>0.55987542018892045</v>
      </c>
      <c r="E569">
        <v>0.10775306350296887</v>
      </c>
      <c r="J569">
        <v>20</v>
      </c>
      <c r="K569">
        <v>0.58545492720440961</v>
      </c>
      <c r="L569">
        <v>13.258867767677284</v>
      </c>
      <c r="M569">
        <v>10</v>
      </c>
      <c r="N569">
        <v>0.45624426206813951</v>
      </c>
      <c r="O569">
        <v>93.22124987623404</v>
      </c>
      <c r="P569" s="1">
        <f t="shared" si="40"/>
        <v>3.8028613444254047</v>
      </c>
      <c r="Q569" s="1">
        <f t="shared" si="41"/>
        <v>0.57042920166381073</v>
      </c>
      <c r="R569" s="1">
        <f t="shared" si="42"/>
        <v>0.75526763578470035</v>
      </c>
      <c r="S569" s="1">
        <f t="shared" si="43"/>
        <v>0.17107930886251219</v>
      </c>
      <c r="T569" s="56">
        <f t="shared" si="44"/>
        <v>0.56730412799197494</v>
      </c>
    </row>
    <row r="570" spans="1:20" x14ac:dyDescent="0.25">
      <c r="A570">
        <v>0.59146705706005032</v>
      </c>
      <c r="B570">
        <v>-0.91293259174562991</v>
      </c>
      <c r="D570">
        <v>0.56240561182672277</v>
      </c>
      <c r="E570">
        <v>2.9610584954298247</v>
      </c>
      <c r="J570">
        <v>20</v>
      </c>
      <c r="K570">
        <v>1.2049667930114083E-3</v>
      </c>
      <c r="L570">
        <v>10.626353954169124</v>
      </c>
      <c r="M570">
        <v>10</v>
      </c>
      <c r="N570">
        <v>-0.11726706702575029</v>
      </c>
      <c r="O570">
        <v>74.795633565159264</v>
      </c>
      <c r="P570" s="1">
        <f t="shared" si="40"/>
        <v>3.0507852685474424</v>
      </c>
      <c r="Q570" s="1">
        <f t="shared" si="41"/>
        <v>0.45761779028211635</v>
      </c>
      <c r="R570" s="1">
        <f t="shared" si="42"/>
        <v>0.67647453040163774</v>
      </c>
      <c r="S570" s="1">
        <f t="shared" si="43"/>
        <v>0.17513155114416837</v>
      </c>
      <c r="T570" s="56">
        <f t="shared" si="44"/>
        <v>0.56888171258464437</v>
      </c>
    </row>
    <row r="571" spans="1:20" x14ac:dyDescent="0.25">
      <c r="A571">
        <v>0.59202193298357064</v>
      </c>
      <c r="B571">
        <v>0.496695520268986</v>
      </c>
      <c r="D571">
        <v>0.56467772937023797</v>
      </c>
      <c r="E571">
        <v>-0.50901735789921077</v>
      </c>
      <c r="J571">
        <v>20</v>
      </c>
      <c r="K571">
        <v>-0.22127227339296951</v>
      </c>
      <c r="L571">
        <v>28.575453443335959</v>
      </c>
      <c r="M571">
        <v>10</v>
      </c>
      <c r="N571">
        <v>-0.35919595461564313</v>
      </c>
      <c r="O571">
        <v>86.03057879085074</v>
      </c>
      <c r="P571" s="1">
        <f t="shared" si="40"/>
        <v>4.0930725797923824</v>
      </c>
      <c r="Q571" s="1">
        <f t="shared" si="41"/>
        <v>0.61396088696885731</v>
      </c>
      <c r="R571" s="1">
        <f t="shared" si="42"/>
        <v>0.78355656271188068</v>
      </c>
      <c r="S571" s="1">
        <f t="shared" si="43"/>
        <v>0.17602262272594754</v>
      </c>
      <c r="T571" s="56">
        <f t="shared" si="44"/>
        <v>0.56922846261876148</v>
      </c>
    </row>
    <row r="572" spans="1:20" x14ac:dyDescent="0.25">
      <c r="A572">
        <v>0.59413562249302698</v>
      </c>
      <c r="B572">
        <v>0.21597770683001727</v>
      </c>
      <c r="D572">
        <v>0.56491922439940911</v>
      </c>
      <c r="E572">
        <v>0.24798350409582781</v>
      </c>
      <c r="J572">
        <v>20</v>
      </c>
      <c r="K572">
        <v>-0.1764265675774368</v>
      </c>
      <c r="L572">
        <v>14.962197873464211</v>
      </c>
      <c r="M572">
        <v>10</v>
      </c>
      <c r="N572">
        <v>-0.32381877076659293</v>
      </c>
      <c r="O572">
        <v>102.78441126276164</v>
      </c>
      <c r="P572" s="1">
        <f t="shared" si="40"/>
        <v>4.2052360405794946</v>
      </c>
      <c r="Q572" s="1">
        <f t="shared" si="41"/>
        <v>0.63078540608692413</v>
      </c>
      <c r="R572" s="1">
        <f t="shared" si="42"/>
        <v>0.79421999854380654</v>
      </c>
      <c r="S572" s="1">
        <f t="shared" si="43"/>
        <v>0.18558107760997972</v>
      </c>
      <c r="T572" s="56">
        <f t="shared" si="44"/>
        <v>0.5729444282334718</v>
      </c>
    </row>
    <row r="573" spans="1:20" x14ac:dyDescent="0.25">
      <c r="A573">
        <v>0.59483347986951463</v>
      </c>
      <c r="B573">
        <v>1.4123679648037069</v>
      </c>
      <c r="D573">
        <v>0.56677504101914467</v>
      </c>
      <c r="E573">
        <v>-1.0141654945527989</v>
      </c>
      <c r="J573">
        <v>20</v>
      </c>
      <c r="K573">
        <v>-6.8327892677189084E-2</v>
      </c>
      <c r="L573">
        <v>8.9769789762754613</v>
      </c>
      <c r="M573">
        <v>10</v>
      </c>
      <c r="N573">
        <v>-0.24882297452677449</v>
      </c>
      <c r="O573">
        <v>159.19068854913638</v>
      </c>
      <c r="P573" s="1">
        <f t="shared" si="40"/>
        <v>6.0059881259075656</v>
      </c>
      <c r="Q573" s="1">
        <f t="shared" si="41"/>
        <v>0.90089821888613475</v>
      </c>
      <c r="R573" s="1">
        <f t="shared" si="42"/>
        <v>0.94915658291250071</v>
      </c>
      <c r="S573" s="1">
        <f t="shared" si="43"/>
        <v>0.19016365170827096</v>
      </c>
      <c r="T573" s="56">
        <f t="shared" si="44"/>
        <v>0.57472356450038542</v>
      </c>
    </row>
    <row r="574" spans="1:20" x14ac:dyDescent="0.25">
      <c r="A574">
        <v>0.59548026283572841</v>
      </c>
      <c r="B574">
        <v>0.3553702754288679</v>
      </c>
      <c r="D574">
        <v>0.56707580978760808</v>
      </c>
      <c r="E574">
        <v>-3.1980578148704808</v>
      </c>
      <c r="J574">
        <v>20</v>
      </c>
      <c r="K574">
        <v>0.25470285436313134</v>
      </c>
      <c r="L574">
        <v>21.477368015277502</v>
      </c>
      <c r="M574">
        <v>10</v>
      </c>
      <c r="N574">
        <v>5.2893479960403056E-2</v>
      </c>
      <c r="O574">
        <v>187.50352300895227</v>
      </c>
      <c r="P574" s="1">
        <f t="shared" si="40"/>
        <v>7.4636032508653489</v>
      </c>
      <c r="Q574" s="1">
        <f t="shared" si="41"/>
        <v>1.1195404876298023</v>
      </c>
      <c r="R574" s="1">
        <f t="shared" si="42"/>
        <v>1.0580834029649091</v>
      </c>
      <c r="S574" s="1">
        <f t="shared" si="43"/>
        <v>0.19073106509111476</v>
      </c>
      <c r="T574" s="56">
        <f t="shared" si="44"/>
        <v>0.57494374601225329</v>
      </c>
    </row>
    <row r="575" spans="1:20" x14ac:dyDescent="0.25">
      <c r="A575">
        <v>0.59599586617344857</v>
      </c>
      <c r="B575">
        <v>-0.89417653725831769</v>
      </c>
      <c r="D575">
        <v>0.56782715984931165</v>
      </c>
      <c r="E575">
        <v>5.1314038921645988</v>
      </c>
      <c r="J575">
        <v>20</v>
      </c>
      <c r="K575">
        <v>0.12543807770271087</v>
      </c>
      <c r="L575">
        <v>12.696517780525443</v>
      </c>
      <c r="M575">
        <v>10</v>
      </c>
      <c r="N575">
        <v>-1.3851380344931385E-2</v>
      </c>
      <c r="O575">
        <v>85.037419337190215</v>
      </c>
      <c r="P575" s="1">
        <f t="shared" si="40"/>
        <v>3.4904977542041307</v>
      </c>
      <c r="Q575" s="1">
        <f t="shared" si="41"/>
        <v>0.52357466313061962</v>
      </c>
      <c r="R575" s="1">
        <f t="shared" si="42"/>
        <v>0.72358459293341759</v>
      </c>
      <c r="S575" s="1">
        <f t="shared" si="43"/>
        <v>0.19249920383594918</v>
      </c>
      <c r="T575" s="56">
        <f t="shared" si="44"/>
        <v>0.57562970373923061</v>
      </c>
    </row>
    <row r="576" spans="1:20" x14ac:dyDescent="0.25">
      <c r="A576">
        <v>0.59638050765075468</v>
      </c>
      <c r="B576">
        <v>1.4267698134062812E-2</v>
      </c>
      <c r="D576">
        <v>0.5683241900444872</v>
      </c>
      <c r="E576">
        <v>0.5725400990286289</v>
      </c>
      <c r="J576">
        <v>20</v>
      </c>
      <c r="K576">
        <v>8.4083467299933545E-2</v>
      </c>
      <c r="L576">
        <v>16.637396084699134</v>
      </c>
      <c r="M576">
        <v>10</v>
      </c>
      <c r="N576">
        <v>-6.7727686428042944E-2</v>
      </c>
      <c r="O576">
        <v>97.253677690555193</v>
      </c>
      <c r="P576" s="1">
        <f t="shared" si="40"/>
        <v>4.0675383491162256</v>
      </c>
      <c r="Q576" s="1">
        <f t="shared" si="41"/>
        <v>0.61013075236743386</v>
      </c>
      <c r="R576" s="1">
        <f t="shared" si="42"/>
        <v>0.78110866873146012</v>
      </c>
      <c r="S576" s="1">
        <f t="shared" si="43"/>
        <v>0.19435343609042463</v>
      </c>
      <c r="T576" s="56">
        <f t="shared" si="44"/>
        <v>0.57634880243663911</v>
      </c>
    </row>
    <row r="577" spans="1:20" x14ac:dyDescent="0.25">
      <c r="A577">
        <v>0.59682160816412488</v>
      </c>
      <c r="B577">
        <v>0.49349637265549973</v>
      </c>
      <c r="D577">
        <v>0.56834729011860619</v>
      </c>
      <c r="E577">
        <v>-2.5524404952648183</v>
      </c>
      <c r="J577">
        <v>20</v>
      </c>
      <c r="K577">
        <v>-0.25038372086783056</v>
      </c>
      <c r="L577">
        <v>15.404721420228883</v>
      </c>
      <c r="M577">
        <v>10</v>
      </c>
      <c r="N577">
        <v>-0.42669796926020354</v>
      </c>
      <c r="O577">
        <v>134.89347717322963</v>
      </c>
      <c r="P577" s="1">
        <f t="shared" si="40"/>
        <v>5.3677928069092333</v>
      </c>
      <c r="Q577" s="1">
        <f t="shared" si="41"/>
        <v>0.80516892103638493</v>
      </c>
      <c r="R577" s="1">
        <f t="shared" si="42"/>
        <v>0.89731205332168862</v>
      </c>
      <c r="S577" s="1">
        <f t="shared" si="43"/>
        <v>0.1964915635978467</v>
      </c>
      <c r="T577" s="56">
        <f t="shared" si="44"/>
        <v>0.57717766708019214</v>
      </c>
    </row>
    <row r="578" spans="1:20" x14ac:dyDescent="0.25">
      <c r="A578">
        <v>0.6020551810682917</v>
      </c>
      <c r="B578">
        <v>-0.90138883024337701</v>
      </c>
      <c r="D578">
        <v>0.56881414852500378</v>
      </c>
      <c r="E578">
        <v>-2.9709797252053249</v>
      </c>
      <c r="J578">
        <v>20</v>
      </c>
      <c r="K578">
        <v>-1.2242992397659691E-2</v>
      </c>
      <c r="L578">
        <v>12.372797108617444</v>
      </c>
      <c r="M578">
        <v>10</v>
      </c>
      <c r="N578">
        <v>-9.7504997711439501E-2</v>
      </c>
      <c r="O578">
        <v>22.267984516185276</v>
      </c>
      <c r="P578" s="1">
        <f t="shared" ref="P578:P641" si="45">(L578+O578)/(J578+M578-2)</f>
        <v>1.2371707723143828</v>
      </c>
      <c r="Q578" s="1">
        <f t="shared" ref="Q578:Q641" si="46">P578*0.15</f>
        <v>0.1855756158471574</v>
      </c>
      <c r="R578" s="1">
        <f t="shared" ref="R578:R641" si="47">SQRT(Q578)</f>
        <v>0.43078488349425331</v>
      </c>
      <c r="S578" s="1">
        <f t="shared" ref="S578:S641" si="48">(K578-N578)/R578</f>
        <v>0.19792246334687649</v>
      </c>
      <c r="T578" s="56">
        <f t="shared" ref="T578:T641" si="49">_xlfn.T.DIST(S578,28,TRUE)</f>
        <v>0.57773216753226864</v>
      </c>
    </row>
    <row r="579" spans="1:20" x14ac:dyDescent="0.25">
      <c r="A579">
        <v>0.60454387832452017</v>
      </c>
      <c r="B579">
        <v>0.43579689190664794</v>
      </c>
      <c r="D579">
        <v>0.56966409337834356</v>
      </c>
      <c r="E579">
        <v>1.0539640663864702</v>
      </c>
      <c r="J579">
        <v>20</v>
      </c>
      <c r="K579">
        <v>-1.7332524748780997E-2</v>
      </c>
      <c r="L579">
        <v>19.320244496227705</v>
      </c>
      <c r="M579">
        <v>10</v>
      </c>
      <c r="N579">
        <v>-0.14557713598151167</v>
      </c>
      <c r="O579">
        <v>56.354140969143884</v>
      </c>
      <c r="P579" s="1">
        <f t="shared" si="45"/>
        <v>2.702656623763271</v>
      </c>
      <c r="Q579" s="1">
        <f t="shared" si="46"/>
        <v>0.40539849356449065</v>
      </c>
      <c r="R579" s="1">
        <f t="shared" si="47"/>
        <v>0.63670911220469484</v>
      </c>
      <c r="S579" s="1">
        <f t="shared" si="48"/>
        <v>0.20141789833769722</v>
      </c>
      <c r="T579" s="56">
        <f t="shared" si="49"/>
        <v>0.5790860288949724</v>
      </c>
    </row>
    <row r="580" spans="1:20" x14ac:dyDescent="0.25">
      <c r="A580">
        <v>0.60534349142315147</v>
      </c>
      <c r="B580">
        <v>1.0306985132046975</v>
      </c>
      <c r="D580">
        <v>0.57203818914445281</v>
      </c>
      <c r="E580">
        <v>-3.8593468650560681</v>
      </c>
      <c r="J580">
        <v>20</v>
      </c>
      <c r="K580">
        <v>-8.5850842879153788E-2</v>
      </c>
      <c r="L580">
        <v>17.467077459526259</v>
      </c>
      <c r="M580">
        <v>10</v>
      </c>
      <c r="N580">
        <v>-0.22554013753506297</v>
      </c>
      <c r="O580">
        <v>53.463716817546008</v>
      </c>
      <c r="P580" s="1">
        <f t="shared" si="45"/>
        <v>2.5332426527525809</v>
      </c>
      <c r="Q580" s="1">
        <f t="shared" si="46"/>
        <v>0.37998639791288713</v>
      </c>
      <c r="R580" s="1">
        <f t="shared" si="47"/>
        <v>0.61643036744865765</v>
      </c>
      <c r="S580" s="1">
        <f t="shared" si="48"/>
        <v>0.226610014743545</v>
      </c>
      <c r="T580" s="56">
        <f t="shared" si="49"/>
        <v>0.58881336848840127</v>
      </c>
    </row>
    <row r="581" spans="1:20" x14ac:dyDescent="0.25">
      <c r="A581">
        <v>0.60558499299077173</v>
      </c>
      <c r="B581">
        <v>0.31137460609897971</v>
      </c>
      <c r="D581">
        <v>0.5745456927649969</v>
      </c>
      <c r="E581">
        <v>-3.9905675066620461E-2</v>
      </c>
      <c r="J581">
        <v>20</v>
      </c>
      <c r="K581">
        <v>0.35661980746226618</v>
      </c>
      <c r="L581">
        <v>21.097566521807003</v>
      </c>
      <c r="M581">
        <v>10</v>
      </c>
      <c r="N581">
        <v>0.18903085333477065</v>
      </c>
      <c r="O581">
        <v>78.896567186307678</v>
      </c>
      <c r="P581" s="1">
        <f t="shared" si="45"/>
        <v>3.5712190610040957</v>
      </c>
      <c r="Q581" s="1">
        <f t="shared" si="46"/>
        <v>0.53568285915061431</v>
      </c>
      <c r="R581" s="1">
        <f t="shared" si="47"/>
        <v>0.73190358596649485</v>
      </c>
      <c r="S581" s="1">
        <f t="shared" si="48"/>
        <v>0.22897681790449301</v>
      </c>
      <c r="T581" s="56">
        <f t="shared" si="49"/>
        <v>0.58972440534471593</v>
      </c>
    </row>
    <row r="582" spans="1:20" x14ac:dyDescent="0.25">
      <c r="A582">
        <v>0.60562371769379597</v>
      </c>
      <c r="B582">
        <v>-0.72817556429072283</v>
      </c>
      <c r="D582">
        <v>0.5749150962144719</v>
      </c>
      <c r="E582">
        <v>-4.0631782701439079</v>
      </c>
      <c r="J582">
        <v>20</v>
      </c>
      <c r="K582">
        <v>-0.1048180706675339</v>
      </c>
      <c r="L582">
        <v>18.365306327788318</v>
      </c>
      <c r="M582">
        <v>10</v>
      </c>
      <c r="N582">
        <v>-0.29278908527885505</v>
      </c>
      <c r="O582">
        <v>105.9784336355345</v>
      </c>
      <c r="P582" s="1">
        <f t="shared" si="45"/>
        <v>4.440847855832958</v>
      </c>
      <c r="Q582" s="1">
        <f t="shared" si="46"/>
        <v>0.66612717837494373</v>
      </c>
      <c r="R582" s="1">
        <f t="shared" si="47"/>
        <v>0.81616614630536088</v>
      </c>
      <c r="S582" s="1">
        <f t="shared" si="48"/>
        <v>0.23030974203259047</v>
      </c>
      <c r="T582" s="56">
        <f t="shared" si="49"/>
        <v>0.59023725414819928</v>
      </c>
    </row>
    <row r="583" spans="1:20" x14ac:dyDescent="0.25">
      <c r="A583">
        <v>0.60563152627763639</v>
      </c>
      <c r="B583">
        <v>0.39451947486668359</v>
      </c>
      <c r="D583">
        <v>0.57772180592009026</v>
      </c>
      <c r="E583">
        <v>-1.9189922147688776</v>
      </c>
      <c r="J583">
        <v>20</v>
      </c>
      <c r="K583">
        <v>0.30469249168163515</v>
      </c>
      <c r="L583">
        <v>20.692194918003242</v>
      </c>
      <c r="M583">
        <v>10</v>
      </c>
      <c r="N583">
        <v>0.12888108017250488</v>
      </c>
      <c r="O583">
        <v>78.805789788619506</v>
      </c>
      <c r="P583" s="1">
        <f t="shared" si="45"/>
        <v>3.5534994538079552</v>
      </c>
      <c r="Q583" s="1">
        <f t="shared" si="46"/>
        <v>0.53302491807119323</v>
      </c>
      <c r="R583" s="1">
        <f t="shared" si="47"/>
        <v>0.73008555530923447</v>
      </c>
      <c r="S583" s="1">
        <f t="shared" si="48"/>
        <v>0.24080932738720426</v>
      </c>
      <c r="T583" s="56">
        <f t="shared" si="49"/>
        <v>0.59427125852809493</v>
      </c>
    </row>
    <row r="584" spans="1:20" x14ac:dyDescent="0.25">
      <c r="A584">
        <v>0.6063126037791462</v>
      </c>
      <c r="B584">
        <v>0.14512806956190616</v>
      </c>
      <c r="D584">
        <v>0.57902813482773219</v>
      </c>
      <c r="E584">
        <v>-5.5671596362572018</v>
      </c>
      <c r="J584">
        <v>20</v>
      </c>
      <c r="K584">
        <v>0.20026249103466398</v>
      </c>
      <c r="L584">
        <v>26.920434449515241</v>
      </c>
      <c r="M584">
        <v>10</v>
      </c>
      <c r="N584">
        <v>-2.9180034744058503E-3</v>
      </c>
      <c r="O584">
        <v>104.45737459196319</v>
      </c>
      <c r="P584" s="1">
        <f t="shared" si="45"/>
        <v>4.6920646086242295</v>
      </c>
      <c r="Q584" s="1">
        <f t="shared" si="46"/>
        <v>0.70380969129363435</v>
      </c>
      <c r="R584" s="1">
        <f t="shared" si="47"/>
        <v>0.8389336632259039</v>
      </c>
      <c r="S584" s="1">
        <f t="shared" si="48"/>
        <v>0.2421889875390045</v>
      </c>
      <c r="T584" s="56">
        <f t="shared" si="49"/>
        <v>0.5948005589748282</v>
      </c>
    </row>
    <row r="585" spans="1:20" x14ac:dyDescent="0.25">
      <c r="A585">
        <v>0.60757095506503822</v>
      </c>
      <c r="B585">
        <v>2.2100721253082156</v>
      </c>
      <c r="D585">
        <v>0.57953812194106891</v>
      </c>
      <c r="E585">
        <v>2.6392406164177373</v>
      </c>
      <c r="J585">
        <v>20</v>
      </c>
      <c r="K585">
        <v>7.6506921686814167E-2</v>
      </c>
      <c r="L585">
        <v>36.606660107268006</v>
      </c>
      <c r="M585">
        <v>10</v>
      </c>
      <c r="N585">
        <v>-0.21245159928184876</v>
      </c>
      <c r="O585">
        <v>216.79521173887269</v>
      </c>
      <c r="P585" s="1">
        <f t="shared" si="45"/>
        <v>9.0500668516478822</v>
      </c>
      <c r="Q585" s="1">
        <f t="shared" si="46"/>
        <v>1.3575100277471823</v>
      </c>
      <c r="R585" s="1">
        <f t="shared" si="47"/>
        <v>1.1651223230833672</v>
      </c>
      <c r="S585" s="1">
        <f t="shared" si="48"/>
        <v>0.24800702487955617</v>
      </c>
      <c r="T585" s="56">
        <f t="shared" si="49"/>
        <v>0.59703060111674922</v>
      </c>
    </row>
    <row r="586" spans="1:20" x14ac:dyDescent="0.25">
      <c r="A586">
        <v>0.60836852624314253</v>
      </c>
      <c r="B586">
        <v>-0.63176116782415193</v>
      </c>
      <c r="D586">
        <v>0.58055934587882219</v>
      </c>
      <c r="E586">
        <v>-1.1913396099316742</v>
      </c>
      <c r="J586">
        <v>20</v>
      </c>
      <c r="K586">
        <v>0.10833821306732716</v>
      </c>
      <c r="L586">
        <v>10.515428026848578</v>
      </c>
      <c r="M586">
        <v>10</v>
      </c>
      <c r="N586">
        <v>-8.9049425469056587E-2</v>
      </c>
      <c r="O586">
        <v>104.54976224063832</v>
      </c>
      <c r="P586" s="1">
        <f t="shared" si="45"/>
        <v>4.1094710809816748</v>
      </c>
      <c r="Q586" s="1">
        <f t="shared" si="46"/>
        <v>0.61642066214725122</v>
      </c>
      <c r="R586" s="1">
        <f t="shared" si="47"/>
        <v>0.78512461568037162</v>
      </c>
      <c r="S586" s="1">
        <f t="shared" si="48"/>
        <v>0.2514093108204638</v>
      </c>
      <c r="T586" s="56">
        <f t="shared" si="49"/>
        <v>0.59833315546132271</v>
      </c>
    </row>
    <row r="587" spans="1:20" x14ac:dyDescent="0.25">
      <c r="A587">
        <v>0.60853361359188873</v>
      </c>
      <c r="B587">
        <v>-0.97381416708230972</v>
      </c>
      <c r="D587">
        <v>0.58255742227700613</v>
      </c>
      <c r="E587">
        <v>6.545372567643426</v>
      </c>
      <c r="J587">
        <v>20</v>
      </c>
      <c r="K587">
        <v>-0.14273291526478715</v>
      </c>
      <c r="L587">
        <v>10.281601944424187</v>
      </c>
      <c r="M587">
        <v>10</v>
      </c>
      <c r="N587">
        <v>-0.27764122364715149</v>
      </c>
      <c r="O587">
        <v>43.265143588203166</v>
      </c>
      <c r="P587" s="1">
        <f t="shared" si="45"/>
        <v>1.9123837690224055</v>
      </c>
      <c r="Q587" s="1">
        <f t="shared" si="46"/>
        <v>0.28685756535336082</v>
      </c>
      <c r="R587" s="1">
        <f t="shared" si="47"/>
        <v>0.53559085630111425</v>
      </c>
      <c r="S587" s="1">
        <f t="shared" si="48"/>
        <v>0.25188687744608845</v>
      </c>
      <c r="T587" s="56">
        <f t="shared" si="49"/>
        <v>0.59851589854900999</v>
      </c>
    </row>
    <row r="588" spans="1:20" x14ac:dyDescent="0.25">
      <c r="A588">
        <v>0.6089974395342489</v>
      </c>
      <c r="B588">
        <v>-0.32416778594779316</v>
      </c>
      <c r="D588">
        <v>0.58265239670334978</v>
      </c>
      <c r="E588">
        <v>-4.9061297920616198</v>
      </c>
      <c r="J588">
        <v>20</v>
      </c>
      <c r="K588">
        <v>3.5685388866113499E-2</v>
      </c>
      <c r="L588">
        <v>19.772762612822447</v>
      </c>
      <c r="M588">
        <v>10</v>
      </c>
      <c r="N588">
        <v>-0.13149304209036927</v>
      </c>
      <c r="O588">
        <v>60.860156453058991</v>
      </c>
      <c r="P588" s="1">
        <f t="shared" si="45"/>
        <v>2.8797471094957658</v>
      </c>
      <c r="Q588" s="1">
        <f t="shared" si="46"/>
        <v>0.43196206642436485</v>
      </c>
      <c r="R588" s="1">
        <f t="shared" si="47"/>
        <v>0.6572382113239954</v>
      </c>
      <c r="S588" s="1">
        <f t="shared" si="48"/>
        <v>0.25436505071685439</v>
      </c>
      <c r="T588" s="56">
        <f t="shared" si="49"/>
        <v>0.5994638174024578</v>
      </c>
    </row>
    <row r="589" spans="1:20" x14ac:dyDescent="0.25">
      <c r="A589">
        <v>0.6090090580497215</v>
      </c>
      <c r="B589">
        <v>-0.68226427174522541</v>
      </c>
      <c r="D589">
        <v>0.58306617377689129</v>
      </c>
      <c r="E589">
        <v>-1.0581861749869859</v>
      </c>
      <c r="J589">
        <v>20</v>
      </c>
      <c r="K589">
        <v>0.12588742492880556</v>
      </c>
      <c r="L589">
        <v>17.40954687986666</v>
      </c>
      <c r="M589">
        <v>10</v>
      </c>
      <c r="N589">
        <v>-1.6816560446386575E-2</v>
      </c>
      <c r="O589">
        <v>40.62186581945231</v>
      </c>
      <c r="P589" s="1">
        <f t="shared" si="45"/>
        <v>2.0725504535471062</v>
      </c>
      <c r="Q589" s="1">
        <f t="shared" si="46"/>
        <v>0.31088256803206593</v>
      </c>
      <c r="R589" s="1">
        <f t="shared" si="47"/>
        <v>0.55756844246430048</v>
      </c>
      <c r="S589" s="1">
        <f t="shared" si="48"/>
        <v>0.25593985331106517</v>
      </c>
      <c r="T589" s="56">
        <f t="shared" si="49"/>
        <v>0.60006587016982937</v>
      </c>
    </row>
    <row r="590" spans="1:20" x14ac:dyDescent="0.25">
      <c r="A590">
        <v>0.61102376779849388</v>
      </c>
      <c r="B590">
        <v>-1.8704895410337485E-2</v>
      </c>
      <c r="D590">
        <v>0.58321170597781735</v>
      </c>
      <c r="E590">
        <v>-0.13423619179775415</v>
      </c>
      <c r="J590">
        <v>20</v>
      </c>
      <c r="K590">
        <v>-4.3382101466704626E-2</v>
      </c>
      <c r="L590">
        <v>18.228945538879479</v>
      </c>
      <c r="M590">
        <v>10</v>
      </c>
      <c r="N590">
        <v>-0.28528336656563624</v>
      </c>
      <c r="O590">
        <v>144.55334367234062</v>
      </c>
      <c r="P590" s="1">
        <f t="shared" si="45"/>
        <v>5.8136531861150038</v>
      </c>
      <c r="Q590" s="1">
        <f t="shared" si="46"/>
        <v>0.87204797791725053</v>
      </c>
      <c r="R590" s="1">
        <f t="shared" si="47"/>
        <v>0.9338350913931488</v>
      </c>
      <c r="S590" s="1">
        <f t="shared" si="48"/>
        <v>0.25904066716752894</v>
      </c>
      <c r="T590" s="56">
        <f t="shared" si="49"/>
        <v>0.6012505884842716</v>
      </c>
    </row>
    <row r="591" spans="1:20" x14ac:dyDescent="0.25">
      <c r="A591">
        <v>0.61163530399451793</v>
      </c>
      <c r="B591">
        <v>-1.0937696970358957</v>
      </c>
      <c r="D591">
        <v>0.58535012123688523</v>
      </c>
      <c r="E591">
        <v>6.2059491449417692</v>
      </c>
      <c r="J591">
        <v>20</v>
      </c>
      <c r="K591">
        <v>-6.742715186192072E-2</v>
      </c>
      <c r="L591">
        <v>23.00504012793364</v>
      </c>
      <c r="M591">
        <v>10</v>
      </c>
      <c r="N591">
        <v>-0.22998347390057461</v>
      </c>
      <c r="O591">
        <v>49.83993659927112</v>
      </c>
      <c r="P591" s="1">
        <f t="shared" si="45"/>
        <v>2.6016063116858845</v>
      </c>
      <c r="Q591" s="1">
        <f t="shared" si="46"/>
        <v>0.39024094675288268</v>
      </c>
      <c r="R591" s="1">
        <f t="shared" si="47"/>
        <v>0.62469268184674831</v>
      </c>
      <c r="S591" s="1">
        <f t="shared" si="48"/>
        <v>0.26021806683903614</v>
      </c>
      <c r="T591" s="56">
        <f t="shared" si="49"/>
        <v>0.60170017706339429</v>
      </c>
    </row>
    <row r="592" spans="1:20" x14ac:dyDescent="0.25">
      <c r="A592">
        <v>0.61458240623703608</v>
      </c>
      <c r="B592">
        <v>4.6029526856727898E-2</v>
      </c>
      <c r="D592">
        <v>0.58655129732028677</v>
      </c>
      <c r="E592">
        <v>2.617617379883086</v>
      </c>
      <c r="J592">
        <v>20</v>
      </c>
      <c r="K592">
        <v>-8.8012257037917152E-2</v>
      </c>
      <c r="L592">
        <v>19.370431558907949</v>
      </c>
      <c r="M592">
        <v>10</v>
      </c>
      <c r="N592">
        <v>-0.25650536258581269</v>
      </c>
      <c r="O592">
        <v>57.827021512643356</v>
      </c>
      <c r="P592" s="1">
        <f t="shared" si="45"/>
        <v>2.7570518954125469</v>
      </c>
      <c r="Q592" s="1">
        <f t="shared" si="46"/>
        <v>0.413557784311882</v>
      </c>
      <c r="R592" s="1">
        <f t="shared" si="47"/>
        <v>0.64308458565874671</v>
      </c>
      <c r="S592" s="1">
        <f t="shared" si="48"/>
        <v>0.26200768811041991</v>
      </c>
      <c r="T592" s="56">
        <f t="shared" si="49"/>
        <v>0.60238326896765093</v>
      </c>
    </row>
    <row r="593" spans="1:20" x14ac:dyDescent="0.25">
      <c r="A593">
        <v>0.61582379467604209</v>
      </c>
      <c r="B593">
        <v>0.98356849775882438</v>
      </c>
      <c r="D593">
        <v>0.58718155695155627</v>
      </c>
      <c r="E593">
        <v>-4.6388474891045917</v>
      </c>
      <c r="J593">
        <v>20</v>
      </c>
      <c r="K593">
        <v>-0.26232862637698418</v>
      </c>
      <c r="L593">
        <v>30.207346044726272</v>
      </c>
      <c r="M593">
        <v>10</v>
      </c>
      <c r="N593">
        <v>-0.42680574438236363</v>
      </c>
      <c r="O593">
        <v>42.484698060376054</v>
      </c>
      <c r="P593" s="1">
        <f t="shared" si="45"/>
        <v>2.5961444323250831</v>
      </c>
      <c r="Q593" s="1">
        <f t="shared" si="46"/>
        <v>0.38942166484876245</v>
      </c>
      <c r="R593" s="1">
        <f t="shared" si="47"/>
        <v>0.62403658935094697</v>
      </c>
      <c r="S593" s="1">
        <f t="shared" si="48"/>
        <v>0.26356967013176286</v>
      </c>
      <c r="T593" s="56">
        <f t="shared" si="49"/>
        <v>0.60297920147677886</v>
      </c>
    </row>
    <row r="594" spans="1:20" x14ac:dyDescent="0.25">
      <c r="A594">
        <v>0.61771587292523922</v>
      </c>
      <c r="B594">
        <v>0.12513282854342833</v>
      </c>
      <c r="D594">
        <v>0.58799578930721053</v>
      </c>
      <c r="E594">
        <v>-0.2810661533203529</v>
      </c>
      <c r="J594">
        <v>20</v>
      </c>
      <c r="K594">
        <v>0.13623491668113274</v>
      </c>
      <c r="L594">
        <v>13.517501599453128</v>
      </c>
      <c r="M594">
        <v>10</v>
      </c>
      <c r="N594">
        <v>-0.13594013012152573</v>
      </c>
      <c r="O594">
        <v>173.83240317068621</v>
      </c>
      <c r="P594" s="1">
        <f t="shared" si="45"/>
        <v>6.6910680275049765</v>
      </c>
      <c r="Q594" s="1">
        <f t="shared" si="46"/>
        <v>1.0036602041257465</v>
      </c>
      <c r="R594" s="1">
        <f t="shared" si="47"/>
        <v>1.0018284304838561</v>
      </c>
      <c r="S594" s="1">
        <f t="shared" si="48"/>
        <v>0.27167830191363734</v>
      </c>
      <c r="T594" s="56">
        <f t="shared" si="49"/>
        <v>0.60606872973948489</v>
      </c>
    </row>
    <row r="595" spans="1:20" x14ac:dyDescent="0.25">
      <c r="A595">
        <v>0.6194939824231469</v>
      </c>
      <c r="B595">
        <v>-1.2324517228989862</v>
      </c>
      <c r="D595">
        <v>0.58964827111609242</v>
      </c>
      <c r="E595">
        <v>-1.0678893465865258</v>
      </c>
      <c r="J595">
        <v>20</v>
      </c>
      <c r="K595">
        <v>-6.8316069246066036E-2</v>
      </c>
      <c r="L595">
        <v>26.330452582479669</v>
      </c>
      <c r="M595">
        <v>10</v>
      </c>
      <c r="N595">
        <v>-0.32750154218774696</v>
      </c>
      <c r="O595">
        <v>141.14601259109392</v>
      </c>
      <c r="P595" s="1">
        <f t="shared" si="45"/>
        <v>5.9813023276276285</v>
      </c>
      <c r="Q595" s="1">
        <f t="shared" si="46"/>
        <v>0.89719534914414423</v>
      </c>
      <c r="R595" s="1">
        <f t="shared" si="47"/>
        <v>0.94720396385580241</v>
      </c>
      <c r="S595" s="1">
        <f t="shared" si="48"/>
        <v>0.2736321667052673</v>
      </c>
      <c r="T595" s="56">
        <f t="shared" si="49"/>
        <v>0.60681214317930565</v>
      </c>
    </row>
    <row r="596" spans="1:20" x14ac:dyDescent="0.25">
      <c r="A596">
        <v>0.61956530696633572</v>
      </c>
      <c r="B596">
        <v>-5.8669229474617168E-2</v>
      </c>
      <c r="D596">
        <v>0.59014864406046685</v>
      </c>
      <c r="E596">
        <v>-0.80091740869647765</v>
      </c>
      <c r="J596">
        <v>20</v>
      </c>
      <c r="K596">
        <v>-0.14842026985206758</v>
      </c>
      <c r="L596">
        <v>19.994899047923543</v>
      </c>
      <c r="M596">
        <v>10</v>
      </c>
      <c r="N596">
        <v>-0.38647363339805452</v>
      </c>
      <c r="O596">
        <v>119.43625452379885</v>
      </c>
      <c r="P596" s="1">
        <f t="shared" si="45"/>
        <v>4.9796840561329434</v>
      </c>
      <c r="Q596" s="1">
        <f t="shared" si="46"/>
        <v>0.74695260841994149</v>
      </c>
      <c r="R596" s="1">
        <f t="shared" si="47"/>
        <v>0.86426420058911468</v>
      </c>
      <c r="S596" s="1">
        <f t="shared" si="48"/>
        <v>0.27544050000418957</v>
      </c>
      <c r="T596" s="56">
        <f t="shared" si="49"/>
        <v>0.60749981861368618</v>
      </c>
    </row>
    <row r="597" spans="1:20" x14ac:dyDescent="0.25">
      <c r="A597">
        <v>0.6231122147128908</v>
      </c>
      <c r="B597">
        <v>0.25048848328879103</v>
      </c>
      <c r="D597">
        <v>0.59071587857190377</v>
      </c>
      <c r="E597">
        <v>-3.0287758397662401</v>
      </c>
      <c r="J597">
        <v>20</v>
      </c>
      <c r="K597">
        <v>0.18707521576288855</v>
      </c>
      <c r="L597">
        <v>19.937087608132551</v>
      </c>
      <c r="M597">
        <v>10</v>
      </c>
      <c r="N597">
        <v>-1.0882138212764403E-3</v>
      </c>
      <c r="O597">
        <v>66.525694085989443</v>
      </c>
      <c r="P597" s="1">
        <f t="shared" si="45"/>
        <v>3.0879564890757853</v>
      </c>
      <c r="Q597" s="1">
        <f t="shared" si="46"/>
        <v>0.46319347336136779</v>
      </c>
      <c r="R597" s="1">
        <f t="shared" si="47"/>
        <v>0.68058318621706182</v>
      </c>
      <c r="S597" s="1">
        <f t="shared" si="48"/>
        <v>0.27647381450906588</v>
      </c>
      <c r="T597" s="56">
        <f t="shared" si="49"/>
        <v>0.60789261018561103</v>
      </c>
    </row>
    <row r="598" spans="1:20" x14ac:dyDescent="0.25">
      <c r="A598">
        <v>0.62494570470246247</v>
      </c>
      <c r="B598">
        <v>0.35912080420530401</v>
      </c>
      <c r="D598">
        <v>0.59286215515857243</v>
      </c>
      <c r="E598">
        <v>-5.9853543950794119</v>
      </c>
      <c r="J598">
        <v>20</v>
      </c>
      <c r="K598">
        <v>-6.0634022247540997E-2</v>
      </c>
      <c r="L598">
        <v>20.384320931974244</v>
      </c>
      <c r="M598">
        <v>10</v>
      </c>
      <c r="N598">
        <v>-0.30718286211595114</v>
      </c>
      <c r="O598">
        <v>115.56710434325859</v>
      </c>
      <c r="P598" s="1">
        <f t="shared" si="45"/>
        <v>4.8554080455440305</v>
      </c>
      <c r="Q598" s="1">
        <f t="shared" si="46"/>
        <v>0.72831120683160455</v>
      </c>
      <c r="R598" s="1">
        <f t="shared" si="47"/>
        <v>0.85341151083847266</v>
      </c>
      <c r="S598" s="1">
        <f t="shared" si="48"/>
        <v>0.28889795454736378</v>
      </c>
      <c r="T598" s="56">
        <f t="shared" si="49"/>
        <v>0.6126061839892103</v>
      </c>
    </row>
    <row r="599" spans="1:20" x14ac:dyDescent="0.25">
      <c r="A599">
        <v>0.62527278869558267</v>
      </c>
      <c r="B599">
        <v>0.78719949669903144</v>
      </c>
      <c r="D599">
        <v>0.59357830893462249</v>
      </c>
      <c r="E599">
        <v>-0.74121817647210264</v>
      </c>
      <c r="J599">
        <v>20</v>
      </c>
      <c r="K599">
        <v>0.10843012887562509</v>
      </c>
      <c r="L599">
        <v>21.308040704153676</v>
      </c>
      <c r="M599">
        <v>10</v>
      </c>
      <c r="N599">
        <v>-0.12791975109394116</v>
      </c>
      <c r="O599">
        <v>100.74223499833771</v>
      </c>
      <c r="P599" s="1">
        <f t="shared" si="45"/>
        <v>4.3589384179461206</v>
      </c>
      <c r="Q599" s="1">
        <f t="shared" si="46"/>
        <v>0.65384076269191804</v>
      </c>
      <c r="R599" s="1">
        <f t="shared" si="47"/>
        <v>0.80860420645203057</v>
      </c>
      <c r="S599" s="1">
        <f t="shared" si="48"/>
        <v>0.29229365625812809</v>
      </c>
      <c r="T599" s="56">
        <f t="shared" si="49"/>
        <v>0.61389146792825999</v>
      </c>
    </row>
    <row r="600" spans="1:20" x14ac:dyDescent="0.25">
      <c r="A600">
        <v>0.62639607496465122</v>
      </c>
      <c r="B600">
        <v>0.21167352315387689</v>
      </c>
      <c r="D600">
        <v>0.59577243042633898</v>
      </c>
      <c r="E600">
        <v>3.3737962860413973</v>
      </c>
      <c r="J600">
        <v>20</v>
      </c>
      <c r="K600">
        <v>0.11937703447983949</v>
      </c>
      <c r="L600">
        <v>16.371729960290839</v>
      </c>
      <c r="M600">
        <v>10</v>
      </c>
      <c r="N600">
        <v>-8.3517765006035916E-2</v>
      </c>
      <c r="O600">
        <v>73.394966421260051</v>
      </c>
      <c r="P600" s="1">
        <f t="shared" si="45"/>
        <v>3.2059534421982461</v>
      </c>
      <c r="Q600" s="1">
        <f t="shared" si="46"/>
        <v>0.48089301632973691</v>
      </c>
      <c r="R600" s="1">
        <f t="shared" si="47"/>
        <v>0.69346450257366232</v>
      </c>
      <c r="S600" s="1">
        <f t="shared" si="48"/>
        <v>0.2925813776089039</v>
      </c>
      <c r="T600" s="56">
        <f t="shared" si="49"/>
        <v>0.61400031106941744</v>
      </c>
    </row>
    <row r="601" spans="1:20" x14ac:dyDescent="0.25">
      <c r="A601">
        <v>0.62640645201758283</v>
      </c>
      <c r="B601">
        <v>0.62430672187474556</v>
      </c>
      <c r="D601">
        <v>0.5981385330469241</v>
      </c>
      <c r="E601">
        <v>-4.8726649345098849</v>
      </c>
      <c r="J601">
        <v>20</v>
      </c>
      <c r="K601">
        <v>-2.3943584892549552E-2</v>
      </c>
      <c r="L601">
        <v>14.392331739929057</v>
      </c>
      <c r="M601">
        <v>10</v>
      </c>
      <c r="N601">
        <v>-0.2780961983717134</v>
      </c>
      <c r="O601">
        <v>122.98351846664164</v>
      </c>
      <c r="P601" s="1">
        <f t="shared" si="45"/>
        <v>4.9062803645203825</v>
      </c>
      <c r="Q601" s="1">
        <f t="shared" si="46"/>
        <v>0.7359420546780574</v>
      </c>
      <c r="R601" s="1">
        <f t="shared" si="47"/>
        <v>0.85787065148427677</v>
      </c>
      <c r="S601" s="1">
        <f t="shared" si="48"/>
        <v>0.29625983012640922</v>
      </c>
      <c r="T601" s="56">
        <f t="shared" si="49"/>
        <v>0.61539100950603953</v>
      </c>
    </row>
    <row r="602" spans="1:20" x14ac:dyDescent="0.25">
      <c r="A602">
        <v>0.62972498073379457</v>
      </c>
      <c r="B602">
        <v>-0.57865463531925343</v>
      </c>
      <c r="D602">
        <v>0.59838433492885423</v>
      </c>
      <c r="E602">
        <v>2.3316449608046241</v>
      </c>
      <c r="J602">
        <v>20</v>
      </c>
      <c r="K602">
        <v>0.17033067933880375</v>
      </c>
      <c r="L602">
        <v>31.0017210551005</v>
      </c>
      <c r="M602">
        <v>10</v>
      </c>
      <c r="N602">
        <v>-2.1296731347320019E-2</v>
      </c>
      <c r="O602">
        <v>44.907430969500901</v>
      </c>
      <c r="P602" s="1">
        <f t="shared" si="45"/>
        <v>2.711041143735764</v>
      </c>
      <c r="Q602" s="1">
        <f t="shared" si="46"/>
        <v>0.4066561715603646</v>
      </c>
      <c r="R602" s="1">
        <f t="shared" si="47"/>
        <v>0.637695986783957</v>
      </c>
      <c r="S602" s="1">
        <f t="shared" si="48"/>
        <v>0.30049963408511243</v>
      </c>
      <c r="T602" s="56">
        <f t="shared" si="49"/>
        <v>0.61699199473440425</v>
      </c>
    </row>
    <row r="603" spans="1:20" x14ac:dyDescent="0.25">
      <c r="A603">
        <v>0.63220770405679882</v>
      </c>
      <c r="B603">
        <v>-0.73437149694655091</v>
      </c>
      <c r="D603">
        <v>0.59852722512498291</v>
      </c>
      <c r="E603">
        <v>-0.4055430088101275</v>
      </c>
      <c r="J603">
        <v>20</v>
      </c>
      <c r="K603">
        <v>-0.20589538962667575</v>
      </c>
      <c r="L603">
        <v>10.088596013658877</v>
      </c>
      <c r="M603">
        <v>10</v>
      </c>
      <c r="N603">
        <v>-0.39733300013722328</v>
      </c>
      <c r="O603">
        <v>65.499795112399212</v>
      </c>
      <c r="P603" s="1">
        <f t="shared" si="45"/>
        <v>2.6995853973592174</v>
      </c>
      <c r="Q603" s="1">
        <f t="shared" si="46"/>
        <v>0.40493780960388259</v>
      </c>
      <c r="R603" s="1">
        <f t="shared" si="47"/>
        <v>0.63634723980220309</v>
      </c>
      <c r="S603" s="1">
        <f t="shared" si="48"/>
        <v>0.30083828220902226</v>
      </c>
      <c r="T603" s="56">
        <f t="shared" si="49"/>
        <v>0.61711978067882023</v>
      </c>
    </row>
    <row r="604" spans="1:20" x14ac:dyDescent="0.25">
      <c r="A604">
        <v>0.63263390417339438</v>
      </c>
      <c r="B604">
        <v>0.63325614974019118</v>
      </c>
      <c r="D604">
        <v>0.60005060691767065</v>
      </c>
      <c r="E604">
        <v>-4.7560904511101398</v>
      </c>
      <c r="J604">
        <v>20</v>
      </c>
      <c r="K604">
        <v>0.34639657542356872</v>
      </c>
      <c r="L604">
        <v>14.499419697661653</v>
      </c>
      <c r="M604">
        <v>10</v>
      </c>
      <c r="N604">
        <v>0.12831833032578288</v>
      </c>
      <c r="O604">
        <v>75.88517111463014</v>
      </c>
      <c r="P604" s="1">
        <f t="shared" si="45"/>
        <v>3.2280211004389927</v>
      </c>
      <c r="Q604" s="1">
        <f t="shared" si="46"/>
        <v>0.48420316506584887</v>
      </c>
      <c r="R604" s="1">
        <f t="shared" si="47"/>
        <v>0.69584708454217792</v>
      </c>
      <c r="S604" s="1">
        <f t="shared" si="48"/>
        <v>0.31339966774635136</v>
      </c>
      <c r="T604" s="56">
        <f t="shared" si="49"/>
        <v>0.62185010095047688</v>
      </c>
    </row>
    <row r="605" spans="1:20" x14ac:dyDescent="0.25">
      <c r="A605">
        <v>0.63267995384576481</v>
      </c>
      <c r="B605">
        <v>-1.4094712241785601</v>
      </c>
      <c r="D605">
        <v>0.60108754321877533</v>
      </c>
      <c r="E605">
        <v>0.20555557625812071</v>
      </c>
      <c r="J605">
        <v>20</v>
      </c>
      <c r="K605">
        <v>-8.0527911450190004E-2</v>
      </c>
      <c r="L605">
        <v>26.053373341102638</v>
      </c>
      <c r="M605">
        <v>10</v>
      </c>
      <c r="N605">
        <v>-0.27935300636272586</v>
      </c>
      <c r="O605">
        <v>48.943646062290334</v>
      </c>
      <c r="P605" s="1">
        <f t="shared" si="45"/>
        <v>2.678464978692606</v>
      </c>
      <c r="Q605" s="1">
        <f t="shared" si="46"/>
        <v>0.40176974680389088</v>
      </c>
      <c r="R605" s="1">
        <f t="shared" si="47"/>
        <v>0.63385309560172609</v>
      </c>
      <c r="S605" s="1">
        <f t="shared" si="48"/>
        <v>0.31367693286058385</v>
      </c>
      <c r="T605" s="56">
        <f t="shared" si="49"/>
        <v>0.62195429859097617</v>
      </c>
    </row>
    <row r="606" spans="1:20" x14ac:dyDescent="0.25">
      <c r="A606">
        <v>0.63328993993010785</v>
      </c>
      <c r="B606">
        <v>-1.4611077858717181</v>
      </c>
      <c r="D606">
        <v>0.6020093860954272</v>
      </c>
      <c r="E606">
        <v>1.4509107552385103</v>
      </c>
      <c r="J606">
        <v>20</v>
      </c>
      <c r="K606">
        <v>0.21612004275084473</v>
      </c>
      <c r="L606">
        <v>36.316981858459279</v>
      </c>
      <c r="M606">
        <v>10</v>
      </c>
      <c r="N606">
        <v>-0.12911039334539964</v>
      </c>
      <c r="O606">
        <v>181.9372510983095</v>
      </c>
      <c r="P606" s="1">
        <f t="shared" si="45"/>
        <v>7.7947940341703141</v>
      </c>
      <c r="Q606" s="1">
        <f t="shared" si="46"/>
        <v>1.1692191051255472</v>
      </c>
      <c r="R606" s="1">
        <f t="shared" si="47"/>
        <v>1.0813043536051943</v>
      </c>
      <c r="S606" s="1">
        <f t="shared" si="48"/>
        <v>0.31927221502919695</v>
      </c>
      <c r="T606" s="56">
        <f t="shared" si="49"/>
        <v>0.62405502528150902</v>
      </c>
    </row>
    <row r="607" spans="1:20" x14ac:dyDescent="0.25">
      <c r="A607">
        <v>0.63369539024484101</v>
      </c>
      <c r="B607">
        <v>0.85041847341926768</v>
      </c>
      <c r="D607">
        <v>0.60231367545807712</v>
      </c>
      <c r="E607">
        <v>3.7147681234728225</v>
      </c>
      <c r="J607">
        <v>20</v>
      </c>
      <c r="K607">
        <v>0.44060016080038622</v>
      </c>
      <c r="L607">
        <v>28.9680994120009</v>
      </c>
      <c r="M607">
        <v>10</v>
      </c>
      <c r="N607">
        <v>0.19468188497739902</v>
      </c>
      <c r="O607">
        <v>77.8889045941456</v>
      </c>
      <c r="P607" s="1">
        <f t="shared" si="45"/>
        <v>3.8163215716480892</v>
      </c>
      <c r="Q607" s="1">
        <f t="shared" si="46"/>
        <v>0.57244823574721337</v>
      </c>
      <c r="R607" s="1">
        <f t="shared" si="47"/>
        <v>0.75660308996673642</v>
      </c>
      <c r="S607" s="1">
        <f t="shared" si="48"/>
        <v>0.32502943628448416</v>
      </c>
      <c r="T607" s="56">
        <f t="shared" si="49"/>
        <v>0.62621251204378536</v>
      </c>
    </row>
    <row r="608" spans="1:20" x14ac:dyDescent="0.25">
      <c r="A608">
        <v>0.6354296267247056</v>
      </c>
      <c r="B608">
        <v>-0.16906028577068355</v>
      </c>
      <c r="D608">
        <v>0.6031632012588426</v>
      </c>
      <c r="E608">
        <v>-2.9110076445704181</v>
      </c>
      <c r="J608">
        <v>20</v>
      </c>
      <c r="K608">
        <v>2.4831535938574234E-2</v>
      </c>
      <c r="L608">
        <v>16.227254068206591</v>
      </c>
      <c r="M608">
        <v>10</v>
      </c>
      <c r="N608">
        <v>-0.21955554871055938</v>
      </c>
      <c r="O608">
        <v>84.573466658870188</v>
      </c>
      <c r="P608" s="1">
        <f t="shared" si="45"/>
        <v>3.6000257402527422</v>
      </c>
      <c r="Q608" s="1">
        <f t="shared" si="46"/>
        <v>0.54000386103791131</v>
      </c>
      <c r="R608" s="1">
        <f t="shared" si="47"/>
        <v>0.73484954993380192</v>
      </c>
      <c r="S608" s="1">
        <f t="shared" si="48"/>
        <v>0.33256750945979208</v>
      </c>
      <c r="T608" s="56">
        <f t="shared" si="49"/>
        <v>0.62903106133624853</v>
      </c>
    </row>
    <row r="609" spans="1:20" x14ac:dyDescent="0.25">
      <c r="A609">
        <v>0.63675989070176509</v>
      </c>
      <c r="B609">
        <v>0.67725295593845658</v>
      </c>
      <c r="D609">
        <v>0.60600126229424489</v>
      </c>
      <c r="E609">
        <v>-1.7668553516614338</v>
      </c>
      <c r="J609">
        <v>20</v>
      </c>
      <c r="K609">
        <v>-0.25898418698488967</v>
      </c>
      <c r="L609">
        <v>25.400355249374499</v>
      </c>
      <c r="M609">
        <v>10</v>
      </c>
      <c r="N609">
        <v>-0.51192046498726995</v>
      </c>
      <c r="O609">
        <v>81.405696868065078</v>
      </c>
      <c r="P609" s="1">
        <f t="shared" si="45"/>
        <v>3.8145018613371278</v>
      </c>
      <c r="Q609" s="1">
        <f t="shared" si="46"/>
        <v>0.5721752792005691</v>
      </c>
      <c r="R609" s="1">
        <f t="shared" si="47"/>
        <v>0.75642268554067649</v>
      </c>
      <c r="S609" s="1">
        <f t="shared" si="48"/>
        <v>0.3343848391082907</v>
      </c>
      <c r="T609" s="56">
        <f t="shared" si="49"/>
        <v>0.62970949261851517</v>
      </c>
    </row>
    <row r="610" spans="1:20" x14ac:dyDescent="0.25">
      <c r="A610">
        <v>0.63721492453041206</v>
      </c>
      <c r="B610">
        <v>0.35414814192336053</v>
      </c>
      <c r="D610">
        <v>0.60624503042372002</v>
      </c>
      <c r="E610">
        <v>3.6256353689623211</v>
      </c>
      <c r="J610">
        <v>20</v>
      </c>
      <c r="K610">
        <v>4.5720867092313711E-2</v>
      </c>
      <c r="L610">
        <v>22.600749187596954</v>
      </c>
      <c r="M610">
        <v>10</v>
      </c>
      <c r="N610">
        <v>-0.25167662784042477</v>
      </c>
      <c r="O610">
        <v>124.22831991594435</v>
      </c>
      <c r="P610" s="1">
        <f t="shared" si="45"/>
        <v>5.2438953251264753</v>
      </c>
      <c r="Q610" s="1">
        <f t="shared" si="46"/>
        <v>0.78658429876897129</v>
      </c>
      <c r="R610" s="1">
        <f t="shared" si="47"/>
        <v>0.88689587820046345</v>
      </c>
      <c r="S610" s="1">
        <f t="shared" si="48"/>
        <v>0.33532402420920743</v>
      </c>
      <c r="T610" s="56">
        <f t="shared" si="49"/>
        <v>0.6300599353406906</v>
      </c>
    </row>
    <row r="611" spans="1:20" x14ac:dyDescent="0.25">
      <c r="A611">
        <v>0.63742889333058617</v>
      </c>
      <c r="B611">
        <v>1.7856245904113166</v>
      </c>
      <c r="D611">
        <v>0.60713464338116341</v>
      </c>
      <c r="E611">
        <v>0.62663229641657381</v>
      </c>
      <c r="J611">
        <v>20</v>
      </c>
      <c r="K611">
        <v>-0.10868700428545708</v>
      </c>
      <c r="L611">
        <v>20.205074894567769</v>
      </c>
      <c r="M611">
        <v>10</v>
      </c>
      <c r="N611">
        <v>-0.33057142786674376</v>
      </c>
      <c r="O611">
        <v>60.286829437523259</v>
      </c>
      <c r="P611" s="1">
        <f t="shared" si="45"/>
        <v>2.874710869003251</v>
      </c>
      <c r="Q611" s="1">
        <f t="shared" si="46"/>
        <v>0.43120663035048762</v>
      </c>
      <c r="R611" s="1">
        <f t="shared" si="47"/>
        <v>0.65666325491113609</v>
      </c>
      <c r="S611" s="1">
        <f t="shared" si="48"/>
        <v>0.3378968168567823</v>
      </c>
      <c r="T611" s="56">
        <f t="shared" si="49"/>
        <v>0.63101935017063393</v>
      </c>
    </row>
    <row r="612" spans="1:20" x14ac:dyDescent="0.25">
      <c r="A612">
        <v>0.64142547353756973</v>
      </c>
      <c r="B612">
        <v>-1.3343969840207137</v>
      </c>
      <c r="D612">
        <v>0.60784941935958559</v>
      </c>
      <c r="E612">
        <v>3.2140844689365622</v>
      </c>
      <c r="J612">
        <v>20</v>
      </c>
      <c r="K612">
        <v>-0.13682830513062072</v>
      </c>
      <c r="L612">
        <v>16.620046138149416</v>
      </c>
      <c r="M612">
        <v>10</v>
      </c>
      <c r="N612">
        <v>-0.29848138524357637</v>
      </c>
      <c r="O612">
        <v>25.222824913361528</v>
      </c>
      <c r="P612" s="1">
        <f t="shared" si="45"/>
        <v>1.4943882518396765</v>
      </c>
      <c r="Q612" s="1">
        <f t="shared" si="46"/>
        <v>0.22415823777595148</v>
      </c>
      <c r="R612" s="1">
        <f t="shared" si="47"/>
        <v>0.4734535222975445</v>
      </c>
      <c r="S612" s="1">
        <f t="shared" si="48"/>
        <v>0.34143389477492125</v>
      </c>
      <c r="T612" s="56">
        <f t="shared" si="49"/>
        <v>0.63233694966172016</v>
      </c>
    </row>
    <row r="613" spans="1:20" x14ac:dyDescent="0.25">
      <c r="A613">
        <v>0.64178683306160322</v>
      </c>
      <c r="B613">
        <v>0.21699634089600295</v>
      </c>
      <c r="D613">
        <v>0.60853594228302965</v>
      </c>
      <c r="E613">
        <v>0.7136538863505848</v>
      </c>
      <c r="J613">
        <v>20</v>
      </c>
      <c r="K613">
        <v>-0.20631063080145395</v>
      </c>
      <c r="L613">
        <v>15.88664051595819</v>
      </c>
      <c r="M613">
        <v>10</v>
      </c>
      <c r="N613">
        <v>-0.4953005861807469</v>
      </c>
      <c r="O613">
        <v>114.56301946564005</v>
      </c>
      <c r="P613" s="1">
        <f t="shared" si="45"/>
        <v>4.6589164279142228</v>
      </c>
      <c r="Q613" s="1">
        <f t="shared" si="46"/>
        <v>0.69883746418713344</v>
      </c>
      <c r="R613" s="1">
        <f t="shared" si="47"/>
        <v>0.83596498980946177</v>
      </c>
      <c r="S613" s="1">
        <f t="shared" si="48"/>
        <v>0.34569624195046889</v>
      </c>
      <c r="T613" s="56">
        <f t="shared" si="49"/>
        <v>0.63392253922193387</v>
      </c>
    </row>
    <row r="614" spans="1:20" x14ac:dyDescent="0.25">
      <c r="A614">
        <v>0.64263102976838016</v>
      </c>
      <c r="B614">
        <v>1.4649003787781112</v>
      </c>
      <c r="D614">
        <v>0.60943901229021058</v>
      </c>
      <c r="E614">
        <v>-1.4313541248611727</v>
      </c>
      <c r="J614">
        <v>20</v>
      </c>
      <c r="K614">
        <v>2.853096248145448E-2</v>
      </c>
      <c r="L614">
        <v>28.817943151972322</v>
      </c>
      <c r="M614">
        <v>10</v>
      </c>
      <c r="N614">
        <v>-0.29338014314816974</v>
      </c>
      <c r="O614">
        <v>129.36182215345204</v>
      </c>
      <c r="P614" s="1">
        <f t="shared" si="45"/>
        <v>5.6492773323365837</v>
      </c>
      <c r="Q614" s="1">
        <f t="shared" si="46"/>
        <v>0.84739159985048751</v>
      </c>
      <c r="R614" s="1">
        <f t="shared" si="47"/>
        <v>0.92053875521375395</v>
      </c>
      <c r="S614" s="1">
        <f t="shared" si="48"/>
        <v>0.34969859096793243</v>
      </c>
      <c r="T614" s="56">
        <f t="shared" si="49"/>
        <v>0.63540921832687969</v>
      </c>
    </row>
    <row r="615" spans="1:20" x14ac:dyDescent="0.25">
      <c r="A615">
        <v>0.64410307464082317</v>
      </c>
      <c r="B615">
        <v>1.0985127119056415</v>
      </c>
      <c r="D615">
        <v>0.61077106441268936</v>
      </c>
      <c r="E615">
        <v>-0.61699370576207002</v>
      </c>
      <c r="J615">
        <v>20</v>
      </c>
      <c r="K615">
        <v>9.4660890681552701E-2</v>
      </c>
      <c r="L615">
        <v>21.943579180920747</v>
      </c>
      <c r="M615">
        <v>10</v>
      </c>
      <c r="N615">
        <v>-0.20460857172110991</v>
      </c>
      <c r="O615">
        <v>112.00781973980384</v>
      </c>
      <c r="P615" s="1">
        <f t="shared" si="45"/>
        <v>4.7839785328830207</v>
      </c>
      <c r="Q615" s="1">
        <f t="shared" si="46"/>
        <v>0.71759677993245308</v>
      </c>
      <c r="R615" s="1">
        <f t="shared" si="47"/>
        <v>0.847110842766431</v>
      </c>
      <c r="S615" s="1">
        <f t="shared" si="48"/>
        <v>0.35328253080238103</v>
      </c>
      <c r="T615" s="56">
        <f t="shared" si="49"/>
        <v>0.63673865962509557</v>
      </c>
    </row>
    <row r="616" spans="1:20" x14ac:dyDescent="0.25">
      <c r="A616">
        <v>0.64429498616798031</v>
      </c>
      <c r="B616">
        <v>0.80505287769483402</v>
      </c>
      <c r="D616">
        <v>0.61354326600942766</v>
      </c>
      <c r="E616">
        <v>3.2590567082024791</v>
      </c>
      <c r="J616">
        <v>20</v>
      </c>
      <c r="K616">
        <v>-4.7368928335345117E-2</v>
      </c>
      <c r="L616">
        <v>25.100473625797072</v>
      </c>
      <c r="M616">
        <v>10</v>
      </c>
      <c r="N616">
        <v>-0.26969280838784471</v>
      </c>
      <c r="O616">
        <v>47.503252442867755</v>
      </c>
      <c r="P616" s="1">
        <f t="shared" si="45"/>
        <v>2.5929902167380297</v>
      </c>
      <c r="Q616" s="1">
        <f t="shared" si="46"/>
        <v>0.38894853251070444</v>
      </c>
      <c r="R616" s="1">
        <f t="shared" si="47"/>
        <v>0.62365738391420045</v>
      </c>
      <c r="S616" s="1">
        <f t="shared" si="48"/>
        <v>0.356484001932519</v>
      </c>
      <c r="T616" s="56">
        <f t="shared" si="49"/>
        <v>0.63792476014214139</v>
      </c>
    </row>
    <row r="617" spans="1:20" x14ac:dyDescent="0.25">
      <c r="A617">
        <v>0.64753715077772234</v>
      </c>
      <c r="B617">
        <v>1.6536023395019583</v>
      </c>
      <c r="D617">
        <v>0.61384323523541451</v>
      </c>
      <c r="E617">
        <v>-2.6605737309637334</v>
      </c>
      <c r="J617">
        <v>20</v>
      </c>
      <c r="K617">
        <v>0.11432831570346025</v>
      </c>
      <c r="L617">
        <v>21.40383931038664</v>
      </c>
      <c r="M617">
        <v>10</v>
      </c>
      <c r="N617">
        <v>-0.18066544157591125</v>
      </c>
      <c r="O617">
        <v>98.487903132276131</v>
      </c>
      <c r="P617" s="1">
        <f t="shared" si="45"/>
        <v>4.2818479443808135</v>
      </c>
      <c r="Q617" s="1">
        <f t="shared" si="46"/>
        <v>0.64227719165712205</v>
      </c>
      <c r="R617" s="1">
        <f t="shared" si="47"/>
        <v>0.8014219810169434</v>
      </c>
      <c r="S617" s="1">
        <f t="shared" si="48"/>
        <v>0.36808792903963888</v>
      </c>
      <c r="T617" s="56">
        <f t="shared" si="49"/>
        <v>0.64221208475867764</v>
      </c>
    </row>
    <row r="618" spans="1:20" x14ac:dyDescent="0.25">
      <c r="A618">
        <v>0.64916495859845103</v>
      </c>
      <c r="B618">
        <v>-0.6102391125750728</v>
      </c>
      <c r="D618">
        <v>0.61576127007163739</v>
      </c>
      <c r="E618">
        <v>2.6265258804869518</v>
      </c>
      <c r="J618">
        <v>20</v>
      </c>
      <c r="K618">
        <v>3.2979301067825872E-2</v>
      </c>
      <c r="L618">
        <v>8.9493065233122522</v>
      </c>
      <c r="M618">
        <v>10</v>
      </c>
      <c r="N618">
        <v>-0.33866649914671143</v>
      </c>
      <c r="O618">
        <v>179.61957456225284</v>
      </c>
      <c r="P618" s="1">
        <f t="shared" si="45"/>
        <v>6.7346028959130395</v>
      </c>
      <c r="Q618" s="1">
        <f t="shared" si="46"/>
        <v>1.0101904343869559</v>
      </c>
      <c r="R618" s="1">
        <f t="shared" si="47"/>
        <v>1.0050823022951683</v>
      </c>
      <c r="S618" s="1">
        <f t="shared" si="48"/>
        <v>0.36976653490551059</v>
      </c>
      <c r="T618" s="56">
        <f t="shared" si="49"/>
        <v>0.64283073507299193</v>
      </c>
    </row>
    <row r="619" spans="1:20" x14ac:dyDescent="0.25">
      <c r="A619">
        <v>0.6523756666887085</v>
      </c>
      <c r="B619">
        <v>-0.32070261113403831</v>
      </c>
      <c r="D619">
        <v>0.61590424591761517</v>
      </c>
      <c r="E619">
        <v>-2.6934383220122982</v>
      </c>
      <c r="J619">
        <v>20</v>
      </c>
      <c r="K619">
        <v>0.21217391577010858</v>
      </c>
      <c r="L619">
        <v>8.910243740293847</v>
      </c>
      <c r="M619">
        <v>10</v>
      </c>
      <c r="N619">
        <v>-2.283389108015399E-2</v>
      </c>
      <c r="O619">
        <v>65.994622956160839</v>
      </c>
      <c r="P619" s="1">
        <f t="shared" si="45"/>
        <v>2.6751738105876677</v>
      </c>
      <c r="Q619" s="1">
        <f t="shared" si="46"/>
        <v>0.40127607158815015</v>
      </c>
      <c r="R619" s="1">
        <f t="shared" si="47"/>
        <v>0.63346355190188341</v>
      </c>
      <c r="S619" s="1">
        <f t="shared" si="48"/>
        <v>0.37098867984540762</v>
      </c>
      <c r="T619" s="56">
        <f t="shared" si="49"/>
        <v>0.64328090787372505</v>
      </c>
    </row>
    <row r="620" spans="1:20" x14ac:dyDescent="0.25">
      <c r="A620">
        <v>0.65292101903579292</v>
      </c>
      <c r="B620">
        <v>-1.1719475878635421</v>
      </c>
      <c r="D620">
        <v>0.61677608921991856</v>
      </c>
      <c r="E620">
        <v>4.5302506316602376</v>
      </c>
      <c r="J620">
        <v>20</v>
      </c>
      <c r="K620">
        <v>-7.1776753429730888E-2</v>
      </c>
      <c r="L620">
        <v>15.593581478931952</v>
      </c>
      <c r="M620">
        <v>10</v>
      </c>
      <c r="N620">
        <v>-0.353313683945089</v>
      </c>
      <c r="O620">
        <v>91.413105213462728</v>
      </c>
      <c r="P620" s="1">
        <f t="shared" si="45"/>
        <v>3.8216673818712388</v>
      </c>
      <c r="Q620" s="1">
        <f t="shared" si="46"/>
        <v>0.57325010728068582</v>
      </c>
      <c r="R620" s="1">
        <f t="shared" si="47"/>
        <v>0.75713282010535365</v>
      </c>
      <c r="S620" s="1">
        <f t="shared" si="48"/>
        <v>0.37184615834799334</v>
      </c>
      <c r="T620" s="56">
        <f t="shared" si="49"/>
        <v>0.64359663156025038</v>
      </c>
    </row>
    <row r="621" spans="1:20" x14ac:dyDescent="0.25">
      <c r="A621">
        <v>0.65299191649367494</v>
      </c>
      <c r="B621">
        <v>0.1067269295162987</v>
      </c>
      <c r="D621">
        <v>0.6200124060194272</v>
      </c>
      <c r="E621">
        <v>-5.4712534199552465</v>
      </c>
      <c r="J621">
        <v>20</v>
      </c>
      <c r="K621">
        <v>0.37093241189722903</v>
      </c>
      <c r="L621">
        <v>23.749967774718939</v>
      </c>
      <c r="M621">
        <v>10</v>
      </c>
      <c r="N621">
        <v>6.1315628272495815E-2</v>
      </c>
      <c r="O621">
        <v>104.04979914943232</v>
      </c>
      <c r="P621" s="1">
        <f t="shared" si="45"/>
        <v>4.5642773901482592</v>
      </c>
      <c r="Q621" s="1">
        <f t="shared" si="46"/>
        <v>0.68464160852223888</v>
      </c>
      <c r="R621" s="1">
        <f t="shared" si="47"/>
        <v>0.82743072732539902</v>
      </c>
      <c r="S621" s="1">
        <f t="shared" si="48"/>
        <v>0.37419057982720039</v>
      </c>
      <c r="T621" s="56">
        <f t="shared" si="49"/>
        <v>0.64445931770040832</v>
      </c>
    </row>
    <row r="622" spans="1:20" x14ac:dyDescent="0.25">
      <c r="A622">
        <v>0.65326608368019734</v>
      </c>
      <c r="B622">
        <v>0.68052827373321634</v>
      </c>
      <c r="D622">
        <v>0.62056778338418206</v>
      </c>
      <c r="E622">
        <v>-1.0422006687349494</v>
      </c>
      <c r="J622">
        <v>20</v>
      </c>
      <c r="K622">
        <v>-0.17639246152612031</v>
      </c>
      <c r="L622">
        <v>19.538197039831342</v>
      </c>
      <c r="M622">
        <v>10</v>
      </c>
      <c r="N622">
        <v>-0.48668505655768968</v>
      </c>
      <c r="O622">
        <v>108.78793650810404</v>
      </c>
      <c r="P622" s="1">
        <f t="shared" si="45"/>
        <v>4.5830761981405486</v>
      </c>
      <c r="Q622" s="1">
        <f t="shared" si="46"/>
        <v>0.68746142972108226</v>
      </c>
      <c r="R622" s="1">
        <f t="shared" si="47"/>
        <v>0.82913293850930936</v>
      </c>
      <c r="S622" s="1">
        <f t="shared" si="48"/>
        <v>0.37423744808575765</v>
      </c>
      <c r="T622" s="56">
        <f t="shared" si="49"/>
        <v>0.64447655606636911</v>
      </c>
    </row>
    <row r="623" spans="1:20" x14ac:dyDescent="0.25">
      <c r="A623">
        <v>0.6548225478747598</v>
      </c>
      <c r="B623">
        <v>-0.17736965673975646</v>
      </c>
      <c r="D623">
        <v>0.6207447981666957</v>
      </c>
      <c r="E623">
        <v>2.4870355412076606</v>
      </c>
      <c r="J623">
        <v>20</v>
      </c>
      <c r="K623">
        <v>0.24908666773626464</v>
      </c>
      <c r="L623">
        <v>22.896798186519618</v>
      </c>
      <c r="M623">
        <v>10</v>
      </c>
      <c r="N623">
        <v>-8.4742509898205753E-4</v>
      </c>
      <c r="O623">
        <v>60.021442459727297</v>
      </c>
      <c r="P623" s="1">
        <f t="shared" si="45"/>
        <v>2.9613657373659614</v>
      </c>
      <c r="Q623" s="1">
        <f t="shared" si="46"/>
        <v>0.44420486060489422</v>
      </c>
      <c r="R623" s="1">
        <f t="shared" si="47"/>
        <v>0.66648695456467433</v>
      </c>
      <c r="S623" s="1">
        <f t="shared" si="48"/>
        <v>0.37500222791081456</v>
      </c>
      <c r="T623" s="56">
        <f t="shared" si="49"/>
        <v>0.64475780163380714</v>
      </c>
    </row>
    <row r="624" spans="1:20" x14ac:dyDescent="0.25">
      <c r="A624">
        <v>0.6572011870444745</v>
      </c>
      <c r="B624">
        <v>-0.41803104977589101</v>
      </c>
      <c r="D624">
        <v>0.62093222373557333</v>
      </c>
      <c r="E624">
        <v>-1.0388105272340908</v>
      </c>
      <c r="J624">
        <v>20</v>
      </c>
      <c r="K624">
        <v>-0.14345084764499916</v>
      </c>
      <c r="L624">
        <v>23.312145406761093</v>
      </c>
      <c r="M624">
        <v>10</v>
      </c>
      <c r="N624">
        <v>-0.36144729506304429</v>
      </c>
      <c r="O624">
        <v>39.360532103460365</v>
      </c>
      <c r="P624" s="1">
        <f t="shared" si="45"/>
        <v>2.2383099110793379</v>
      </c>
      <c r="Q624" s="1">
        <f t="shared" si="46"/>
        <v>0.33574648666190066</v>
      </c>
      <c r="R624" s="1">
        <f t="shared" si="47"/>
        <v>0.57943635255470527</v>
      </c>
      <c r="S624" s="1">
        <f t="shared" si="48"/>
        <v>0.37622155816926217</v>
      </c>
      <c r="T624" s="56">
        <f t="shared" si="49"/>
        <v>0.64520603486311345</v>
      </c>
    </row>
    <row r="625" spans="1:20" x14ac:dyDescent="0.25">
      <c r="A625">
        <v>0.65731284417797398</v>
      </c>
      <c r="B625">
        <v>1.4366332834470086</v>
      </c>
      <c r="D625">
        <v>0.62309052444289392</v>
      </c>
      <c r="E625">
        <v>-1.9451856621799379</v>
      </c>
      <c r="J625">
        <v>20</v>
      </c>
      <c r="K625">
        <v>1.5563671240670374E-2</v>
      </c>
      <c r="L625">
        <v>17.299911753445809</v>
      </c>
      <c r="M625">
        <v>10</v>
      </c>
      <c r="N625">
        <v>-0.25024280944307975</v>
      </c>
      <c r="O625">
        <v>75.729427837738683</v>
      </c>
      <c r="P625" s="1">
        <f t="shared" si="45"/>
        <v>3.3224764139708749</v>
      </c>
      <c r="Q625" s="1">
        <f t="shared" si="46"/>
        <v>0.49837146209563121</v>
      </c>
      <c r="R625" s="1">
        <f t="shared" si="47"/>
        <v>0.70595429178922853</v>
      </c>
      <c r="S625" s="1">
        <f t="shared" si="48"/>
        <v>0.37652080846490549</v>
      </c>
      <c r="T625" s="56">
        <f t="shared" si="49"/>
        <v>0.64531600874116579</v>
      </c>
    </row>
    <row r="626" spans="1:20" x14ac:dyDescent="0.25">
      <c r="A626">
        <v>0.65756752244618399</v>
      </c>
      <c r="B626">
        <v>1.2339251043158583</v>
      </c>
      <c r="D626">
        <v>0.62457136145908465</v>
      </c>
      <c r="E626">
        <v>1.9056672010719922</v>
      </c>
      <c r="J626">
        <v>20</v>
      </c>
      <c r="K626">
        <v>0.17903482785186497</v>
      </c>
      <c r="L626">
        <v>17.471063451993921</v>
      </c>
      <c r="M626">
        <v>10</v>
      </c>
      <c r="N626">
        <v>-0.11888846870533598</v>
      </c>
      <c r="O626">
        <v>98.723308505974501</v>
      </c>
      <c r="P626" s="1">
        <f t="shared" si="45"/>
        <v>4.1497989984988726</v>
      </c>
      <c r="Q626" s="1">
        <f t="shared" si="46"/>
        <v>0.62246984977483089</v>
      </c>
      <c r="R626" s="1">
        <f t="shared" si="47"/>
        <v>0.78896758474276429</v>
      </c>
      <c r="S626" s="1">
        <f t="shared" si="48"/>
        <v>0.37761158039761056</v>
      </c>
      <c r="T626" s="56">
        <f t="shared" si="49"/>
        <v>0.6457167570637603</v>
      </c>
    </row>
    <row r="627" spans="1:20" x14ac:dyDescent="0.25">
      <c r="A627">
        <v>0.65952815847596125</v>
      </c>
      <c r="B627">
        <v>-0.8168490239768289</v>
      </c>
      <c r="D627">
        <v>0.62573987050888014</v>
      </c>
      <c r="E627">
        <v>10.397773845625125</v>
      </c>
      <c r="J627">
        <v>20</v>
      </c>
      <c r="K627">
        <v>5.6969156503328122E-2</v>
      </c>
      <c r="L627">
        <v>29.301944107605269</v>
      </c>
      <c r="M627">
        <v>10</v>
      </c>
      <c r="N627">
        <v>-0.20051414026056591</v>
      </c>
      <c r="O627">
        <v>53.295645000059842</v>
      </c>
      <c r="P627" s="1">
        <f t="shared" si="45"/>
        <v>2.9499138967023257</v>
      </c>
      <c r="Q627" s="1">
        <f t="shared" si="46"/>
        <v>0.44248708450534885</v>
      </c>
      <c r="R627" s="1">
        <f t="shared" si="47"/>
        <v>0.66519702683141091</v>
      </c>
      <c r="S627" s="1">
        <f t="shared" si="48"/>
        <v>0.38707824355497489</v>
      </c>
      <c r="T627" s="56">
        <f t="shared" si="49"/>
        <v>0.64918761108604184</v>
      </c>
    </row>
    <row r="628" spans="1:20" x14ac:dyDescent="0.25">
      <c r="A628">
        <v>0.65989602148941129</v>
      </c>
      <c r="B628">
        <v>0.3422007921471959</v>
      </c>
      <c r="D628">
        <v>0.62692771092135746</v>
      </c>
      <c r="E628">
        <v>-1.3491073821114696</v>
      </c>
      <c r="J628">
        <v>20</v>
      </c>
      <c r="K628">
        <v>0.23826765982448705</v>
      </c>
      <c r="L628">
        <v>21.449131855595759</v>
      </c>
      <c r="M628">
        <v>10</v>
      </c>
      <c r="N628">
        <v>-5.2379622275111615E-2</v>
      </c>
      <c r="O628">
        <v>80.571491079392615</v>
      </c>
      <c r="P628" s="1">
        <f t="shared" si="45"/>
        <v>3.6435936762495849</v>
      </c>
      <c r="Q628" s="1">
        <f t="shared" si="46"/>
        <v>0.54653905143743775</v>
      </c>
      <c r="R628" s="1">
        <f t="shared" si="47"/>
        <v>0.73928279530734231</v>
      </c>
      <c r="S628" s="1">
        <f t="shared" si="48"/>
        <v>0.39314763436198696</v>
      </c>
      <c r="T628" s="56">
        <f t="shared" si="49"/>
        <v>0.65140602708027306</v>
      </c>
    </row>
    <row r="629" spans="1:20" x14ac:dyDescent="0.25">
      <c r="A629">
        <v>0.66016981493731075</v>
      </c>
      <c r="B629">
        <v>0.37278141462593339</v>
      </c>
      <c r="D629">
        <v>0.62701961707363729</v>
      </c>
      <c r="E629">
        <v>-2.1839962334979646</v>
      </c>
      <c r="J629">
        <v>20</v>
      </c>
      <c r="K629">
        <v>0.16673908476150245</v>
      </c>
      <c r="L629">
        <v>15.554739381993432</v>
      </c>
      <c r="M629">
        <v>10</v>
      </c>
      <c r="N629">
        <v>-0.15406374473059259</v>
      </c>
      <c r="O629">
        <v>106.60148541253446</v>
      </c>
      <c r="P629" s="1">
        <f t="shared" si="45"/>
        <v>4.3627223140902816</v>
      </c>
      <c r="Q629" s="1">
        <f t="shared" si="46"/>
        <v>0.65440834711354223</v>
      </c>
      <c r="R629" s="1">
        <f t="shared" si="47"/>
        <v>0.80895509585733016</v>
      </c>
      <c r="S629" s="1">
        <f t="shared" si="48"/>
        <v>0.39656444607980174</v>
      </c>
      <c r="T629" s="56">
        <f t="shared" si="49"/>
        <v>0.65265251063175678</v>
      </c>
    </row>
    <row r="630" spans="1:20" x14ac:dyDescent="0.25">
      <c r="A630">
        <v>0.66040284956280315</v>
      </c>
      <c r="B630">
        <v>-0.92413074526120909</v>
      </c>
      <c r="D630">
        <v>0.62818434980006987</v>
      </c>
      <c r="E630">
        <v>9.1225895141633373</v>
      </c>
      <c r="J630">
        <v>20</v>
      </c>
      <c r="K630">
        <v>-1.7289210063609062E-2</v>
      </c>
      <c r="L630">
        <v>17.341161795454916</v>
      </c>
      <c r="M630">
        <v>10</v>
      </c>
      <c r="N630">
        <v>-0.33303661325589928</v>
      </c>
      <c r="O630">
        <v>99.763273109244423</v>
      </c>
      <c r="P630" s="1">
        <f t="shared" si="45"/>
        <v>4.1823012465964045</v>
      </c>
      <c r="Q630" s="1">
        <f t="shared" si="46"/>
        <v>0.62734518698946062</v>
      </c>
      <c r="R630" s="1">
        <f t="shared" si="47"/>
        <v>0.79205125275417665</v>
      </c>
      <c r="S630" s="1">
        <f t="shared" si="48"/>
        <v>0.39864516607271439</v>
      </c>
      <c r="T630" s="56">
        <f t="shared" si="49"/>
        <v>0.65341072513399578</v>
      </c>
    </row>
    <row r="631" spans="1:20" x14ac:dyDescent="0.25">
      <c r="A631">
        <v>0.66271945632059759</v>
      </c>
      <c r="B631">
        <v>-0.22263861865212675</v>
      </c>
      <c r="D631">
        <v>0.62931156738674188</v>
      </c>
      <c r="E631">
        <v>-3.6821045375745598</v>
      </c>
      <c r="J631">
        <v>20</v>
      </c>
      <c r="K631">
        <v>-0.13951887467555935</v>
      </c>
      <c r="L631">
        <v>14.56703542722923</v>
      </c>
      <c r="M631">
        <v>10</v>
      </c>
      <c r="N631">
        <v>-0.40748466631157498</v>
      </c>
      <c r="O631">
        <v>66.756247682283202</v>
      </c>
      <c r="P631" s="1">
        <f t="shared" si="45"/>
        <v>2.9044029681968726</v>
      </c>
      <c r="Q631" s="1">
        <f t="shared" si="46"/>
        <v>0.4356604452295309</v>
      </c>
      <c r="R631" s="1">
        <f t="shared" si="47"/>
        <v>0.66004579025210885</v>
      </c>
      <c r="S631" s="1">
        <f t="shared" si="48"/>
        <v>0.40598060860847901</v>
      </c>
      <c r="T631" s="56">
        <f t="shared" si="49"/>
        <v>0.65607857766666899</v>
      </c>
    </row>
    <row r="632" spans="1:20" x14ac:dyDescent="0.25">
      <c r="A632">
        <v>0.66381658127909338</v>
      </c>
      <c r="B632">
        <v>0.34495997169869952</v>
      </c>
      <c r="D632">
        <v>0.62956545052677559</v>
      </c>
      <c r="E632">
        <v>-1.2954790270214289</v>
      </c>
      <c r="J632">
        <v>20</v>
      </c>
      <c r="K632">
        <v>0.12462936638257816</v>
      </c>
      <c r="L632">
        <v>24.395751194089307</v>
      </c>
      <c r="M632">
        <v>10</v>
      </c>
      <c r="N632">
        <v>-0.18854086988540075</v>
      </c>
      <c r="O632">
        <v>86.504735106033266</v>
      </c>
      <c r="P632" s="1">
        <f t="shared" si="45"/>
        <v>3.9607316535758059</v>
      </c>
      <c r="Q632" s="1">
        <f t="shared" si="46"/>
        <v>0.59410974803637084</v>
      </c>
      <c r="R632" s="1">
        <f t="shared" si="47"/>
        <v>0.77078515037354656</v>
      </c>
      <c r="S632" s="1">
        <f t="shared" si="48"/>
        <v>0.40630029797046147</v>
      </c>
      <c r="T632" s="56">
        <f t="shared" si="49"/>
        <v>0.6561946617311305</v>
      </c>
    </row>
    <row r="633" spans="1:20" x14ac:dyDescent="0.25">
      <c r="A633">
        <v>0.66386638076013516</v>
      </c>
      <c r="B633">
        <v>-3.5311131796333939E-2</v>
      </c>
      <c r="D633">
        <v>0.63029181947749324</v>
      </c>
      <c r="E633">
        <v>-4.2701065046912845</v>
      </c>
      <c r="J633">
        <v>20</v>
      </c>
      <c r="K633">
        <v>-2.1844300590601051E-2</v>
      </c>
      <c r="L633">
        <v>25.155176460670823</v>
      </c>
      <c r="M633">
        <v>10</v>
      </c>
      <c r="N633">
        <v>-0.39726410591356398</v>
      </c>
      <c r="O633">
        <v>127.08271329774774</v>
      </c>
      <c r="P633" s="1">
        <f t="shared" si="45"/>
        <v>5.4370674913720913</v>
      </c>
      <c r="Q633" s="1">
        <f t="shared" si="46"/>
        <v>0.81556012370581366</v>
      </c>
      <c r="R633" s="1">
        <f t="shared" si="47"/>
        <v>0.90308367480860463</v>
      </c>
      <c r="S633" s="1">
        <f t="shared" si="48"/>
        <v>0.41570877183947286</v>
      </c>
      <c r="T633" s="56">
        <f t="shared" si="49"/>
        <v>0.65960402792018258</v>
      </c>
    </row>
    <row r="634" spans="1:20" x14ac:dyDescent="0.25">
      <c r="A634">
        <v>0.66541662551948444</v>
      </c>
      <c r="B634">
        <v>-1.7212187231052667E-3</v>
      </c>
      <c r="D634">
        <v>0.63182995218308646</v>
      </c>
      <c r="E634">
        <v>4.5699500753926259</v>
      </c>
      <c r="J634">
        <v>20</v>
      </c>
      <c r="K634">
        <v>-7.576852567581227E-2</v>
      </c>
      <c r="L634">
        <v>8.5393735019608243</v>
      </c>
      <c r="M634">
        <v>10</v>
      </c>
      <c r="N634">
        <v>-0.40192879055211961</v>
      </c>
      <c r="O634">
        <v>106.24634702690703</v>
      </c>
      <c r="P634" s="1">
        <f t="shared" si="45"/>
        <v>4.0994900188881376</v>
      </c>
      <c r="Q634" s="1">
        <f t="shared" si="46"/>
        <v>0.61492350283322061</v>
      </c>
      <c r="R634" s="1">
        <f t="shared" si="47"/>
        <v>0.78417058273899853</v>
      </c>
      <c r="S634" s="1">
        <f t="shared" si="48"/>
        <v>0.41593024790228039</v>
      </c>
      <c r="T634" s="56">
        <f t="shared" si="49"/>
        <v>0.65968412057099113</v>
      </c>
    </row>
    <row r="635" spans="1:20" x14ac:dyDescent="0.25">
      <c r="A635">
        <v>0.66565827799203603</v>
      </c>
      <c r="B635">
        <v>0.15340560821641702</v>
      </c>
      <c r="D635">
        <v>0.6354242806046253</v>
      </c>
      <c r="E635">
        <v>6.1334727661233046E-2</v>
      </c>
      <c r="J635">
        <v>20</v>
      </c>
      <c r="K635">
        <v>0.14864247077639448</v>
      </c>
      <c r="L635">
        <v>17.782288726382497</v>
      </c>
      <c r="M635">
        <v>10</v>
      </c>
      <c r="N635">
        <v>-0.26206328470834706</v>
      </c>
      <c r="O635">
        <v>163.85036392733926</v>
      </c>
      <c r="P635" s="1">
        <f t="shared" si="45"/>
        <v>6.4868804519186343</v>
      </c>
      <c r="Q635" s="1">
        <f t="shared" si="46"/>
        <v>0.97303206778779505</v>
      </c>
      <c r="R635" s="1">
        <f t="shared" si="47"/>
        <v>0.98642387835442991</v>
      </c>
      <c r="S635" s="1">
        <f t="shared" si="48"/>
        <v>0.41635828622669624</v>
      </c>
      <c r="T635" s="56">
        <f t="shared" si="49"/>
        <v>0.65983889105265803</v>
      </c>
    </row>
    <row r="636" spans="1:20" x14ac:dyDescent="0.25">
      <c r="A636">
        <v>0.66820026230359442</v>
      </c>
      <c r="B636">
        <v>0.89019067672779784</v>
      </c>
      <c r="D636">
        <v>0.6362572090128138</v>
      </c>
      <c r="E636">
        <v>-3.0679227654673014</v>
      </c>
      <c r="J636">
        <v>20</v>
      </c>
      <c r="K636">
        <v>-1.017320983009995E-2</v>
      </c>
      <c r="L636">
        <v>14.025607551943546</v>
      </c>
      <c r="M636">
        <v>10</v>
      </c>
      <c r="N636">
        <v>-0.37876361943744996</v>
      </c>
      <c r="O636">
        <v>129.21792141876202</v>
      </c>
      <c r="P636" s="1">
        <f t="shared" si="45"/>
        <v>5.1158403203823415</v>
      </c>
      <c r="Q636" s="1">
        <f t="shared" si="46"/>
        <v>0.76737604805735116</v>
      </c>
      <c r="R636" s="1">
        <f t="shared" si="47"/>
        <v>0.8760000274299945</v>
      </c>
      <c r="S636" s="1">
        <f t="shared" si="48"/>
        <v>0.42076529459561679</v>
      </c>
      <c r="T636" s="56">
        <f t="shared" si="49"/>
        <v>0.66143072600027475</v>
      </c>
    </row>
    <row r="637" spans="1:20" x14ac:dyDescent="0.25">
      <c r="A637">
        <v>0.66845805771875744</v>
      </c>
      <c r="B637">
        <v>-0.82660790212685242</v>
      </c>
      <c r="D637">
        <v>0.63769029434832891</v>
      </c>
      <c r="E637">
        <v>0.52965173949814925</v>
      </c>
      <c r="J637">
        <v>20</v>
      </c>
      <c r="K637">
        <v>4.2836802549572894E-2</v>
      </c>
      <c r="L637">
        <v>13.231309912249573</v>
      </c>
      <c r="M637">
        <v>10</v>
      </c>
      <c r="N637">
        <v>-0.25848214932011615</v>
      </c>
      <c r="O637">
        <v>82.189795828053747</v>
      </c>
      <c r="P637" s="1">
        <f t="shared" si="45"/>
        <v>3.4078966335822614</v>
      </c>
      <c r="Q637" s="1">
        <f t="shared" si="46"/>
        <v>0.5111844950373392</v>
      </c>
      <c r="R637" s="1">
        <f t="shared" si="47"/>
        <v>0.71497167429020514</v>
      </c>
      <c r="S637" s="1">
        <f t="shared" si="48"/>
        <v>0.42144180350756733</v>
      </c>
      <c r="T637" s="56">
        <f t="shared" si="49"/>
        <v>0.66167481655641924</v>
      </c>
    </row>
    <row r="638" spans="1:20" x14ac:dyDescent="0.25">
      <c r="A638">
        <v>0.6700818662842486</v>
      </c>
      <c r="B638">
        <v>0.37196173252596054</v>
      </c>
      <c r="D638">
        <v>0.6385001937112833</v>
      </c>
      <c r="E638">
        <v>-0.23874736484685855</v>
      </c>
      <c r="J638">
        <v>20</v>
      </c>
      <c r="K638">
        <v>-0.15249065654643346</v>
      </c>
      <c r="L638">
        <v>14.91133617252113</v>
      </c>
      <c r="M638">
        <v>10</v>
      </c>
      <c r="N638">
        <v>-0.65442032223472779</v>
      </c>
      <c r="O638">
        <v>248.01367688176916</v>
      </c>
      <c r="P638" s="1">
        <f t="shared" si="45"/>
        <v>9.3901790376532244</v>
      </c>
      <c r="Q638" s="1">
        <f t="shared" si="46"/>
        <v>1.4085268556479835</v>
      </c>
      <c r="R638" s="1">
        <f t="shared" si="47"/>
        <v>1.1868137409248274</v>
      </c>
      <c r="S638" s="1">
        <f t="shared" si="48"/>
        <v>0.42292202085321701</v>
      </c>
      <c r="T638" s="56">
        <f t="shared" si="49"/>
        <v>0.66220864251574363</v>
      </c>
    </row>
    <row r="639" spans="1:20" x14ac:dyDescent="0.25">
      <c r="A639">
        <v>0.67017928571207153</v>
      </c>
      <c r="B639">
        <v>-0.47021330829011276</v>
      </c>
      <c r="D639">
        <v>0.63853678441086481</v>
      </c>
      <c r="E639">
        <v>-4.0872980696349259</v>
      </c>
      <c r="J639">
        <v>20</v>
      </c>
      <c r="K639">
        <v>0.13014107480557868</v>
      </c>
      <c r="L639">
        <v>22.490416160187216</v>
      </c>
      <c r="M639">
        <v>10</v>
      </c>
      <c r="N639">
        <v>-0.12559712899928854</v>
      </c>
      <c r="O639">
        <v>43.516122910327624</v>
      </c>
      <c r="P639" s="1">
        <f t="shared" si="45"/>
        <v>2.3573763953755296</v>
      </c>
      <c r="Q639" s="1">
        <f t="shared" si="46"/>
        <v>0.35360645930632945</v>
      </c>
      <c r="R639" s="1">
        <f t="shared" si="47"/>
        <v>0.59464818111748186</v>
      </c>
      <c r="S639" s="1">
        <f t="shared" si="48"/>
        <v>0.43006640216114983</v>
      </c>
      <c r="T639" s="56">
        <f t="shared" si="49"/>
        <v>0.6647803423192179</v>
      </c>
    </row>
    <row r="640" spans="1:20" x14ac:dyDescent="0.25">
      <c r="A640">
        <v>0.67159491456422948</v>
      </c>
      <c r="B640">
        <v>8.3672375694732182E-2</v>
      </c>
      <c r="D640">
        <v>0.63933480433442447</v>
      </c>
      <c r="E640">
        <v>-0.91453148684195185</v>
      </c>
      <c r="J640">
        <v>20</v>
      </c>
      <c r="K640">
        <v>0.20217743212924688</v>
      </c>
      <c r="L640">
        <v>26.329418175532638</v>
      </c>
      <c r="M640">
        <v>10</v>
      </c>
      <c r="N640">
        <v>-9.6143825203398592E-2</v>
      </c>
      <c r="O640">
        <v>59.557152076563384</v>
      </c>
      <c r="P640" s="1">
        <f t="shared" si="45"/>
        <v>3.0673775090034292</v>
      </c>
      <c r="Q640" s="1">
        <f t="shared" si="46"/>
        <v>0.46010662635051436</v>
      </c>
      <c r="R640" s="1">
        <f t="shared" si="47"/>
        <v>0.67831159974639554</v>
      </c>
      <c r="S640" s="1">
        <f t="shared" si="48"/>
        <v>0.43979972839058135</v>
      </c>
      <c r="T640" s="56">
        <f t="shared" si="49"/>
        <v>0.66827087840235122</v>
      </c>
    </row>
    <row r="641" spans="1:20" x14ac:dyDescent="0.25">
      <c r="A641">
        <v>0.67179580666402994</v>
      </c>
      <c r="B641">
        <v>3.653667590697296E-2</v>
      </c>
      <c r="D641">
        <v>0.64009365198434964</v>
      </c>
      <c r="E641">
        <v>-1.9393194213535025</v>
      </c>
      <c r="J641">
        <v>20</v>
      </c>
      <c r="K641">
        <v>6.9625912146875635E-2</v>
      </c>
      <c r="L641">
        <v>18.418761740902809</v>
      </c>
      <c r="M641">
        <v>10</v>
      </c>
      <c r="N641">
        <v>-0.26808607231032511</v>
      </c>
      <c r="O641">
        <v>91.434807995440693</v>
      </c>
      <c r="P641" s="1">
        <f t="shared" si="45"/>
        <v>3.9233417762979821</v>
      </c>
      <c r="Q641" s="1">
        <f t="shared" si="46"/>
        <v>0.58850126644469725</v>
      </c>
      <c r="R641" s="1">
        <f t="shared" si="47"/>
        <v>0.76713836199521224</v>
      </c>
      <c r="S641" s="1">
        <f t="shared" si="48"/>
        <v>0.44022304344011992</v>
      </c>
      <c r="T641" s="56">
        <f t="shared" si="49"/>
        <v>0.66842234031657832</v>
      </c>
    </row>
    <row r="642" spans="1:20" x14ac:dyDescent="0.25">
      <c r="A642">
        <v>0.67211487694989125</v>
      </c>
      <c r="B642">
        <v>0.20315383153501898</v>
      </c>
      <c r="D642">
        <v>0.64030191531366309</v>
      </c>
      <c r="E642">
        <v>-3.7858960729408864</v>
      </c>
      <c r="J642">
        <v>20</v>
      </c>
      <c r="K642">
        <v>-3.766018608075683E-2</v>
      </c>
      <c r="L642">
        <v>40.916033574460194</v>
      </c>
      <c r="M642">
        <v>10</v>
      </c>
      <c r="N642">
        <v>-0.47984338266360282</v>
      </c>
      <c r="O642">
        <v>146.63697850798221</v>
      </c>
      <c r="P642" s="1">
        <f t="shared" ref="P642:P705" si="50">(L642+O642)/(J642+M642-2)</f>
        <v>6.6983218600872281</v>
      </c>
      <c r="Q642" s="1">
        <f t="shared" ref="Q642:Q705" si="51">P642*0.15</f>
        <v>1.0047482790130842</v>
      </c>
      <c r="R642" s="1">
        <f t="shared" ref="R642:R705" si="52">SQRT(Q642)</f>
        <v>1.0023713279085171</v>
      </c>
      <c r="S642" s="1">
        <f t="shared" ref="S642:S705" si="53">(K642-N642)/R642</f>
        <v>0.44113711582859888</v>
      </c>
      <c r="T642" s="56">
        <f t="shared" ref="T642:T705" si="54">_xlfn.T.DIST(S642,28,TRUE)</f>
        <v>0.66874929591364896</v>
      </c>
    </row>
    <row r="643" spans="1:20" x14ac:dyDescent="0.25">
      <c r="A643">
        <v>0.67416890223774595</v>
      </c>
      <c r="B643">
        <v>3.9062797441147268E-2</v>
      </c>
      <c r="D643">
        <v>0.642664528435967</v>
      </c>
      <c r="E643">
        <v>-2.7177900426522683</v>
      </c>
      <c r="J643">
        <v>20</v>
      </c>
      <c r="K643">
        <v>-2.8542501695483224E-2</v>
      </c>
      <c r="L643">
        <v>8.6619000089115463</v>
      </c>
      <c r="M643">
        <v>10</v>
      </c>
      <c r="N643">
        <v>-0.38769156049056619</v>
      </c>
      <c r="O643">
        <v>112.83299150693151</v>
      </c>
      <c r="P643" s="1">
        <f t="shared" si="50"/>
        <v>4.3391032684229662</v>
      </c>
      <c r="Q643" s="1">
        <f t="shared" si="51"/>
        <v>0.65086549026344487</v>
      </c>
      <c r="R643" s="1">
        <f t="shared" si="52"/>
        <v>0.80676235054906031</v>
      </c>
      <c r="S643" s="1">
        <f t="shared" si="53"/>
        <v>0.44517330109747433</v>
      </c>
      <c r="T643" s="56">
        <f t="shared" si="54"/>
        <v>0.6701913795976332</v>
      </c>
    </row>
    <row r="644" spans="1:20" x14ac:dyDescent="0.25">
      <c r="A644">
        <v>0.67447107350389635</v>
      </c>
      <c r="B644">
        <v>0.67235419010103215</v>
      </c>
      <c r="D644">
        <v>0.64384932445185694</v>
      </c>
      <c r="E644">
        <v>-1.7860331843166932</v>
      </c>
      <c r="J644">
        <v>20</v>
      </c>
      <c r="K644">
        <v>-0.32759095347500988</v>
      </c>
      <c r="L644">
        <v>19.231000389241764</v>
      </c>
      <c r="M644">
        <v>10</v>
      </c>
      <c r="N644">
        <v>-0.78706012004658987</v>
      </c>
      <c r="O644">
        <v>179.53373036351513</v>
      </c>
      <c r="P644" s="1">
        <f t="shared" si="50"/>
        <v>7.0987403840270318</v>
      </c>
      <c r="Q644" s="1">
        <f t="shared" si="51"/>
        <v>1.0648110576040548</v>
      </c>
      <c r="R644" s="1">
        <f t="shared" si="52"/>
        <v>1.0318968250770302</v>
      </c>
      <c r="S644" s="1">
        <f t="shared" si="53"/>
        <v>0.44526657646929091</v>
      </c>
      <c r="T644" s="56">
        <f t="shared" si="54"/>
        <v>0.67022467443935818</v>
      </c>
    </row>
    <row r="645" spans="1:20" x14ac:dyDescent="0.25">
      <c r="A645">
        <v>0.67504121366930459</v>
      </c>
      <c r="B645">
        <v>0.55502823670394719</v>
      </c>
      <c r="D645">
        <v>0.64576474376018389</v>
      </c>
      <c r="E645">
        <v>4.6518591682342958</v>
      </c>
      <c r="J645">
        <v>20</v>
      </c>
      <c r="K645">
        <v>0.20490739416345605</v>
      </c>
      <c r="L645">
        <v>15.234283835068007</v>
      </c>
      <c r="M645">
        <v>10</v>
      </c>
      <c r="N645">
        <v>-0.27097349061477871</v>
      </c>
      <c r="O645">
        <v>196.79531662910654</v>
      </c>
      <c r="P645" s="1">
        <f t="shared" si="50"/>
        <v>7.5724857308633764</v>
      </c>
      <c r="Q645" s="1">
        <f t="shared" si="51"/>
        <v>1.1358728596295065</v>
      </c>
      <c r="R645" s="1">
        <f t="shared" si="52"/>
        <v>1.0657733622255279</v>
      </c>
      <c r="S645" s="1">
        <f t="shared" si="53"/>
        <v>0.44651227141247857</v>
      </c>
      <c r="T645" s="56">
        <f t="shared" si="54"/>
        <v>0.67066919148172366</v>
      </c>
    </row>
    <row r="646" spans="1:20" x14ac:dyDescent="0.25">
      <c r="A646">
        <v>0.67505957607773426</v>
      </c>
      <c r="B646">
        <v>-0.57829311117529869</v>
      </c>
      <c r="D646">
        <v>0.64619092397186662</v>
      </c>
      <c r="E646">
        <v>-1.917048169843838</v>
      </c>
      <c r="J646">
        <v>20</v>
      </c>
      <c r="K646">
        <v>-0.17099318938562647</v>
      </c>
      <c r="L646">
        <v>10.587814803970133</v>
      </c>
      <c r="M646">
        <v>10</v>
      </c>
      <c r="N646">
        <v>-0.44513877014651371</v>
      </c>
      <c r="O646">
        <v>58.094385510076528</v>
      </c>
      <c r="P646" s="1">
        <f t="shared" si="50"/>
        <v>2.4529357255016668</v>
      </c>
      <c r="Q646" s="1">
        <f t="shared" si="51"/>
        <v>0.36794035882525</v>
      </c>
      <c r="R646" s="1">
        <f t="shared" si="52"/>
        <v>0.606580875749681</v>
      </c>
      <c r="S646" s="1">
        <f t="shared" si="53"/>
        <v>0.45195223212744257</v>
      </c>
      <c r="T646" s="56">
        <f t="shared" si="54"/>
        <v>0.6726074151410214</v>
      </c>
    </row>
    <row r="647" spans="1:20" x14ac:dyDescent="0.25">
      <c r="A647">
        <v>0.67520601978295303</v>
      </c>
      <c r="B647">
        <v>-1.2441432772902772</v>
      </c>
      <c r="D647">
        <v>0.64841313669073497</v>
      </c>
      <c r="E647">
        <v>-3.7903571444530826</v>
      </c>
      <c r="J647">
        <v>20</v>
      </c>
      <c r="K647">
        <v>0.40366217035625596</v>
      </c>
      <c r="L647">
        <v>16.680204593379177</v>
      </c>
      <c r="M647">
        <v>10</v>
      </c>
      <c r="N647">
        <v>1.0657910252120928E-2</v>
      </c>
      <c r="O647">
        <v>123.33662412289155</v>
      </c>
      <c r="P647" s="1">
        <f t="shared" si="50"/>
        <v>5.0006010255810978</v>
      </c>
      <c r="Q647" s="1">
        <f t="shared" si="51"/>
        <v>0.7500901538371646</v>
      </c>
      <c r="R647" s="1">
        <f t="shared" si="52"/>
        <v>0.86607745256250879</v>
      </c>
      <c r="S647" s="1">
        <f t="shared" si="53"/>
        <v>0.45377495851131178</v>
      </c>
      <c r="T647" s="56">
        <f t="shared" si="54"/>
        <v>0.67325574878975225</v>
      </c>
    </row>
    <row r="648" spans="1:20" x14ac:dyDescent="0.25">
      <c r="A648">
        <v>0.67592566713530178</v>
      </c>
      <c r="B648">
        <v>-1.3853036762156989</v>
      </c>
      <c r="D648">
        <v>0.64845060610443805</v>
      </c>
      <c r="E648">
        <v>-1.8741905057595432</v>
      </c>
      <c r="J648">
        <v>20</v>
      </c>
      <c r="K648">
        <v>-6.6114182573073776E-2</v>
      </c>
      <c r="L648">
        <v>18.641547922425787</v>
      </c>
      <c r="M648">
        <v>10</v>
      </c>
      <c r="N648">
        <v>-0.44912406224284496</v>
      </c>
      <c r="O648">
        <v>113.11919451892463</v>
      </c>
      <c r="P648" s="1">
        <f t="shared" si="50"/>
        <v>4.705740801476801</v>
      </c>
      <c r="Q648" s="1">
        <f t="shared" si="51"/>
        <v>0.70586112022152014</v>
      </c>
      <c r="R648" s="1">
        <f t="shared" si="52"/>
        <v>0.84015541432613539</v>
      </c>
      <c r="S648" s="1">
        <f t="shared" si="53"/>
        <v>0.45587979692658703</v>
      </c>
      <c r="T648" s="56">
        <f t="shared" si="54"/>
        <v>0.67400374236047778</v>
      </c>
    </row>
    <row r="649" spans="1:20" x14ac:dyDescent="0.25">
      <c r="A649">
        <v>0.6762636307104225</v>
      </c>
      <c r="B649">
        <v>0.42555711843306199</v>
      </c>
      <c r="D649">
        <v>0.64862279993644567</v>
      </c>
      <c r="E649">
        <v>-3.5264718042071763</v>
      </c>
      <c r="J649">
        <v>20</v>
      </c>
      <c r="K649">
        <v>0.10796111382660456</v>
      </c>
      <c r="L649">
        <v>19.752155600387692</v>
      </c>
      <c r="M649">
        <v>10</v>
      </c>
      <c r="N649">
        <v>-0.2611857360079739</v>
      </c>
      <c r="O649">
        <v>102.30313831681399</v>
      </c>
      <c r="P649" s="1">
        <f t="shared" si="50"/>
        <v>4.3591176399000604</v>
      </c>
      <c r="Q649" s="1">
        <f t="shared" si="51"/>
        <v>0.65386764598500902</v>
      </c>
      <c r="R649" s="1">
        <f t="shared" si="52"/>
        <v>0.80862082955178005</v>
      </c>
      <c r="S649" s="1">
        <f t="shared" si="53"/>
        <v>0.4565141489605174</v>
      </c>
      <c r="T649" s="56">
        <f t="shared" si="54"/>
        <v>0.6742290266691866</v>
      </c>
    </row>
    <row r="650" spans="1:20" x14ac:dyDescent="0.25">
      <c r="A650">
        <v>0.67714759318106299</v>
      </c>
      <c r="B650">
        <v>-1.1220322448934894</v>
      </c>
      <c r="D650">
        <v>0.64883581158379799</v>
      </c>
      <c r="E650">
        <v>3.6546527974223864</v>
      </c>
      <c r="J650">
        <v>20</v>
      </c>
      <c r="K650">
        <v>-0.12136979421484284</v>
      </c>
      <c r="L650">
        <v>18.993371304649809</v>
      </c>
      <c r="M650">
        <v>10</v>
      </c>
      <c r="N650">
        <v>-0.45221816321827646</v>
      </c>
      <c r="O650">
        <v>76.413838548231041</v>
      </c>
      <c r="P650" s="1">
        <f t="shared" si="50"/>
        <v>3.4074003518886018</v>
      </c>
      <c r="Q650" s="1">
        <f t="shared" si="51"/>
        <v>0.51111005278329025</v>
      </c>
      <c r="R650" s="1">
        <f t="shared" si="52"/>
        <v>0.71491961281202121</v>
      </c>
      <c r="S650" s="1">
        <f t="shared" si="53"/>
        <v>0.4627770214641263</v>
      </c>
      <c r="T650" s="56">
        <f t="shared" si="54"/>
        <v>0.67644961766514111</v>
      </c>
    </row>
    <row r="651" spans="1:20" x14ac:dyDescent="0.25">
      <c r="A651">
        <v>0.67904341140333357</v>
      </c>
      <c r="B651">
        <v>-5.3536268751486205E-2</v>
      </c>
      <c r="D651">
        <v>0.65067243771876082</v>
      </c>
      <c r="E651">
        <v>-1.1048603062135953</v>
      </c>
      <c r="J651">
        <v>20</v>
      </c>
      <c r="K651">
        <v>0.31881990025794948</v>
      </c>
      <c r="L651">
        <v>19.640916291447287</v>
      </c>
      <c r="M651">
        <v>10</v>
      </c>
      <c r="N651">
        <v>-8.850236440594017E-2</v>
      </c>
      <c r="O651">
        <v>123.13692917042859</v>
      </c>
      <c r="P651" s="1">
        <f t="shared" si="50"/>
        <v>5.0992087664955665</v>
      </c>
      <c r="Q651" s="1">
        <f t="shared" si="51"/>
        <v>0.76488131497433498</v>
      </c>
      <c r="R651" s="1">
        <f t="shared" si="52"/>
        <v>0.87457493388178864</v>
      </c>
      <c r="S651" s="1">
        <f t="shared" si="53"/>
        <v>0.46573741012218983</v>
      </c>
      <c r="T651" s="56">
        <f t="shared" si="54"/>
        <v>0.67749697089830585</v>
      </c>
    </row>
    <row r="652" spans="1:20" x14ac:dyDescent="0.25">
      <c r="A652">
        <v>0.67987283554775124</v>
      </c>
      <c r="B652">
        <v>-0.29415559765766375</v>
      </c>
      <c r="D652">
        <v>0.65172049574363933</v>
      </c>
      <c r="E652">
        <v>-1.0880596653350949</v>
      </c>
      <c r="J652">
        <v>20</v>
      </c>
      <c r="K652">
        <v>-0.12245823199918959</v>
      </c>
      <c r="L652">
        <v>11.26010305041137</v>
      </c>
      <c r="M652">
        <v>10</v>
      </c>
      <c r="N652">
        <v>-0.40220982441496744</v>
      </c>
      <c r="O652">
        <v>53.837862249929202</v>
      </c>
      <c r="P652" s="1">
        <f t="shared" si="50"/>
        <v>2.3249273321550206</v>
      </c>
      <c r="Q652" s="1">
        <f t="shared" si="51"/>
        <v>0.34873909982325307</v>
      </c>
      <c r="R652" s="1">
        <f t="shared" si="52"/>
        <v>0.59054136165323179</v>
      </c>
      <c r="S652" s="1">
        <f t="shared" si="53"/>
        <v>0.4737205733271721</v>
      </c>
      <c r="T652" s="56">
        <f t="shared" si="54"/>
        <v>0.68031391471587199</v>
      </c>
    </row>
    <row r="653" spans="1:20" x14ac:dyDescent="0.25">
      <c r="A653">
        <v>0.68076306312601353</v>
      </c>
      <c r="B653">
        <v>-0.89749164544628002</v>
      </c>
      <c r="D653">
        <v>0.65416444254076467</v>
      </c>
      <c r="E653">
        <v>1.7227905539130006</v>
      </c>
      <c r="J653">
        <v>20</v>
      </c>
      <c r="K653">
        <v>0.12591101494763279</v>
      </c>
      <c r="L653">
        <v>19.725380313042095</v>
      </c>
      <c r="M653">
        <v>10</v>
      </c>
      <c r="N653">
        <v>-0.23451037009181164</v>
      </c>
      <c r="O653">
        <v>87.999523620482648</v>
      </c>
      <c r="P653" s="1">
        <f t="shared" si="50"/>
        <v>3.8473179976258836</v>
      </c>
      <c r="Q653" s="1">
        <f t="shared" si="51"/>
        <v>0.57709769964388247</v>
      </c>
      <c r="R653" s="1">
        <f t="shared" si="52"/>
        <v>0.7596694673631964</v>
      </c>
      <c r="S653" s="1">
        <f t="shared" si="53"/>
        <v>0.47444500605041129</v>
      </c>
      <c r="T653" s="56">
        <f t="shared" si="54"/>
        <v>0.68056899991380992</v>
      </c>
    </row>
    <row r="654" spans="1:20" x14ac:dyDescent="0.25">
      <c r="A654">
        <v>0.68130992745440466</v>
      </c>
      <c r="B654">
        <v>-1.1335919225530233</v>
      </c>
      <c r="D654">
        <v>0.65438229993165686</v>
      </c>
      <c r="E654">
        <v>-0.77351319646368211</v>
      </c>
      <c r="J654">
        <v>20</v>
      </c>
      <c r="K654">
        <v>0.11582085335248848</v>
      </c>
      <c r="L654">
        <v>13.378754735512715</v>
      </c>
      <c r="M654">
        <v>10</v>
      </c>
      <c r="N654">
        <v>-0.19753804622268945</v>
      </c>
      <c r="O654">
        <v>67.255427575242734</v>
      </c>
      <c r="P654" s="1">
        <f t="shared" si="50"/>
        <v>2.879792225384123</v>
      </c>
      <c r="Q654" s="1">
        <f t="shared" si="51"/>
        <v>0.43196883380761847</v>
      </c>
      <c r="R654" s="1">
        <f t="shared" si="52"/>
        <v>0.65724335965273817</v>
      </c>
      <c r="S654" s="1">
        <f t="shared" si="53"/>
        <v>0.47677758165673151</v>
      </c>
      <c r="T654" s="56">
        <f t="shared" si="54"/>
        <v>0.68138972743451154</v>
      </c>
    </row>
    <row r="655" spans="1:20" x14ac:dyDescent="0.25">
      <c r="A655">
        <v>0.68138234729249803</v>
      </c>
      <c r="B655">
        <v>0.45014303395873867</v>
      </c>
      <c r="D655">
        <v>0.65441733089305432</v>
      </c>
      <c r="E655">
        <v>-1.5143818961860234</v>
      </c>
      <c r="J655">
        <v>20</v>
      </c>
      <c r="K655">
        <v>-0.47498826916125836</v>
      </c>
      <c r="L655">
        <v>20.129612248878143</v>
      </c>
      <c r="M655">
        <v>10</v>
      </c>
      <c r="N655">
        <v>-0.85210854535944236</v>
      </c>
      <c r="O655">
        <v>93.302115925498043</v>
      </c>
      <c r="P655" s="1">
        <f t="shared" si="50"/>
        <v>4.0511331490848637</v>
      </c>
      <c r="Q655" s="1">
        <f t="shared" si="51"/>
        <v>0.60766997236272957</v>
      </c>
      <c r="R655" s="1">
        <f t="shared" si="52"/>
        <v>0.77953189310170601</v>
      </c>
      <c r="S655" s="1">
        <f t="shared" si="53"/>
        <v>0.48377786660869931</v>
      </c>
      <c r="T655" s="56">
        <f t="shared" si="54"/>
        <v>0.68384716957881775</v>
      </c>
    </row>
    <row r="656" spans="1:20" x14ac:dyDescent="0.25">
      <c r="A656">
        <v>0.68171910083825549</v>
      </c>
      <c r="B656">
        <v>0.77247477747732773</v>
      </c>
      <c r="D656">
        <v>0.65446573369061756</v>
      </c>
      <c r="E656">
        <v>-1.510514269966734</v>
      </c>
      <c r="J656">
        <v>20</v>
      </c>
      <c r="K656">
        <v>-0.28177441890875343</v>
      </c>
      <c r="L656">
        <v>11.791235183929855</v>
      </c>
      <c r="M656">
        <v>10</v>
      </c>
      <c r="N656">
        <v>-0.66690586550066655</v>
      </c>
      <c r="O656">
        <v>104.73932320757001</v>
      </c>
      <c r="P656" s="1">
        <f t="shared" si="50"/>
        <v>4.1618056568392809</v>
      </c>
      <c r="Q656" s="1">
        <f t="shared" si="51"/>
        <v>0.6242708485258921</v>
      </c>
      <c r="R656" s="1">
        <f t="shared" si="52"/>
        <v>0.7901081245790933</v>
      </c>
      <c r="S656" s="1">
        <f t="shared" si="53"/>
        <v>0.48744144581107868</v>
      </c>
      <c r="T656" s="56">
        <f t="shared" si="54"/>
        <v>0.68512986922234709</v>
      </c>
    </row>
    <row r="657" spans="1:20" x14ac:dyDescent="0.25">
      <c r="A657">
        <v>0.68174802818054758</v>
      </c>
      <c r="B657">
        <v>-0.51914980758738238</v>
      </c>
      <c r="D657">
        <v>0.65752347100117037</v>
      </c>
      <c r="E657">
        <v>4.1888217731411714</v>
      </c>
      <c r="J657">
        <v>20</v>
      </c>
      <c r="K657">
        <v>-0.20157807512077852</v>
      </c>
      <c r="L657">
        <v>24.913571695852127</v>
      </c>
      <c r="M657">
        <v>10</v>
      </c>
      <c r="N657">
        <v>-0.61453841112779628</v>
      </c>
      <c r="O657">
        <v>108.68463087713712</v>
      </c>
      <c r="P657" s="1">
        <f t="shared" si="50"/>
        <v>4.7713643776067585</v>
      </c>
      <c r="Q657" s="1">
        <f t="shared" si="51"/>
        <v>0.71570465664101379</v>
      </c>
      <c r="R657" s="1">
        <f t="shared" si="52"/>
        <v>0.84599329586056049</v>
      </c>
      <c r="S657" s="1">
        <f t="shared" si="53"/>
        <v>0.48813665312435678</v>
      </c>
      <c r="T657" s="56">
        <f t="shared" si="54"/>
        <v>0.68537301167291964</v>
      </c>
    </row>
    <row r="658" spans="1:20" x14ac:dyDescent="0.25">
      <c r="A658">
        <v>0.68217453483505619</v>
      </c>
      <c r="B658">
        <v>-0.44456214709498454</v>
      </c>
      <c r="D658">
        <v>0.66009716894286996</v>
      </c>
      <c r="E658">
        <v>0.50743505767059105</v>
      </c>
      <c r="J658">
        <v>20</v>
      </c>
      <c r="K658">
        <v>-0.23935155013532494</v>
      </c>
      <c r="L658">
        <v>9.4625598954610197</v>
      </c>
      <c r="M658">
        <v>10</v>
      </c>
      <c r="N658">
        <v>-0.57727072885427333</v>
      </c>
      <c r="O658">
        <v>77.57440690199725</v>
      </c>
      <c r="P658" s="1">
        <f t="shared" si="50"/>
        <v>3.1084630999092235</v>
      </c>
      <c r="Q658" s="1">
        <f t="shared" si="51"/>
        <v>0.4662694649863835</v>
      </c>
      <c r="R658" s="1">
        <f t="shared" si="52"/>
        <v>0.68283926731433908</v>
      </c>
      <c r="S658" s="1">
        <f t="shared" si="53"/>
        <v>0.49487367656522052</v>
      </c>
      <c r="T658" s="56">
        <f t="shared" si="54"/>
        <v>0.68772482254169576</v>
      </c>
    </row>
    <row r="659" spans="1:20" x14ac:dyDescent="0.25">
      <c r="A659">
        <v>0.68223876103290382</v>
      </c>
      <c r="B659">
        <v>1.3008661881031003</v>
      </c>
      <c r="D659">
        <v>0.66080324758208175</v>
      </c>
      <c r="E659">
        <v>3.2270379472265631</v>
      </c>
      <c r="J659">
        <v>20</v>
      </c>
      <c r="K659">
        <v>0.27011782322006184</v>
      </c>
      <c r="L659">
        <v>28.615879658429296</v>
      </c>
      <c r="M659">
        <v>10</v>
      </c>
      <c r="N659">
        <v>-5.950710487923061E-2</v>
      </c>
      <c r="O659">
        <v>54.018260266856828</v>
      </c>
      <c r="P659" s="1">
        <f t="shared" si="50"/>
        <v>2.951219283045933</v>
      </c>
      <c r="Q659" s="1">
        <f t="shared" si="51"/>
        <v>0.44268289245688991</v>
      </c>
      <c r="R659" s="1">
        <f t="shared" si="52"/>
        <v>0.66534419096952357</v>
      </c>
      <c r="S659" s="1">
        <f t="shared" si="53"/>
        <v>0.4954201638387658</v>
      </c>
      <c r="T659" s="56">
        <f t="shared" si="54"/>
        <v>0.68791524311092767</v>
      </c>
    </row>
    <row r="660" spans="1:20" x14ac:dyDescent="0.25">
      <c r="A660">
        <v>0.68438016783099598</v>
      </c>
      <c r="B660">
        <v>-0.79430947153014131</v>
      </c>
      <c r="D660">
        <v>0.66089062622037742</v>
      </c>
      <c r="E660">
        <v>1.513290723096361</v>
      </c>
      <c r="J660">
        <v>20</v>
      </c>
      <c r="K660">
        <v>-7.0349244651879417E-2</v>
      </c>
      <c r="L660">
        <v>10.885306247105582</v>
      </c>
      <c r="M660">
        <v>10</v>
      </c>
      <c r="N660">
        <v>-0.3568695808553457</v>
      </c>
      <c r="O660">
        <v>51.454671531925861</v>
      </c>
      <c r="P660" s="1">
        <f t="shared" si="50"/>
        <v>2.2264277778225514</v>
      </c>
      <c r="Q660" s="1">
        <f t="shared" si="51"/>
        <v>0.33396416667338269</v>
      </c>
      <c r="R660" s="1">
        <f t="shared" si="52"/>
        <v>0.57789632865539364</v>
      </c>
      <c r="S660" s="1">
        <f t="shared" si="53"/>
        <v>0.49579885179426658</v>
      </c>
      <c r="T660" s="56">
        <f t="shared" si="54"/>
        <v>0.68804716386370302</v>
      </c>
    </row>
    <row r="661" spans="1:20" x14ac:dyDescent="0.25">
      <c r="A661">
        <v>0.68438667436324097</v>
      </c>
      <c r="B661">
        <v>2.0402876543812454</v>
      </c>
      <c r="D661">
        <v>0.6615097630561283</v>
      </c>
      <c r="E661">
        <v>5.9436872527385276</v>
      </c>
      <c r="J661">
        <v>20</v>
      </c>
      <c r="K661">
        <v>0.38704700955349836</v>
      </c>
      <c r="L661">
        <v>27.733752087908211</v>
      </c>
      <c r="M661">
        <v>10</v>
      </c>
      <c r="N661">
        <v>-1.759076781127078E-2</v>
      </c>
      <c r="O661">
        <v>96.516396834243096</v>
      </c>
      <c r="P661" s="1">
        <f t="shared" si="50"/>
        <v>4.4375053186482614</v>
      </c>
      <c r="Q661" s="1">
        <f t="shared" si="51"/>
        <v>0.66562579779723918</v>
      </c>
      <c r="R661" s="1">
        <f t="shared" si="52"/>
        <v>0.81585893253505481</v>
      </c>
      <c r="S661" s="1">
        <f t="shared" si="53"/>
        <v>0.49596537002722973</v>
      </c>
      <c r="T661" s="56">
        <f t="shared" si="54"/>
        <v>0.68810516455438786</v>
      </c>
    </row>
    <row r="662" spans="1:20" x14ac:dyDescent="0.25">
      <c r="A662">
        <v>0.68520282663619314</v>
      </c>
      <c r="B662">
        <v>-0.4175308276899159</v>
      </c>
      <c r="D662">
        <v>0.66227624692300824</v>
      </c>
      <c r="E662">
        <v>-1.7113341107233282</v>
      </c>
      <c r="J662">
        <v>20</v>
      </c>
      <c r="K662">
        <v>0.42586555082380073</v>
      </c>
      <c r="L662">
        <v>8.367302357910452</v>
      </c>
      <c r="M662">
        <v>10</v>
      </c>
      <c r="N662">
        <v>0.10445534940117795</v>
      </c>
      <c r="O662">
        <v>69.27822567900958</v>
      </c>
      <c r="P662" s="1">
        <f t="shared" si="50"/>
        <v>2.7730545727471436</v>
      </c>
      <c r="Q662" s="1">
        <f t="shared" si="51"/>
        <v>0.41595818591207151</v>
      </c>
      <c r="R662" s="1">
        <f t="shared" si="52"/>
        <v>0.64494820405368325</v>
      </c>
      <c r="S662" s="1">
        <f t="shared" si="53"/>
        <v>0.49835040923049023</v>
      </c>
      <c r="T662" s="56">
        <f t="shared" si="54"/>
        <v>0.68893536770079522</v>
      </c>
    </row>
    <row r="663" spans="1:20" x14ac:dyDescent="0.25">
      <c r="A663">
        <v>0.68668087689364599</v>
      </c>
      <c r="B663">
        <v>-0.39932047002366744</v>
      </c>
      <c r="D663">
        <v>0.66314132064127629</v>
      </c>
      <c r="E663">
        <v>-1.3521291782581102</v>
      </c>
      <c r="J663">
        <v>20</v>
      </c>
      <c r="K663">
        <v>-0.21504007463590824</v>
      </c>
      <c r="L663">
        <v>26.73557425709356</v>
      </c>
      <c r="M663">
        <v>10</v>
      </c>
      <c r="N663">
        <v>-0.71415400157093245</v>
      </c>
      <c r="O663">
        <v>157.52352395348487</v>
      </c>
      <c r="P663" s="1">
        <f t="shared" si="50"/>
        <v>6.5806820789492297</v>
      </c>
      <c r="Q663" s="1">
        <f t="shared" si="51"/>
        <v>0.98710231184238439</v>
      </c>
      <c r="R663" s="1">
        <f t="shared" si="52"/>
        <v>0.9935302269394648</v>
      </c>
      <c r="S663" s="1">
        <f t="shared" si="53"/>
        <v>0.50236410871214987</v>
      </c>
      <c r="T663" s="56">
        <f t="shared" si="54"/>
        <v>0.69033020042491899</v>
      </c>
    </row>
    <row r="664" spans="1:20" x14ac:dyDescent="0.25">
      <c r="A664">
        <v>0.68849701991443069</v>
      </c>
      <c r="B664">
        <v>1.6387730283895507</v>
      </c>
      <c r="D664">
        <v>0.66317981699583328</v>
      </c>
      <c r="E664">
        <v>4.4739892894085642</v>
      </c>
      <c r="J664">
        <v>20</v>
      </c>
      <c r="K664">
        <v>0.29795819500577636</v>
      </c>
      <c r="L664">
        <v>28.391339602803811</v>
      </c>
      <c r="M664">
        <v>10</v>
      </c>
      <c r="N664">
        <v>-0.20663140162469062</v>
      </c>
      <c r="O664">
        <v>159.157421101945</v>
      </c>
      <c r="P664" s="1">
        <f t="shared" si="50"/>
        <v>6.6981700251696008</v>
      </c>
      <c r="Q664" s="1">
        <f t="shared" si="51"/>
        <v>1.0047255037754401</v>
      </c>
      <c r="R664" s="1">
        <f t="shared" si="52"/>
        <v>1.0023599671652097</v>
      </c>
      <c r="S664" s="1">
        <f t="shared" si="53"/>
        <v>0.50340158541796609</v>
      </c>
      <c r="T664" s="56">
        <f t="shared" si="54"/>
        <v>0.69069027383882009</v>
      </c>
    </row>
    <row r="665" spans="1:20" x14ac:dyDescent="0.25">
      <c r="A665">
        <v>0.69034563306781249</v>
      </c>
      <c r="B665">
        <v>0.54959400586085394</v>
      </c>
      <c r="D665">
        <v>0.664090004037583</v>
      </c>
      <c r="E665">
        <v>-4.6447410147720802</v>
      </c>
      <c r="J665">
        <v>20</v>
      </c>
      <c r="K665">
        <v>9.0955893483624095E-2</v>
      </c>
      <c r="L665">
        <v>32.961128679464274</v>
      </c>
      <c r="M665">
        <v>10</v>
      </c>
      <c r="N665">
        <v>-0.36925928611708514</v>
      </c>
      <c r="O665">
        <v>119.57178939111492</v>
      </c>
      <c r="P665" s="1">
        <f t="shared" si="50"/>
        <v>5.4476042168063996</v>
      </c>
      <c r="Q665" s="1">
        <f t="shared" si="51"/>
        <v>0.81714063252095992</v>
      </c>
      <c r="R665" s="1">
        <f t="shared" si="52"/>
        <v>0.90395831348628009</v>
      </c>
      <c r="S665" s="1">
        <f t="shared" si="53"/>
        <v>0.50911106489612945</v>
      </c>
      <c r="T665" s="56">
        <f t="shared" si="54"/>
        <v>0.69266838210970194</v>
      </c>
    </row>
    <row r="666" spans="1:20" x14ac:dyDescent="0.25">
      <c r="A666">
        <v>0.69271476212917849</v>
      </c>
      <c r="B666">
        <v>-0.42656211007852107</v>
      </c>
      <c r="D666">
        <v>0.66490233968232448</v>
      </c>
      <c r="E666">
        <v>0.72695524636401387</v>
      </c>
      <c r="J666">
        <v>20</v>
      </c>
      <c r="K666">
        <v>0.44497886619865312</v>
      </c>
      <c r="L666">
        <v>12.152912889689738</v>
      </c>
      <c r="M666">
        <v>10</v>
      </c>
      <c r="N666">
        <v>6.0646126485153218E-2</v>
      </c>
      <c r="O666">
        <v>92.745473913303499</v>
      </c>
      <c r="P666" s="1">
        <f t="shared" si="50"/>
        <v>3.7463709572497583</v>
      </c>
      <c r="Q666" s="1">
        <f t="shared" si="51"/>
        <v>0.56195564358746375</v>
      </c>
      <c r="R666" s="1">
        <f t="shared" si="52"/>
        <v>0.74963700788279108</v>
      </c>
      <c r="S666" s="1">
        <f t="shared" si="53"/>
        <v>0.51269179038929191</v>
      </c>
      <c r="T666" s="56">
        <f t="shared" si="54"/>
        <v>0.69390595829224788</v>
      </c>
    </row>
    <row r="667" spans="1:20" x14ac:dyDescent="0.25">
      <c r="A667">
        <v>0.6942006749063131</v>
      </c>
      <c r="B667">
        <v>-0.35863195080310106</v>
      </c>
      <c r="D667">
        <v>0.66493524852710539</v>
      </c>
      <c r="E667">
        <v>-1.3707749565128324</v>
      </c>
      <c r="J667">
        <v>20</v>
      </c>
      <c r="K667">
        <v>-7.2994794209080283E-2</v>
      </c>
      <c r="L667">
        <v>14.668313806680608</v>
      </c>
      <c r="M667">
        <v>10</v>
      </c>
      <c r="N667">
        <v>-0.53533154073193145</v>
      </c>
      <c r="O667">
        <v>136.74782458361557</v>
      </c>
      <c r="P667" s="1">
        <f t="shared" si="50"/>
        <v>5.4077192282248632</v>
      </c>
      <c r="Q667" s="1">
        <f t="shared" si="51"/>
        <v>0.81115788423372948</v>
      </c>
      <c r="R667" s="1">
        <f t="shared" si="52"/>
        <v>0.90064303929677347</v>
      </c>
      <c r="S667" s="1">
        <f t="shared" si="53"/>
        <v>0.51334072029674038</v>
      </c>
      <c r="T667" s="56">
        <f t="shared" si="54"/>
        <v>0.69412999355420724</v>
      </c>
    </row>
    <row r="668" spans="1:20" x14ac:dyDescent="0.25">
      <c r="A668">
        <v>0.69425271940598177</v>
      </c>
      <c r="B668">
        <v>-3.2249545256490819E-2</v>
      </c>
      <c r="D668">
        <v>0.66617950138580684</v>
      </c>
      <c r="E668">
        <v>-0.49231562456952815</v>
      </c>
      <c r="J668">
        <v>20</v>
      </c>
      <c r="K668">
        <v>0.4144007448303455</v>
      </c>
      <c r="L668">
        <v>20.809533283367827</v>
      </c>
      <c r="M668">
        <v>10</v>
      </c>
      <c r="N668">
        <v>3.0243651281125494E-2</v>
      </c>
      <c r="O668">
        <v>83.567396309677562</v>
      </c>
      <c r="P668" s="1">
        <f t="shared" si="50"/>
        <v>3.727747485465907</v>
      </c>
      <c r="Q668" s="1">
        <f t="shared" si="51"/>
        <v>0.55916212281988598</v>
      </c>
      <c r="R668" s="1">
        <f t="shared" si="52"/>
        <v>0.74777143755287012</v>
      </c>
      <c r="S668" s="1">
        <f t="shared" si="53"/>
        <v>0.51373598168766477</v>
      </c>
      <c r="T668" s="56">
        <f t="shared" si="54"/>
        <v>0.69426641529037392</v>
      </c>
    </row>
    <row r="669" spans="1:20" x14ac:dyDescent="0.25">
      <c r="A669">
        <v>0.69475566039354253</v>
      </c>
      <c r="B669">
        <v>-0.41103021430899389</v>
      </c>
      <c r="D669">
        <v>0.67157735788442474</v>
      </c>
      <c r="E669">
        <v>0.52684140086967091</v>
      </c>
      <c r="J669">
        <v>20</v>
      </c>
      <c r="K669">
        <v>3.6885296594846295E-2</v>
      </c>
      <c r="L669">
        <v>19.463462255115566</v>
      </c>
      <c r="M669">
        <v>10</v>
      </c>
      <c r="N669">
        <v>-0.50987000918212289</v>
      </c>
      <c r="O669">
        <v>189.38713382181501</v>
      </c>
      <c r="P669" s="1">
        <f t="shared" si="50"/>
        <v>7.4589498598903772</v>
      </c>
      <c r="Q669" s="1">
        <f t="shared" si="51"/>
        <v>1.1188424789835565</v>
      </c>
      <c r="R669" s="1">
        <f t="shared" si="52"/>
        <v>1.0577535057770107</v>
      </c>
      <c r="S669" s="1">
        <f t="shared" si="53"/>
        <v>0.51690238112265152</v>
      </c>
      <c r="T669" s="56">
        <f t="shared" si="54"/>
        <v>0.69535824908943389</v>
      </c>
    </row>
    <row r="670" spans="1:20" x14ac:dyDescent="0.25">
      <c r="A670">
        <v>0.6957444042660772</v>
      </c>
      <c r="B670">
        <v>-0.2289948497491423</v>
      </c>
      <c r="D670">
        <v>0.67170809792510755</v>
      </c>
      <c r="E670">
        <v>-3.0332641961194895</v>
      </c>
      <c r="J670">
        <v>20</v>
      </c>
      <c r="K670">
        <v>6.561282361872145E-2</v>
      </c>
      <c r="L670">
        <v>20.22281823814448</v>
      </c>
      <c r="M670">
        <v>10</v>
      </c>
      <c r="N670">
        <v>-0.31287993692785676</v>
      </c>
      <c r="O670">
        <v>77.53904638435047</v>
      </c>
      <c r="P670" s="1">
        <f t="shared" si="50"/>
        <v>3.4914951650891055</v>
      </c>
      <c r="Q670" s="1">
        <f t="shared" si="51"/>
        <v>0.5237242747633658</v>
      </c>
      <c r="R670" s="1">
        <f t="shared" si="52"/>
        <v>0.72368796781718414</v>
      </c>
      <c r="S670" s="1">
        <f t="shared" si="53"/>
        <v>0.5230054628215014</v>
      </c>
      <c r="T670" s="56">
        <f t="shared" si="54"/>
        <v>0.69745753098820185</v>
      </c>
    </row>
    <row r="671" spans="1:20" x14ac:dyDescent="0.25">
      <c r="A671">
        <v>0.70022561020927954</v>
      </c>
      <c r="B671">
        <v>-1.4761735656065866</v>
      </c>
      <c r="D671">
        <v>0.67208898257898098</v>
      </c>
      <c r="E671">
        <v>-4.1566288507510762</v>
      </c>
      <c r="J671">
        <v>20</v>
      </c>
      <c r="K671">
        <v>-0.60378675925676362</v>
      </c>
      <c r="L671">
        <v>21.962380803030388</v>
      </c>
      <c r="M671">
        <v>10</v>
      </c>
      <c r="N671">
        <v>-1.0418937142731011</v>
      </c>
      <c r="O671">
        <v>108.78774595122479</v>
      </c>
      <c r="P671" s="1">
        <f t="shared" si="50"/>
        <v>4.6696473840805419</v>
      </c>
      <c r="Q671" s="1">
        <f t="shared" si="51"/>
        <v>0.70044710761208129</v>
      </c>
      <c r="R671" s="1">
        <f t="shared" si="52"/>
        <v>0.83692718178589542</v>
      </c>
      <c r="S671" s="1">
        <f t="shared" si="53"/>
        <v>0.52347081627994607</v>
      </c>
      <c r="T671" s="56">
        <f t="shared" si="54"/>
        <v>0.69761731815273631</v>
      </c>
    </row>
    <row r="672" spans="1:20" x14ac:dyDescent="0.25">
      <c r="A672">
        <v>0.70201247669192379</v>
      </c>
      <c r="B672">
        <v>0.23009533833828755</v>
      </c>
      <c r="D672">
        <v>0.6744956460549848</v>
      </c>
      <c r="E672">
        <v>1.141531353141545</v>
      </c>
      <c r="J672">
        <v>20</v>
      </c>
      <c r="K672">
        <v>3.8388066059269477E-3</v>
      </c>
      <c r="L672">
        <v>17.766050951251607</v>
      </c>
      <c r="M672">
        <v>10</v>
      </c>
      <c r="N672">
        <v>-0.35856533372680133</v>
      </c>
      <c r="O672">
        <v>70.035834693326976</v>
      </c>
      <c r="P672" s="1">
        <f t="shared" si="50"/>
        <v>3.1357816301635211</v>
      </c>
      <c r="Q672" s="1">
        <f t="shared" si="51"/>
        <v>0.47036724452452816</v>
      </c>
      <c r="R672" s="1">
        <f t="shared" si="52"/>
        <v>0.6858332483370343</v>
      </c>
      <c r="S672" s="1">
        <f t="shared" si="53"/>
        <v>0.52841436487872706</v>
      </c>
      <c r="T672" s="56">
        <f t="shared" si="54"/>
        <v>0.6993123017455537</v>
      </c>
    </row>
    <row r="673" spans="1:20" x14ac:dyDescent="0.25">
      <c r="A673">
        <v>0.70410623888854706</v>
      </c>
      <c r="B673">
        <v>0.42363126340205781</v>
      </c>
      <c r="D673">
        <v>0.67505236361700871</v>
      </c>
      <c r="E673">
        <v>1.694097132940442</v>
      </c>
      <c r="J673">
        <v>20</v>
      </c>
      <c r="K673">
        <v>-0.11905791552635492</v>
      </c>
      <c r="L673">
        <v>12.341697873603911</v>
      </c>
      <c r="M673">
        <v>10</v>
      </c>
      <c r="N673">
        <v>-0.41592591401240497</v>
      </c>
      <c r="O673">
        <v>45.116255083118247</v>
      </c>
      <c r="P673" s="1">
        <f t="shared" si="50"/>
        <v>2.0520697484543629</v>
      </c>
      <c r="Q673" s="1">
        <f t="shared" si="51"/>
        <v>0.30781046226815439</v>
      </c>
      <c r="R673" s="1">
        <f t="shared" si="52"/>
        <v>0.55480668909824293</v>
      </c>
      <c r="S673" s="1">
        <f t="shared" si="53"/>
        <v>0.53508366845498123</v>
      </c>
      <c r="T673" s="56">
        <f t="shared" si="54"/>
        <v>0.70159180053379644</v>
      </c>
    </row>
    <row r="674" spans="1:20" x14ac:dyDescent="0.25">
      <c r="A674">
        <v>0.70442383138247366</v>
      </c>
      <c r="B674">
        <v>0.78740640674368478</v>
      </c>
      <c r="D674">
        <v>0.6752287463963903</v>
      </c>
      <c r="E674">
        <v>-1.2563832603973424</v>
      </c>
      <c r="J674">
        <v>20</v>
      </c>
      <c r="K674">
        <v>9.3359972197504248E-2</v>
      </c>
      <c r="L674">
        <v>19.258323814085454</v>
      </c>
      <c r="M674">
        <v>10</v>
      </c>
      <c r="N674">
        <v>-0.22077177050050523</v>
      </c>
      <c r="O674">
        <v>43.893274059531187</v>
      </c>
      <c r="P674" s="1">
        <f t="shared" si="50"/>
        <v>2.2554142097720229</v>
      </c>
      <c r="Q674" s="1">
        <f t="shared" si="51"/>
        <v>0.33831213146580341</v>
      </c>
      <c r="R674" s="1">
        <f t="shared" si="52"/>
        <v>0.58164605342579556</v>
      </c>
      <c r="S674" s="1">
        <f t="shared" si="53"/>
        <v>0.54007371123353687</v>
      </c>
      <c r="T674" s="56">
        <f t="shared" si="54"/>
        <v>0.70329190483979453</v>
      </c>
    </row>
    <row r="675" spans="1:20" x14ac:dyDescent="0.25">
      <c r="A675">
        <v>0.70462420389843949</v>
      </c>
      <c r="B675">
        <v>-1.4074066712055355</v>
      </c>
      <c r="D675">
        <v>0.67562210935860545</v>
      </c>
      <c r="E675">
        <v>-2.6191007725628879</v>
      </c>
      <c r="J675">
        <v>20</v>
      </c>
      <c r="K675">
        <v>0.1580892217134533</v>
      </c>
      <c r="L675">
        <v>34.3122469602271</v>
      </c>
      <c r="M675">
        <v>10</v>
      </c>
      <c r="N675">
        <v>-0.25629902097534796</v>
      </c>
      <c r="O675">
        <v>74.547805056104323</v>
      </c>
      <c r="P675" s="1">
        <f t="shared" si="50"/>
        <v>3.8878590005832652</v>
      </c>
      <c r="Q675" s="1">
        <f t="shared" si="51"/>
        <v>0.58317885008748971</v>
      </c>
      <c r="R675" s="1">
        <f t="shared" si="52"/>
        <v>0.76366147610540736</v>
      </c>
      <c r="S675" s="1">
        <f t="shared" si="53"/>
        <v>0.54263342548341886</v>
      </c>
      <c r="T675" s="56">
        <f t="shared" si="54"/>
        <v>0.70416217972193762</v>
      </c>
    </row>
    <row r="676" spans="1:20" x14ac:dyDescent="0.25">
      <c r="A676">
        <v>0.70481214974352746</v>
      </c>
      <c r="B676">
        <v>-0.22561948753718752</v>
      </c>
      <c r="D676">
        <v>0.67569724890764316</v>
      </c>
      <c r="E676">
        <v>-2.739924869956667</v>
      </c>
      <c r="J676">
        <v>20</v>
      </c>
      <c r="K676">
        <v>-3.2296497920469847E-2</v>
      </c>
      <c r="L676">
        <v>16.131656633371936</v>
      </c>
      <c r="M676">
        <v>10</v>
      </c>
      <c r="N676">
        <v>-0.39901101786199433</v>
      </c>
      <c r="O676">
        <v>66.97076762929234</v>
      </c>
      <c r="P676" s="1">
        <f t="shared" si="50"/>
        <v>2.9679437236665813</v>
      </c>
      <c r="Q676" s="1">
        <f t="shared" si="51"/>
        <v>0.44519155854998721</v>
      </c>
      <c r="R676" s="1">
        <f t="shared" si="52"/>
        <v>0.66722676696156846</v>
      </c>
      <c r="S676" s="1">
        <f t="shared" si="53"/>
        <v>0.54961002480682375</v>
      </c>
      <c r="T676" s="56">
        <f t="shared" si="54"/>
        <v>0.7065278500796931</v>
      </c>
    </row>
    <row r="677" spans="1:20" x14ac:dyDescent="0.25">
      <c r="A677">
        <v>0.70610536078532316</v>
      </c>
      <c r="B677">
        <v>-0.79085339166340418</v>
      </c>
      <c r="D677">
        <v>0.67950175959708614</v>
      </c>
      <c r="E677">
        <v>1.961526091918131</v>
      </c>
      <c r="J677">
        <v>20</v>
      </c>
      <c r="K677">
        <v>-0.17907029814523412</v>
      </c>
      <c r="L677">
        <v>10.341927963943574</v>
      </c>
      <c r="M677">
        <v>10</v>
      </c>
      <c r="N677">
        <v>-0.54126940426613146</v>
      </c>
      <c r="O677">
        <v>69.778561493383236</v>
      </c>
      <c r="P677" s="1">
        <f t="shared" si="50"/>
        <v>2.8614460520473863</v>
      </c>
      <c r="Q677" s="1">
        <f t="shared" si="51"/>
        <v>0.42921690780710792</v>
      </c>
      <c r="R677" s="1">
        <f t="shared" si="52"/>
        <v>0.65514647813073679</v>
      </c>
      <c r="S677" s="1">
        <f t="shared" si="53"/>
        <v>0.55285209981487415</v>
      </c>
      <c r="T677" s="56">
        <f t="shared" si="54"/>
        <v>0.7076240415671311</v>
      </c>
    </row>
    <row r="678" spans="1:20" x14ac:dyDescent="0.25">
      <c r="A678">
        <v>0.70741705283809564</v>
      </c>
      <c r="B678">
        <v>0.23897996470623184</v>
      </c>
      <c r="D678">
        <v>0.67971604374677486</v>
      </c>
      <c r="E678">
        <v>-8.7208234197078127</v>
      </c>
      <c r="J678">
        <v>20</v>
      </c>
      <c r="K678">
        <v>0.21697616148230736</v>
      </c>
      <c r="L678">
        <v>16.923654212337439</v>
      </c>
      <c r="M678">
        <v>10</v>
      </c>
      <c r="N678">
        <v>-0.1317062049110973</v>
      </c>
      <c r="O678">
        <v>55.36453336082451</v>
      </c>
      <c r="P678" s="1">
        <f t="shared" si="50"/>
        <v>2.5817209847557838</v>
      </c>
      <c r="Q678" s="1">
        <f t="shared" si="51"/>
        <v>0.38725814771336758</v>
      </c>
      <c r="R678" s="1">
        <f t="shared" si="52"/>
        <v>0.62230068914743109</v>
      </c>
      <c r="S678" s="1">
        <f t="shared" si="53"/>
        <v>0.56031171501852106</v>
      </c>
      <c r="T678" s="56">
        <f t="shared" si="54"/>
        <v>0.71013859303018134</v>
      </c>
    </row>
    <row r="679" spans="1:20" x14ac:dyDescent="0.25">
      <c r="A679">
        <v>0.7083789652028375</v>
      </c>
      <c r="B679">
        <v>1.1803490451711696</v>
      </c>
      <c r="D679">
        <v>0.6832756598803934</v>
      </c>
      <c r="E679">
        <v>-2.0608597458249278</v>
      </c>
      <c r="J679">
        <v>20</v>
      </c>
      <c r="K679">
        <v>1.2488499123719521E-4</v>
      </c>
      <c r="L679">
        <v>10.874068454695514</v>
      </c>
      <c r="M679">
        <v>10</v>
      </c>
      <c r="N679">
        <v>-0.58469220562074042</v>
      </c>
      <c r="O679">
        <v>191.56109157517184</v>
      </c>
      <c r="P679" s="1">
        <f t="shared" si="50"/>
        <v>7.229827143923834</v>
      </c>
      <c r="Q679" s="1">
        <f t="shared" si="51"/>
        <v>1.084474071588575</v>
      </c>
      <c r="R679" s="1">
        <f t="shared" si="52"/>
        <v>1.0413808484836731</v>
      </c>
      <c r="S679" s="1">
        <f t="shared" si="53"/>
        <v>0.56157849595900888</v>
      </c>
      <c r="T679" s="56">
        <f t="shared" si="54"/>
        <v>0.71056454610355257</v>
      </c>
    </row>
    <row r="680" spans="1:20" x14ac:dyDescent="0.25">
      <c r="A680">
        <v>0.70875515187061411</v>
      </c>
      <c r="B680">
        <v>-0.51434199122013524</v>
      </c>
      <c r="D680">
        <v>0.68424726517666468</v>
      </c>
      <c r="E680">
        <v>3.4496754290103127</v>
      </c>
      <c r="J680">
        <v>20</v>
      </c>
      <c r="K680">
        <v>-0.41455820110058994</v>
      </c>
      <c r="L680">
        <v>29.656670907036855</v>
      </c>
      <c r="M680">
        <v>10</v>
      </c>
      <c r="N680">
        <v>-0.76579226856665628</v>
      </c>
      <c r="O680">
        <v>42.427659395499859</v>
      </c>
      <c r="P680" s="1">
        <f t="shared" si="50"/>
        <v>2.5744403679477399</v>
      </c>
      <c r="Q680" s="1">
        <f t="shared" si="51"/>
        <v>0.38616605519216096</v>
      </c>
      <c r="R680" s="1">
        <f t="shared" si="52"/>
        <v>0.62142260595520737</v>
      </c>
      <c r="S680" s="1">
        <f t="shared" si="53"/>
        <v>0.56520967229084607</v>
      </c>
      <c r="T680" s="56">
        <f t="shared" si="54"/>
        <v>0.71178380260815388</v>
      </c>
    </row>
    <row r="681" spans="1:20" x14ac:dyDescent="0.25">
      <c r="A681">
        <v>0.70883345349240434</v>
      </c>
      <c r="B681">
        <v>-0.84482962847687304</v>
      </c>
      <c r="D681">
        <v>0.68519922896159924</v>
      </c>
      <c r="E681">
        <v>-0.72239845735566632</v>
      </c>
      <c r="J681">
        <v>20</v>
      </c>
      <c r="K681">
        <v>0.1917813392537937</v>
      </c>
      <c r="L681">
        <v>16.139955247940776</v>
      </c>
      <c r="M681">
        <v>10</v>
      </c>
      <c r="N681">
        <v>-0.21927724333181686</v>
      </c>
      <c r="O681">
        <v>81.966570077779508</v>
      </c>
      <c r="P681" s="1">
        <f t="shared" si="50"/>
        <v>3.5038044759185816</v>
      </c>
      <c r="Q681" s="1">
        <f t="shared" si="51"/>
        <v>0.52557067138778724</v>
      </c>
      <c r="R681" s="1">
        <f t="shared" si="52"/>
        <v>0.72496253102335384</v>
      </c>
      <c r="S681" s="1">
        <f t="shared" si="53"/>
        <v>0.56700665895844593</v>
      </c>
      <c r="T681" s="56">
        <f t="shared" si="54"/>
        <v>0.71238623876649521</v>
      </c>
    </row>
    <row r="682" spans="1:20" x14ac:dyDescent="0.25">
      <c r="A682">
        <v>0.7105196097366312</v>
      </c>
      <c r="B682">
        <v>0.22852418624097481</v>
      </c>
      <c r="D682">
        <v>0.68951719313374049</v>
      </c>
      <c r="E682">
        <v>-0.38845587710056861</v>
      </c>
      <c r="J682">
        <v>20</v>
      </c>
      <c r="K682">
        <v>-2.7491466880746884E-2</v>
      </c>
      <c r="L682">
        <v>6.9834265143152603</v>
      </c>
      <c r="M682">
        <v>10</v>
      </c>
      <c r="N682">
        <v>-0.31802108310330368</v>
      </c>
      <c r="O682">
        <v>40.873875435314552</v>
      </c>
      <c r="P682" s="1">
        <f t="shared" si="50"/>
        <v>1.7091893553439219</v>
      </c>
      <c r="Q682" s="1">
        <f t="shared" si="51"/>
        <v>0.25637840330158829</v>
      </c>
      <c r="R682" s="1">
        <f t="shared" si="52"/>
        <v>0.50633823014027712</v>
      </c>
      <c r="S682" s="1">
        <f t="shared" si="53"/>
        <v>0.57378566130009145</v>
      </c>
      <c r="T682" s="56">
        <f t="shared" si="54"/>
        <v>0.71465321999052389</v>
      </c>
    </row>
    <row r="683" spans="1:20" x14ac:dyDescent="0.25">
      <c r="A683">
        <v>0.71114301041874139</v>
      </c>
      <c r="B683">
        <v>0.72588363764225505</v>
      </c>
      <c r="D683">
        <v>0.69076310513855754</v>
      </c>
      <c r="E683">
        <v>-3.424822128863525</v>
      </c>
      <c r="J683">
        <v>20</v>
      </c>
      <c r="K683">
        <v>-5.7880185977410292E-2</v>
      </c>
      <c r="L683">
        <v>14.463580844413661</v>
      </c>
      <c r="M683">
        <v>10</v>
      </c>
      <c r="N683">
        <v>-0.49173377533406892</v>
      </c>
      <c r="O683">
        <v>91.040107627855065</v>
      </c>
      <c r="P683" s="1">
        <f t="shared" si="50"/>
        <v>3.767988874009597</v>
      </c>
      <c r="Q683" s="1">
        <f t="shared" si="51"/>
        <v>0.56519833110143958</v>
      </c>
      <c r="R683" s="1">
        <f t="shared" si="52"/>
        <v>0.75179673522930357</v>
      </c>
      <c r="S683" s="1">
        <f t="shared" si="53"/>
        <v>0.5770889510770888</v>
      </c>
      <c r="T683" s="56">
        <f t="shared" si="54"/>
        <v>0.71575462025704495</v>
      </c>
    </row>
    <row r="684" spans="1:20" x14ac:dyDescent="0.25">
      <c r="A684">
        <v>0.71325769557567975</v>
      </c>
      <c r="B684">
        <v>0.33321157388854772</v>
      </c>
      <c r="D684">
        <v>0.69177443320221232</v>
      </c>
      <c r="E684">
        <v>3.3482576748156134</v>
      </c>
      <c r="J684">
        <v>20</v>
      </c>
      <c r="K684">
        <v>-0.25441084972044337</v>
      </c>
      <c r="L684">
        <v>17.480927341162257</v>
      </c>
      <c r="M684">
        <v>10</v>
      </c>
      <c r="N684">
        <v>-0.67566020675258187</v>
      </c>
      <c r="O684">
        <v>80.465539844263631</v>
      </c>
      <c r="P684" s="1">
        <f t="shared" si="50"/>
        <v>3.4980881137652102</v>
      </c>
      <c r="Q684" s="1">
        <f t="shared" si="51"/>
        <v>0.52471321706478147</v>
      </c>
      <c r="R684" s="1">
        <f t="shared" si="52"/>
        <v>0.72437091124974196</v>
      </c>
      <c r="S684" s="1">
        <f t="shared" si="53"/>
        <v>0.58153820161740866</v>
      </c>
      <c r="T684" s="56">
        <f t="shared" si="54"/>
        <v>0.71723471806432948</v>
      </c>
    </row>
    <row r="685" spans="1:20" x14ac:dyDescent="0.25">
      <c r="A685">
        <v>0.71375296137649313</v>
      </c>
      <c r="B685">
        <v>-0.47012690629344434</v>
      </c>
      <c r="D685">
        <v>0.69198845373355711</v>
      </c>
      <c r="E685">
        <v>-3.8927912589770131</v>
      </c>
      <c r="J685">
        <v>20</v>
      </c>
      <c r="K685">
        <v>0.38083243225628394</v>
      </c>
      <c r="L685">
        <v>24.114102045500697</v>
      </c>
      <c r="M685">
        <v>10</v>
      </c>
      <c r="N685">
        <v>-5.6170850939452066E-2</v>
      </c>
      <c r="O685">
        <v>80.692495004632747</v>
      </c>
      <c r="P685" s="1">
        <f t="shared" si="50"/>
        <v>3.7430927517904804</v>
      </c>
      <c r="Q685" s="1">
        <f t="shared" si="51"/>
        <v>0.56146391276857199</v>
      </c>
      <c r="R685" s="1">
        <f t="shared" si="52"/>
        <v>0.74930895681859566</v>
      </c>
      <c r="S685" s="1">
        <f t="shared" si="53"/>
        <v>0.58320840718514533</v>
      </c>
      <c r="T685" s="56">
        <f t="shared" si="54"/>
        <v>0.71778932308120502</v>
      </c>
    </row>
    <row r="686" spans="1:20" x14ac:dyDescent="0.25">
      <c r="A686">
        <v>0.71513933248909212</v>
      </c>
      <c r="B686">
        <v>-8.2213773566763848E-2</v>
      </c>
      <c r="D686">
        <v>0.69227711774371303</v>
      </c>
      <c r="E686">
        <v>-3.9761396271842386</v>
      </c>
      <c r="J686">
        <v>20</v>
      </c>
      <c r="K686">
        <v>0.10563707064648042</v>
      </c>
      <c r="L686">
        <v>11.019155500188027</v>
      </c>
      <c r="M686">
        <v>10</v>
      </c>
      <c r="N686">
        <v>-0.34906543419310765</v>
      </c>
      <c r="O686">
        <v>102.05234235810515</v>
      </c>
      <c r="P686" s="1">
        <f t="shared" si="50"/>
        <v>4.038267780653328</v>
      </c>
      <c r="Q686" s="1">
        <f t="shared" si="51"/>
        <v>0.60574016709799916</v>
      </c>
      <c r="R686" s="1">
        <f t="shared" si="52"/>
        <v>0.77829311130061996</v>
      </c>
      <c r="S686" s="1">
        <f t="shared" si="53"/>
        <v>0.58423041170148138</v>
      </c>
      <c r="T686" s="56">
        <f t="shared" si="54"/>
        <v>0.71812841536787664</v>
      </c>
    </row>
    <row r="687" spans="1:20" x14ac:dyDescent="0.25">
      <c r="A687">
        <v>0.71647220161218739</v>
      </c>
      <c r="B687">
        <v>-0.83590066424221732</v>
      </c>
      <c r="D687">
        <v>0.69271290640803129</v>
      </c>
      <c r="E687">
        <v>0.5542422024973348</v>
      </c>
      <c r="J687">
        <v>20</v>
      </c>
      <c r="K687">
        <v>7.8093933097989066E-2</v>
      </c>
      <c r="L687">
        <v>18.534372448545653</v>
      </c>
      <c r="M687">
        <v>10</v>
      </c>
      <c r="N687">
        <v>-0.39300869389080617</v>
      </c>
      <c r="O687">
        <v>101.24241916603164</v>
      </c>
      <c r="P687" s="1">
        <f t="shared" si="50"/>
        <v>4.2777425576634744</v>
      </c>
      <c r="Q687" s="1">
        <f t="shared" si="51"/>
        <v>0.64166138364952119</v>
      </c>
      <c r="R687" s="1">
        <f t="shared" si="52"/>
        <v>0.80103769177830897</v>
      </c>
      <c r="S687" s="1">
        <f t="shared" si="53"/>
        <v>0.58811543055226811</v>
      </c>
      <c r="T687" s="56">
        <f t="shared" si="54"/>
        <v>0.71941553913543155</v>
      </c>
    </row>
    <row r="688" spans="1:20" x14ac:dyDescent="0.25">
      <c r="A688">
        <v>0.7174163977314405</v>
      </c>
      <c r="B688">
        <v>-4.679577614297159E-2</v>
      </c>
      <c r="D688">
        <v>0.69359625084424026</v>
      </c>
      <c r="E688">
        <v>-0.48675292759980948</v>
      </c>
      <c r="J688">
        <v>20</v>
      </c>
      <c r="K688">
        <v>-0.19157948827341897</v>
      </c>
      <c r="L688">
        <v>31.064891484933035</v>
      </c>
      <c r="M688">
        <v>10</v>
      </c>
      <c r="N688">
        <v>-0.61205719589452201</v>
      </c>
      <c r="O688">
        <v>63.775692258638571</v>
      </c>
      <c r="P688" s="1">
        <f t="shared" si="50"/>
        <v>3.3871637051275578</v>
      </c>
      <c r="Q688" s="1">
        <f t="shared" si="51"/>
        <v>0.50807455576913363</v>
      </c>
      <c r="R688" s="1">
        <f t="shared" si="52"/>
        <v>0.71279348746262661</v>
      </c>
      <c r="S688" s="1">
        <f t="shared" si="53"/>
        <v>0.58990116354444055</v>
      </c>
      <c r="T688" s="56">
        <f t="shared" si="54"/>
        <v>0.72000615291418346</v>
      </c>
    </row>
    <row r="689" spans="1:20" x14ac:dyDescent="0.25">
      <c r="A689">
        <v>0.71761135446217694</v>
      </c>
      <c r="B689">
        <v>-0.2875322024920024</v>
      </c>
      <c r="D689">
        <v>0.69496861112052088</v>
      </c>
      <c r="E689">
        <v>2.2771162059598282</v>
      </c>
      <c r="J689">
        <v>20</v>
      </c>
      <c r="K689">
        <v>-0.40462214201397728</v>
      </c>
      <c r="L689">
        <v>22.379204212420095</v>
      </c>
      <c r="M689">
        <v>10</v>
      </c>
      <c r="N689">
        <v>-0.90019603135260695</v>
      </c>
      <c r="O689">
        <v>107.48446459560026</v>
      </c>
      <c r="P689" s="1">
        <f t="shared" si="50"/>
        <v>4.6379881717150129</v>
      </c>
      <c r="Q689" s="1">
        <f t="shared" si="51"/>
        <v>0.69569822575725193</v>
      </c>
      <c r="R689" s="1">
        <f t="shared" si="52"/>
        <v>0.83408526288218998</v>
      </c>
      <c r="S689" s="1">
        <f t="shared" si="53"/>
        <v>0.59415255417194301</v>
      </c>
      <c r="T689" s="56">
        <f t="shared" si="54"/>
        <v>0.72140969672111865</v>
      </c>
    </row>
    <row r="690" spans="1:20" x14ac:dyDescent="0.25">
      <c r="A690">
        <v>0.7188842391557102</v>
      </c>
      <c r="B690">
        <v>0.38931602830416523</v>
      </c>
      <c r="D690">
        <v>0.69525264830645717</v>
      </c>
      <c r="E690">
        <v>3.3548333215094317</v>
      </c>
      <c r="J690">
        <v>20</v>
      </c>
      <c r="K690">
        <v>0.15779482964717317</v>
      </c>
      <c r="L690">
        <v>20.591773459226676</v>
      </c>
      <c r="M690">
        <v>10</v>
      </c>
      <c r="N690">
        <v>-0.27303315505378123</v>
      </c>
      <c r="O690">
        <v>76.219904829163198</v>
      </c>
      <c r="P690" s="1">
        <f t="shared" si="50"/>
        <v>3.4575599388710669</v>
      </c>
      <c r="Q690" s="1">
        <f t="shared" si="51"/>
        <v>0.51863399083065997</v>
      </c>
      <c r="R690" s="1">
        <f t="shared" si="52"/>
        <v>0.72016247530030331</v>
      </c>
      <c r="S690" s="1">
        <f t="shared" si="53"/>
        <v>0.59823720268304981</v>
      </c>
      <c r="T690" s="56">
        <f t="shared" si="54"/>
        <v>0.72275478162826778</v>
      </c>
    </row>
    <row r="691" spans="1:20" x14ac:dyDescent="0.25">
      <c r="A691">
        <v>0.72240650686824159</v>
      </c>
      <c r="B691">
        <v>1.1363590601831675</v>
      </c>
      <c r="D691">
        <v>0.69670017611899626</v>
      </c>
      <c r="E691">
        <v>-2.8709330342735484</v>
      </c>
      <c r="J691">
        <v>20</v>
      </c>
      <c r="K691">
        <v>-1.555076778458897E-2</v>
      </c>
      <c r="L691">
        <v>22.537718043965988</v>
      </c>
      <c r="M691">
        <v>10</v>
      </c>
      <c r="N691">
        <v>-0.54748796060266613</v>
      </c>
      <c r="O691">
        <v>121.10914472978547</v>
      </c>
      <c r="P691" s="1">
        <f t="shared" si="50"/>
        <v>5.1302450990625514</v>
      </c>
      <c r="Q691" s="1">
        <f t="shared" si="51"/>
        <v>0.76953676485938272</v>
      </c>
      <c r="R691" s="1">
        <f t="shared" si="52"/>
        <v>0.8772324463102027</v>
      </c>
      <c r="S691" s="1">
        <f t="shared" si="53"/>
        <v>0.6063811194575629</v>
      </c>
      <c r="T691" s="56">
        <f t="shared" si="54"/>
        <v>0.72542656085981994</v>
      </c>
    </row>
    <row r="692" spans="1:20" x14ac:dyDescent="0.25">
      <c r="A692">
        <v>0.72351454643162461</v>
      </c>
      <c r="B692">
        <v>0.55824330047471449</v>
      </c>
      <c r="D692">
        <v>0.69699144252053769</v>
      </c>
      <c r="E692">
        <v>2.0783734237284079</v>
      </c>
      <c r="J692">
        <v>20</v>
      </c>
      <c r="K692">
        <v>-0.12094210433133412</v>
      </c>
      <c r="L692">
        <v>28.404427298704615</v>
      </c>
      <c r="M692">
        <v>10</v>
      </c>
      <c r="N692">
        <v>-0.65530298684279842</v>
      </c>
      <c r="O692">
        <v>113.16744310939312</v>
      </c>
      <c r="P692" s="1">
        <f t="shared" si="50"/>
        <v>5.0561382288606334</v>
      </c>
      <c r="Q692" s="1">
        <f t="shared" si="51"/>
        <v>0.75842073432909496</v>
      </c>
      <c r="R692" s="1">
        <f t="shared" si="52"/>
        <v>0.87087354669268424</v>
      </c>
      <c r="S692" s="1">
        <f t="shared" si="53"/>
        <v>0.61359181771085614</v>
      </c>
      <c r="T692" s="56">
        <f t="shared" si="54"/>
        <v>0.7277809521472357</v>
      </c>
    </row>
    <row r="693" spans="1:20" x14ac:dyDescent="0.25">
      <c r="A693">
        <v>0.72400068379177429</v>
      </c>
      <c r="B693">
        <v>0.17558249965077266</v>
      </c>
      <c r="D693">
        <v>0.69972622303246479</v>
      </c>
      <c r="E693">
        <v>-1.1861691325520951</v>
      </c>
      <c r="J693">
        <v>20</v>
      </c>
      <c r="K693">
        <v>0.10645140946508036</v>
      </c>
      <c r="L693">
        <v>14.584533450204322</v>
      </c>
      <c r="M693">
        <v>10</v>
      </c>
      <c r="N693">
        <v>-0.31198669944387802</v>
      </c>
      <c r="O693">
        <v>69.340323443431359</v>
      </c>
      <c r="P693" s="1">
        <f t="shared" si="50"/>
        <v>2.9973163176298456</v>
      </c>
      <c r="Q693" s="1">
        <f t="shared" si="51"/>
        <v>0.44959744764447684</v>
      </c>
      <c r="R693" s="1">
        <f t="shared" si="52"/>
        <v>0.67052028130734187</v>
      </c>
      <c r="S693" s="1">
        <f t="shared" si="53"/>
        <v>0.62404989166489022</v>
      </c>
      <c r="T693" s="56">
        <f t="shared" si="54"/>
        <v>0.73117676240011364</v>
      </c>
    </row>
    <row r="694" spans="1:20" x14ac:dyDescent="0.25">
      <c r="A694">
        <v>0.72553704280786846</v>
      </c>
      <c r="B694">
        <v>-1.2125838111387566E-2</v>
      </c>
      <c r="D694">
        <v>0.70086110075495323</v>
      </c>
      <c r="E694">
        <v>2.8194365279432532</v>
      </c>
      <c r="J694">
        <v>20</v>
      </c>
      <c r="K694">
        <v>0.44661123865807895</v>
      </c>
      <c r="L694">
        <v>24.487782681207026</v>
      </c>
      <c r="M694">
        <v>10</v>
      </c>
      <c r="N694">
        <v>-2.1198846980041708E-2</v>
      </c>
      <c r="O694">
        <v>76.59428101645112</v>
      </c>
      <c r="P694" s="1">
        <f t="shared" si="50"/>
        <v>3.610073703487791</v>
      </c>
      <c r="Q694" s="1">
        <f t="shared" si="51"/>
        <v>0.54151105552316858</v>
      </c>
      <c r="R694" s="1">
        <f t="shared" si="52"/>
        <v>0.73587434764582504</v>
      </c>
      <c r="S694" s="1">
        <f t="shared" si="53"/>
        <v>0.63572006163106098</v>
      </c>
      <c r="T694" s="56">
        <f t="shared" si="54"/>
        <v>0.73493950135850161</v>
      </c>
    </row>
    <row r="695" spans="1:20" x14ac:dyDescent="0.25">
      <c r="A695">
        <v>0.72598106837430809</v>
      </c>
      <c r="B695">
        <v>1.0918233783741016</v>
      </c>
      <c r="D695">
        <v>0.70101280796493859</v>
      </c>
      <c r="E695">
        <v>4.9969032681929093</v>
      </c>
      <c r="J695">
        <v>20</v>
      </c>
      <c r="K695">
        <v>0.40759363173492602</v>
      </c>
      <c r="L695">
        <v>18.19286874145428</v>
      </c>
      <c r="M695">
        <v>10</v>
      </c>
      <c r="N695">
        <v>7.8553167668360402E-2</v>
      </c>
      <c r="O695">
        <v>31.635744954820535</v>
      </c>
      <c r="P695" s="1">
        <f t="shared" si="50"/>
        <v>1.7795933462955291</v>
      </c>
      <c r="Q695" s="1">
        <f t="shared" si="51"/>
        <v>0.26693900194432935</v>
      </c>
      <c r="R695" s="1">
        <f t="shared" si="52"/>
        <v>0.51666139970422542</v>
      </c>
      <c r="S695" s="1">
        <f t="shared" si="53"/>
        <v>0.6368590033142254</v>
      </c>
      <c r="T695" s="56">
        <f t="shared" si="54"/>
        <v>0.73530520707562275</v>
      </c>
    </row>
    <row r="696" spans="1:20" x14ac:dyDescent="0.25">
      <c r="A696">
        <v>0.72600911690686964</v>
      </c>
      <c r="B696">
        <v>0.14211423149390612</v>
      </c>
      <c r="D696">
        <v>0.70147959533744375</v>
      </c>
      <c r="E696">
        <v>2.9163727469949663</v>
      </c>
      <c r="J696">
        <v>20</v>
      </c>
      <c r="K696">
        <v>-0.32969302310448256</v>
      </c>
      <c r="L696">
        <v>20.623620255712193</v>
      </c>
      <c r="M696">
        <v>10</v>
      </c>
      <c r="N696">
        <v>-0.77325330835265049</v>
      </c>
      <c r="O696">
        <v>69.368477910519744</v>
      </c>
      <c r="P696" s="1">
        <f t="shared" si="50"/>
        <v>3.214003505936855</v>
      </c>
      <c r="Q696" s="1">
        <f t="shared" si="51"/>
        <v>0.48210052589052821</v>
      </c>
      <c r="R696" s="1">
        <f t="shared" si="52"/>
        <v>0.69433459217478732</v>
      </c>
      <c r="S696" s="1">
        <f t="shared" si="53"/>
        <v>0.63882786519227452</v>
      </c>
      <c r="T696" s="56">
        <f t="shared" si="54"/>
        <v>0.73593675537264047</v>
      </c>
    </row>
    <row r="697" spans="1:20" x14ac:dyDescent="0.25">
      <c r="A697">
        <v>0.7266750566886</v>
      </c>
      <c r="B697">
        <v>-0.26670477382140234</v>
      </c>
      <c r="D697">
        <v>0.70243209667083506</v>
      </c>
      <c r="E697">
        <v>-4.5681797507768351</v>
      </c>
      <c r="J697">
        <v>20</v>
      </c>
      <c r="K697">
        <v>1.2510440683399793E-2</v>
      </c>
      <c r="L697">
        <v>8.8843443895266905</v>
      </c>
      <c r="M697">
        <v>10</v>
      </c>
      <c r="N697">
        <v>-0.40809038978295575</v>
      </c>
      <c r="O697">
        <v>71.768247744990916</v>
      </c>
      <c r="P697" s="1">
        <f t="shared" si="50"/>
        <v>2.8804497190899143</v>
      </c>
      <c r="Q697" s="1">
        <f t="shared" si="51"/>
        <v>0.43206745786348716</v>
      </c>
      <c r="R697" s="1">
        <f t="shared" si="52"/>
        <v>0.65731838393847408</v>
      </c>
      <c r="S697" s="1">
        <f t="shared" si="53"/>
        <v>0.63987382787961755</v>
      </c>
      <c r="T697" s="56">
        <f t="shared" si="54"/>
        <v>0.73627193742787123</v>
      </c>
    </row>
    <row r="698" spans="1:20" x14ac:dyDescent="0.25">
      <c r="A698">
        <v>0.72764336255341722</v>
      </c>
      <c r="B698">
        <v>0.36271330827730708</v>
      </c>
      <c r="D698">
        <v>0.70272176533223873</v>
      </c>
      <c r="E698">
        <v>1.5942380252909061</v>
      </c>
      <c r="J698">
        <v>20</v>
      </c>
      <c r="K698">
        <v>0.3054167336813407</v>
      </c>
      <c r="L698">
        <v>20.900288720875562</v>
      </c>
      <c r="M698">
        <v>10</v>
      </c>
      <c r="N698">
        <v>-9.8743388434741064E-2</v>
      </c>
      <c r="O698">
        <v>52.539239393853144</v>
      </c>
      <c r="P698" s="1">
        <f t="shared" si="50"/>
        <v>2.6228402898117396</v>
      </c>
      <c r="Q698" s="1">
        <f t="shared" si="51"/>
        <v>0.39342604347176091</v>
      </c>
      <c r="R698" s="1">
        <f t="shared" si="52"/>
        <v>0.62723683204333669</v>
      </c>
      <c r="S698" s="1">
        <f t="shared" si="53"/>
        <v>0.64435011062640812</v>
      </c>
      <c r="T698" s="56">
        <f t="shared" si="54"/>
        <v>0.73770378773835377</v>
      </c>
    </row>
    <row r="699" spans="1:20" x14ac:dyDescent="0.25">
      <c r="A699">
        <v>0.72793473691593191</v>
      </c>
      <c r="B699">
        <v>0.19005142348760273</v>
      </c>
      <c r="D699">
        <v>0.7029256998863177</v>
      </c>
      <c r="E699">
        <v>3.7722777472026792</v>
      </c>
      <c r="J699">
        <v>20</v>
      </c>
      <c r="K699">
        <v>-0.11349357009748928</v>
      </c>
      <c r="L699">
        <v>10.823571868598368</v>
      </c>
      <c r="M699">
        <v>10</v>
      </c>
      <c r="N699">
        <v>-0.59833974205503182</v>
      </c>
      <c r="O699">
        <v>93.701846211770118</v>
      </c>
      <c r="P699" s="1">
        <f t="shared" si="50"/>
        <v>3.7330506457274457</v>
      </c>
      <c r="Q699" s="1">
        <f t="shared" si="51"/>
        <v>0.55995759685911684</v>
      </c>
      <c r="R699" s="1">
        <f t="shared" si="52"/>
        <v>0.74830314502821438</v>
      </c>
      <c r="S699" s="1">
        <f t="shared" si="53"/>
        <v>0.64792748123390775</v>
      </c>
      <c r="T699" s="56">
        <f t="shared" si="54"/>
        <v>0.73884507364919993</v>
      </c>
    </row>
    <row r="700" spans="1:20" x14ac:dyDescent="0.25">
      <c r="A700">
        <v>0.72874502000429631</v>
      </c>
      <c r="B700">
        <v>-1.7744332581060007</v>
      </c>
      <c r="D700">
        <v>0.70323896998586555</v>
      </c>
      <c r="E700">
        <v>0.42025999050565588</v>
      </c>
      <c r="J700">
        <v>20</v>
      </c>
      <c r="K700">
        <v>0.10242388270853553</v>
      </c>
      <c r="L700">
        <v>15.859222893039403</v>
      </c>
      <c r="M700">
        <v>10</v>
      </c>
      <c r="N700">
        <v>-0.37588813825095713</v>
      </c>
      <c r="O700">
        <v>85.051676884932618</v>
      </c>
      <c r="P700" s="1">
        <f t="shared" si="50"/>
        <v>3.6039607063561436</v>
      </c>
      <c r="Q700" s="1">
        <f t="shared" si="51"/>
        <v>0.5405941059534215</v>
      </c>
      <c r="R700" s="1">
        <f t="shared" si="52"/>
        <v>0.7352510496105541</v>
      </c>
      <c r="S700" s="1">
        <f t="shared" si="53"/>
        <v>0.65054245242199071</v>
      </c>
      <c r="T700" s="56">
        <f t="shared" si="54"/>
        <v>0.73967762070382914</v>
      </c>
    </row>
    <row r="701" spans="1:20" x14ac:dyDescent="0.25">
      <c r="A701">
        <v>0.73138795534824663</v>
      </c>
      <c r="B701">
        <v>-1.0824305718415417</v>
      </c>
      <c r="D701">
        <v>0.70518770897328609</v>
      </c>
      <c r="E701">
        <v>5.2378478585524135E-2</v>
      </c>
      <c r="J701">
        <v>20</v>
      </c>
      <c r="K701">
        <v>0.10189745580646559</v>
      </c>
      <c r="L701">
        <v>26.390498530761061</v>
      </c>
      <c r="M701">
        <v>10</v>
      </c>
      <c r="N701">
        <v>-0.28057297981831653</v>
      </c>
      <c r="O701">
        <v>38.09447391026017</v>
      </c>
      <c r="P701" s="1">
        <f t="shared" si="50"/>
        <v>2.3030347300364724</v>
      </c>
      <c r="Q701" s="1">
        <f t="shared" si="51"/>
        <v>0.34545520950547087</v>
      </c>
      <c r="R701" s="1">
        <f t="shared" si="52"/>
        <v>0.5877543785506586</v>
      </c>
      <c r="S701" s="1">
        <f t="shared" si="53"/>
        <v>0.65073175051101206</v>
      </c>
      <c r="T701" s="56">
        <f t="shared" si="54"/>
        <v>0.73973783288558637</v>
      </c>
    </row>
    <row r="702" spans="1:20" x14ac:dyDescent="0.25">
      <c r="A702">
        <v>0.73312944584303952</v>
      </c>
      <c r="B702">
        <v>-0.58363639254821464</v>
      </c>
      <c r="D702">
        <v>0.70574336916010838</v>
      </c>
      <c r="E702">
        <v>0.78771176617919991</v>
      </c>
      <c r="J702">
        <v>20</v>
      </c>
      <c r="K702">
        <v>1.0012172424467281E-2</v>
      </c>
      <c r="L702">
        <v>20.299242790838367</v>
      </c>
      <c r="M702">
        <v>10</v>
      </c>
      <c r="N702">
        <v>-0.39894621636449301</v>
      </c>
      <c r="O702">
        <v>51.89830981497439</v>
      </c>
      <c r="P702" s="1">
        <f t="shared" si="50"/>
        <v>2.5784840216361702</v>
      </c>
      <c r="Q702" s="1">
        <f t="shared" si="51"/>
        <v>0.38677260324542551</v>
      </c>
      <c r="R702" s="1">
        <f t="shared" si="52"/>
        <v>0.62191044632280101</v>
      </c>
      <c r="S702" s="1">
        <f t="shared" si="53"/>
        <v>0.65758404800406178</v>
      </c>
      <c r="T702" s="56">
        <f t="shared" si="54"/>
        <v>0.74191231664354551</v>
      </c>
    </row>
    <row r="703" spans="1:20" x14ac:dyDescent="0.25">
      <c r="A703">
        <v>0.73319987312825363</v>
      </c>
      <c r="B703">
        <v>-0.47705952965770848</v>
      </c>
      <c r="D703">
        <v>0.70613410049740899</v>
      </c>
      <c r="E703">
        <v>-4.2578828958994563</v>
      </c>
      <c r="J703">
        <v>20</v>
      </c>
      <c r="K703">
        <v>6.6261861775274156E-2</v>
      </c>
      <c r="L703">
        <v>28.626221988975153</v>
      </c>
      <c r="M703">
        <v>10</v>
      </c>
      <c r="N703">
        <v>-0.47760568463672826</v>
      </c>
      <c r="O703">
        <v>98.608116062668188</v>
      </c>
      <c r="P703" s="1">
        <f t="shared" si="50"/>
        <v>4.5440835018444048</v>
      </c>
      <c r="Q703" s="1">
        <f t="shared" si="51"/>
        <v>0.68161252527666072</v>
      </c>
      <c r="R703" s="1">
        <f t="shared" si="52"/>
        <v>0.82559828323262685</v>
      </c>
      <c r="S703" s="1">
        <f t="shared" si="53"/>
        <v>0.65875566538545982</v>
      </c>
      <c r="T703" s="56">
        <f t="shared" si="54"/>
        <v>0.74228311690639515</v>
      </c>
    </row>
    <row r="704" spans="1:20" x14ac:dyDescent="0.25">
      <c r="A704">
        <v>0.7343979605744938</v>
      </c>
      <c r="B704">
        <v>0.49600430429563858</v>
      </c>
      <c r="D704">
        <v>0.70652147273764765</v>
      </c>
      <c r="E704">
        <v>-0.7739838599718496</v>
      </c>
      <c r="J704">
        <v>20</v>
      </c>
      <c r="K704">
        <v>-7.9362450833286857E-2</v>
      </c>
      <c r="L704">
        <v>18.29755350869539</v>
      </c>
      <c r="M704">
        <v>10</v>
      </c>
      <c r="N704">
        <v>-0.7642629532256251</v>
      </c>
      <c r="O704">
        <v>181.80555528808267</v>
      </c>
      <c r="P704" s="1">
        <f t="shared" si="50"/>
        <v>7.1465395998849308</v>
      </c>
      <c r="Q704" s="1">
        <f t="shared" si="51"/>
        <v>1.0719809399827396</v>
      </c>
      <c r="R704" s="1">
        <f t="shared" si="52"/>
        <v>1.0353651239938206</v>
      </c>
      <c r="S704" s="1">
        <f t="shared" si="53"/>
        <v>0.6615062517756064</v>
      </c>
      <c r="T704" s="56">
        <f t="shared" si="54"/>
        <v>0.74315249140384432</v>
      </c>
    </row>
    <row r="705" spans="1:20" x14ac:dyDescent="0.25">
      <c r="A705">
        <v>0.73569716033982113</v>
      </c>
      <c r="B705">
        <v>-3.3321612136205658E-2</v>
      </c>
      <c r="D705">
        <v>0.70654847575539725</v>
      </c>
      <c r="E705">
        <v>2.4327625817477383</v>
      </c>
      <c r="J705">
        <v>20</v>
      </c>
      <c r="K705">
        <v>9.6786038739082869E-2</v>
      </c>
      <c r="L705">
        <v>14.523410821390668</v>
      </c>
      <c r="M705">
        <v>10</v>
      </c>
      <c r="N705">
        <v>-0.4814357941995695</v>
      </c>
      <c r="O705">
        <v>125.8758049281997</v>
      </c>
      <c r="P705" s="1">
        <f t="shared" si="50"/>
        <v>5.014257705342513</v>
      </c>
      <c r="Q705" s="1">
        <f t="shared" si="51"/>
        <v>0.75213865580137695</v>
      </c>
      <c r="R705" s="1">
        <f t="shared" si="52"/>
        <v>0.86725927830227156</v>
      </c>
      <c r="S705" s="1">
        <f t="shared" si="53"/>
        <v>0.66672314428341106</v>
      </c>
      <c r="T705" s="56">
        <f t="shared" si="54"/>
        <v>0.74479695830323223</v>
      </c>
    </row>
    <row r="706" spans="1:20" x14ac:dyDescent="0.25">
      <c r="A706">
        <v>0.73647946887791638</v>
      </c>
      <c r="B706">
        <v>-0.43142676986462902</v>
      </c>
      <c r="D706">
        <v>0.70742251324154393</v>
      </c>
      <c r="E706">
        <v>1.6401584127834212</v>
      </c>
      <c r="J706">
        <v>20</v>
      </c>
      <c r="K706">
        <v>7.5979585290042451E-2</v>
      </c>
      <c r="L706">
        <v>13.065388113832125</v>
      </c>
      <c r="M706">
        <v>10</v>
      </c>
      <c r="N706">
        <v>-0.4067947008934425</v>
      </c>
      <c r="O706">
        <v>83.541222302320392</v>
      </c>
      <c r="P706" s="1">
        <f t="shared" ref="P706:P769" si="55">(L706+O706)/(J706+M706-2)</f>
        <v>3.4502360862911616</v>
      </c>
      <c r="Q706" s="1">
        <f t="shared" ref="Q706:Q769" si="56">P706*0.15</f>
        <v>0.51753541294367422</v>
      </c>
      <c r="R706" s="1">
        <f t="shared" ref="R706:R769" si="57">SQRT(Q706)</f>
        <v>0.71939934177317277</v>
      </c>
      <c r="S706" s="1">
        <f t="shared" ref="S706:S769" si="58">(K706-N706)/R706</f>
        <v>0.67107968849894239</v>
      </c>
      <c r="T706" s="56">
        <f t="shared" ref="T706:T769" si="59">_xlfn.T.DIST(S706,28,TRUE)</f>
        <v>0.74616576718995009</v>
      </c>
    </row>
    <row r="707" spans="1:20" x14ac:dyDescent="0.25">
      <c r="A707">
        <v>0.73803256726543887</v>
      </c>
      <c r="B707">
        <v>-1.0357848623243626</v>
      </c>
      <c r="D707">
        <v>0.70969330909756323</v>
      </c>
      <c r="E707">
        <v>-1.6042956792716723</v>
      </c>
      <c r="J707">
        <v>20</v>
      </c>
      <c r="K707">
        <v>3.0707894893566845E-2</v>
      </c>
      <c r="L707">
        <v>9.6868539857868541</v>
      </c>
      <c r="M707">
        <v>10</v>
      </c>
      <c r="N707">
        <v>-0.61754383636980492</v>
      </c>
      <c r="O707">
        <v>164.39519955493279</v>
      </c>
      <c r="P707" s="1">
        <f t="shared" si="55"/>
        <v>6.217216197882844</v>
      </c>
      <c r="Q707" s="1">
        <f t="shared" si="56"/>
        <v>0.93258242968242655</v>
      </c>
      <c r="R707" s="1">
        <f t="shared" si="57"/>
        <v>0.96570307531995903</v>
      </c>
      <c r="S707" s="1">
        <f t="shared" si="58"/>
        <v>0.67127437804688717</v>
      </c>
      <c r="T707" s="56">
        <f t="shared" si="59"/>
        <v>0.74622684289480046</v>
      </c>
    </row>
    <row r="708" spans="1:20" x14ac:dyDescent="0.25">
      <c r="A708">
        <v>0.73915193025335624</v>
      </c>
      <c r="B708">
        <v>0.10280359674652573</v>
      </c>
      <c r="D708">
        <v>0.71002291917376181</v>
      </c>
      <c r="E708">
        <v>-2.3050522520406957</v>
      </c>
      <c r="J708">
        <v>20</v>
      </c>
      <c r="K708">
        <v>0.28245011662875186</v>
      </c>
      <c r="L708">
        <v>25.686471373457842</v>
      </c>
      <c r="M708">
        <v>10</v>
      </c>
      <c r="N708">
        <v>-0.2169754259284673</v>
      </c>
      <c r="O708">
        <v>77.372823368525914</v>
      </c>
      <c r="P708" s="1">
        <f t="shared" si="55"/>
        <v>3.6806890979279916</v>
      </c>
      <c r="Q708" s="1">
        <f t="shared" si="56"/>
        <v>0.55210336468919874</v>
      </c>
      <c r="R708" s="1">
        <f t="shared" si="57"/>
        <v>0.74303658368158343</v>
      </c>
      <c r="S708" s="1">
        <f t="shared" si="58"/>
        <v>0.67214125592938512</v>
      </c>
      <c r="T708" s="56">
        <f t="shared" si="59"/>
        <v>0.74649869080621967</v>
      </c>
    </row>
    <row r="709" spans="1:20" x14ac:dyDescent="0.25">
      <c r="A709">
        <v>0.7391940206782428</v>
      </c>
      <c r="B709">
        <v>-0.2851402314263396</v>
      </c>
      <c r="D709">
        <v>0.71028796032562269</v>
      </c>
      <c r="E709">
        <v>5.0170121960491088</v>
      </c>
      <c r="J709">
        <v>20</v>
      </c>
      <c r="K709">
        <v>0.17351965198031394</v>
      </c>
      <c r="L709">
        <v>9.4236048094166946</v>
      </c>
      <c r="M709">
        <v>10</v>
      </c>
      <c r="N709">
        <v>-0.1965459011898929</v>
      </c>
      <c r="O709">
        <v>46.576380895708461</v>
      </c>
      <c r="P709" s="1">
        <f t="shared" si="55"/>
        <v>1.9999994894687556</v>
      </c>
      <c r="Q709" s="1">
        <f t="shared" si="56"/>
        <v>0.29999992342031334</v>
      </c>
      <c r="R709" s="1">
        <f t="shared" si="57"/>
        <v>0.54772248759779196</v>
      </c>
      <c r="S709" s="1">
        <f t="shared" si="58"/>
        <v>0.67564425699088038</v>
      </c>
      <c r="T709" s="56">
        <f t="shared" si="59"/>
        <v>0.74759556680487094</v>
      </c>
    </row>
    <row r="710" spans="1:20" x14ac:dyDescent="0.25">
      <c r="A710">
        <v>0.74128368188784544</v>
      </c>
      <c r="B710">
        <v>1.1953761713812128</v>
      </c>
      <c r="D710">
        <v>0.71096477713201645</v>
      </c>
      <c r="E710">
        <v>-4.3622201280868467</v>
      </c>
      <c r="J710">
        <v>20</v>
      </c>
      <c r="K710">
        <v>0.31096323027668404</v>
      </c>
      <c r="L710">
        <v>14.152187323685173</v>
      </c>
      <c r="M710">
        <v>10</v>
      </c>
      <c r="N710">
        <v>-0.37595907883769542</v>
      </c>
      <c r="O710">
        <v>176.38017367842156</v>
      </c>
      <c r="P710" s="1">
        <f t="shared" si="55"/>
        <v>6.8047271786466696</v>
      </c>
      <c r="Q710" s="1">
        <f t="shared" si="56"/>
        <v>1.0207090767970004</v>
      </c>
      <c r="R710" s="1">
        <f t="shared" si="57"/>
        <v>1.0103014781722337</v>
      </c>
      <c r="S710" s="1">
        <f t="shared" si="58"/>
        <v>0.67991814716247956</v>
      </c>
      <c r="T710" s="56">
        <f t="shared" si="59"/>
        <v>0.74893024779325723</v>
      </c>
    </row>
    <row r="711" spans="1:20" x14ac:dyDescent="0.25">
      <c r="A711">
        <v>0.7436485287742689</v>
      </c>
      <c r="B711">
        <v>1.9306207832414657</v>
      </c>
      <c r="D711">
        <v>0.71273509948183755</v>
      </c>
      <c r="E711">
        <v>-0.10003464353758318</v>
      </c>
      <c r="J711">
        <v>20</v>
      </c>
      <c r="K711">
        <v>8.5772740021639038E-2</v>
      </c>
      <c r="L711">
        <v>22.654169591548481</v>
      </c>
      <c r="M711">
        <v>10</v>
      </c>
      <c r="N711">
        <v>-0.55644216331529606</v>
      </c>
      <c r="O711">
        <v>141.16537113330278</v>
      </c>
      <c r="P711" s="1">
        <f t="shared" si="55"/>
        <v>5.8506978830304019</v>
      </c>
      <c r="Q711" s="1">
        <f t="shared" si="56"/>
        <v>0.87760468245456025</v>
      </c>
      <c r="R711" s="1">
        <f t="shared" si="57"/>
        <v>0.93680557345404403</v>
      </c>
      <c r="S711" s="1">
        <f t="shared" si="58"/>
        <v>0.68553702233971558</v>
      </c>
      <c r="T711" s="56">
        <f t="shared" si="59"/>
        <v>0.75067894447629691</v>
      </c>
    </row>
    <row r="712" spans="1:20" x14ac:dyDescent="0.25">
      <c r="A712">
        <v>0.74378360097323493</v>
      </c>
      <c r="B712">
        <v>6.0822458181064576E-3</v>
      </c>
      <c r="D712">
        <v>0.71485557348200046</v>
      </c>
      <c r="E712">
        <v>5.4075946957254928</v>
      </c>
      <c r="J712">
        <v>20</v>
      </c>
      <c r="K712">
        <v>0.22770194618715323</v>
      </c>
      <c r="L712">
        <v>13.03023131940321</v>
      </c>
      <c r="M712">
        <v>10</v>
      </c>
      <c r="N712">
        <v>-0.30808326187070634</v>
      </c>
      <c r="O712">
        <v>100.24202999875999</v>
      </c>
      <c r="P712" s="1">
        <f t="shared" si="55"/>
        <v>4.0454379042201145</v>
      </c>
      <c r="Q712" s="1">
        <f t="shared" si="56"/>
        <v>0.60681568563301713</v>
      </c>
      <c r="R712" s="1">
        <f t="shared" si="57"/>
        <v>0.77898375184147273</v>
      </c>
      <c r="S712" s="1">
        <f t="shared" si="58"/>
        <v>0.68780023561633241</v>
      </c>
      <c r="T712" s="56">
        <f t="shared" si="59"/>
        <v>0.75138136476504402</v>
      </c>
    </row>
    <row r="713" spans="1:20" x14ac:dyDescent="0.25">
      <c r="A713">
        <v>0.74442089251268218</v>
      </c>
      <c r="B713">
        <v>-4.8021320253610611E-2</v>
      </c>
      <c r="D713">
        <v>0.71612042197014947</v>
      </c>
      <c r="E713">
        <v>0.6987120252688328</v>
      </c>
      <c r="J713">
        <v>20</v>
      </c>
      <c r="K713">
        <v>8.526001238351455E-2</v>
      </c>
      <c r="L713">
        <v>18.83537057322884</v>
      </c>
      <c r="M713">
        <v>10</v>
      </c>
      <c r="N713">
        <v>-0.4643749241495243</v>
      </c>
      <c r="O713">
        <v>99.017402709645637</v>
      </c>
      <c r="P713" s="1">
        <f t="shared" si="55"/>
        <v>4.2090276172455168</v>
      </c>
      <c r="Q713" s="1">
        <f t="shared" si="56"/>
        <v>0.63135414258682754</v>
      </c>
      <c r="R713" s="1">
        <f t="shared" si="57"/>
        <v>0.79457796507757972</v>
      </c>
      <c r="S713" s="1">
        <f t="shared" si="58"/>
        <v>0.69173191390900768</v>
      </c>
      <c r="T713" s="56">
        <f t="shared" si="59"/>
        <v>0.75259897009941534</v>
      </c>
    </row>
    <row r="714" spans="1:20" x14ac:dyDescent="0.25">
      <c r="A714">
        <v>0.74709334921561976</v>
      </c>
      <c r="B714">
        <v>0.68651843321276829</v>
      </c>
      <c r="D714">
        <v>0.71637845936165767</v>
      </c>
      <c r="E714">
        <v>2.7599078259754606</v>
      </c>
      <c r="J714">
        <v>20</v>
      </c>
      <c r="K714">
        <v>0.15272473774530226</v>
      </c>
      <c r="L714">
        <v>18.795742903444246</v>
      </c>
      <c r="M714">
        <v>10</v>
      </c>
      <c r="N714">
        <v>-0.3589575533169409</v>
      </c>
      <c r="O714">
        <v>81.386577378124102</v>
      </c>
      <c r="P714" s="1">
        <f t="shared" si="55"/>
        <v>3.5779400100560124</v>
      </c>
      <c r="Q714" s="1">
        <f t="shared" si="56"/>
        <v>0.53669100150840188</v>
      </c>
      <c r="R714" s="1">
        <f t="shared" si="57"/>
        <v>0.73259197477750315</v>
      </c>
      <c r="S714" s="1">
        <f t="shared" si="58"/>
        <v>0.69845467692660312</v>
      </c>
      <c r="T714" s="56">
        <f t="shared" si="59"/>
        <v>0.75467314243961547</v>
      </c>
    </row>
    <row r="715" spans="1:20" x14ac:dyDescent="0.25">
      <c r="A715">
        <v>0.74801999140347031</v>
      </c>
      <c r="B715">
        <v>0.58554178394842893</v>
      </c>
      <c r="D715">
        <v>0.71640604710110889</v>
      </c>
      <c r="E715">
        <v>-2.5427441448755417</v>
      </c>
      <c r="J715">
        <v>20</v>
      </c>
      <c r="K715">
        <v>-3.5437551559880376E-2</v>
      </c>
      <c r="L715">
        <v>15.988952218061176</v>
      </c>
      <c r="M715">
        <v>10</v>
      </c>
      <c r="N715">
        <v>-0.74005652436426317</v>
      </c>
      <c r="O715">
        <v>171.67771146986055</v>
      </c>
      <c r="P715" s="1">
        <f t="shared" si="55"/>
        <v>6.7023808459972045</v>
      </c>
      <c r="Q715" s="1">
        <f t="shared" si="56"/>
        <v>1.0053571268995807</v>
      </c>
      <c r="R715" s="1">
        <f t="shared" si="57"/>
        <v>1.0026749856756081</v>
      </c>
      <c r="S715" s="1">
        <f t="shared" si="58"/>
        <v>0.70273915562938527</v>
      </c>
      <c r="T715" s="56">
        <f t="shared" si="59"/>
        <v>0.75598987398502837</v>
      </c>
    </row>
    <row r="716" spans="1:20" x14ac:dyDescent="0.25">
      <c r="A716">
        <v>0.74908203601612311</v>
      </c>
      <c r="B716">
        <v>-1.1302518032607622</v>
      </c>
      <c r="D716">
        <v>0.71867659091482461</v>
      </c>
      <c r="E716">
        <v>-0.50785775215445028</v>
      </c>
      <c r="J716">
        <v>20</v>
      </c>
      <c r="K716">
        <v>8.2820406532846391E-2</v>
      </c>
      <c r="L716">
        <v>25.877979282381226</v>
      </c>
      <c r="M716">
        <v>10</v>
      </c>
      <c r="N716">
        <v>-0.36707206504615897</v>
      </c>
      <c r="O716">
        <v>49.329556321563778</v>
      </c>
      <c r="P716" s="1">
        <f t="shared" si="55"/>
        <v>2.6859834144266075</v>
      </c>
      <c r="Q716" s="1">
        <f t="shared" si="56"/>
        <v>0.40289751216399111</v>
      </c>
      <c r="R716" s="1">
        <f t="shared" si="57"/>
        <v>0.6347420831833912</v>
      </c>
      <c r="S716" s="1">
        <f t="shared" si="58"/>
        <v>0.70877996512013419</v>
      </c>
      <c r="T716" s="56">
        <f t="shared" si="59"/>
        <v>0.75783952446036895</v>
      </c>
    </row>
    <row r="717" spans="1:20" x14ac:dyDescent="0.25">
      <c r="A717">
        <v>0.7502262308821166</v>
      </c>
      <c r="B717">
        <v>-0.14876263776386622</v>
      </c>
      <c r="D717">
        <v>0.7212064030907368</v>
      </c>
      <c r="E717">
        <v>-2.2748274693640269</v>
      </c>
      <c r="J717">
        <v>20</v>
      </c>
      <c r="K717">
        <v>1.4420493243960664E-2</v>
      </c>
      <c r="L717">
        <v>16.643256749036475</v>
      </c>
      <c r="M717">
        <v>10</v>
      </c>
      <c r="N717">
        <v>-0.47894502927192661</v>
      </c>
      <c r="O717">
        <v>71.160050243143772</v>
      </c>
      <c r="P717" s="1">
        <f t="shared" si="55"/>
        <v>3.1358323925778655</v>
      </c>
      <c r="Q717" s="1">
        <f t="shared" si="56"/>
        <v>0.47037485888667979</v>
      </c>
      <c r="R717" s="1">
        <f t="shared" si="57"/>
        <v>0.6858387994905798</v>
      </c>
      <c r="S717" s="1">
        <f t="shared" si="58"/>
        <v>0.7193607636114262</v>
      </c>
      <c r="T717" s="56">
        <f t="shared" si="59"/>
        <v>0.76105989209043001</v>
      </c>
    </row>
    <row r="718" spans="1:20" x14ac:dyDescent="0.25">
      <c r="A718">
        <v>0.75038347676999961</v>
      </c>
      <c r="B718">
        <v>0.55342297855531797</v>
      </c>
      <c r="D718">
        <v>0.72206116819727872</v>
      </c>
      <c r="E718">
        <v>3.311266251557754</v>
      </c>
      <c r="J718">
        <v>20</v>
      </c>
      <c r="K718">
        <v>-0.16184640116989613</v>
      </c>
      <c r="L718">
        <v>17.578233764758938</v>
      </c>
      <c r="M718">
        <v>10</v>
      </c>
      <c r="N718">
        <v>-0.6883070716412476</v>
      </c>
      <c r="O718">
        <v>82.122681830306362</v>
      </c>
      <c r="P718" s="1">
        <f t="shared" si="55"/>
        <v>3.5607469855380462</v>
      </c>
      <c r="Q718" s="1">
        <f t="shared" si="56"/>
        <v>0.53411204783070687</v>
      </c>
      <c r="R718" s="1">
        <f t="shared" si="57"/>
        <v>0.73082969824077815</v>
      </c>
      <c r="S718" s="1">
        <f t="shared" si="58"/>
        <v>0.72036025867397702</v>
      </c>
      <c r="T718" s="56">
        <f t="shared" si="59"/>
        <v>0.76136281697035346</v>
      </c>
    </row>
    <row r="719" spans="1:20" x14ac:dyDescent="0.25">
      <c r="A719">
        <v>0.75093748730366883</v>
      </c>
      <c r="B719">
        <v>-1.0473650036146864</v>
      </c>
      <c r="D719">
        <v>0.72222718127036134</v>
      </c>
      <c r="E719">
        <v>-3.2303153182056121</v>
      </c>
      <c r="J719">
        <v>20</v>
      </c>
      <c r="K719">
        <v>0.29737839213339612</v>
      </c>
      <c r="L719">
        <v>9.6553123732973329</v>
      </c>
      <c r="M719">
        <v>10</v>
      </c>
      <c r="N719">
        <v>-0.22837059873381804</v>
      </c>
      <c r="O719">
        <v>89.445723251537515</v>
      </c>
      <c r="P719" s="1">
        <f t="shared" si="55"/>
        <v>3.539322700886959</v>
      </c>
      <c r="Q719" s="1">
        <f t="shared" si="56"/>
        <v>0.53089840513304387</v>
      </c>
      <c r="R719" s="1">
        <f t="shared" si="57"/>
        <v>0.72862775484676934</v>
      </c>
      <c r="S719" s="1">
        <f t="shared" si="58"/>
        <v>0.72156047771990151</v>
      </c>
      <c r="T719" s="56">
        <f t="shared" si="59"/>
        <v>0.7617262838859491</v>
      </c>
    </row>
    <row r="720" spans="1:20" x14ac:dyDescent="0.25">
      <c r="A720">
        <v>0.75257700486933388</v>
      </c>
      <c r="B720">
        <v>-0.63222842072718777</v>
      </c>
      <c r="D720">
        <v>0.72349909669486678</v>
      </c>
      <c r="E720">
        <v>2.733571133148871</v>
      </c>
      <c r="J720">
        <v>20</v>
      </c>
      <c r="K720">
        <v>0.51536579803723725</v>
      </c>
      <c r="L720">
        <v>15.131524598099604</v>
      </c>
      <c r="M720">
        <v>10</v>
      </c>
      <c r="N720">
        <v>8.7005639670678647E-3</v>
      </c>
      <c r="O720">
        <v>76.565633695904779</v>
      </c>
      <c r="P720" s="1">
        <f t="shared" si="55"/>
        <v>3.2748985105001567</v>
      </c>
      <c r="Q720" s="1">
        <f t="shared" si="56"/>
        <v>0.49123477657502346</v>
      </c>
      <c r="R720" s="1">
        <f t="shared" si="57"/>
        <v>0.7008814283279472</v>
      </c>
      <c r="S720" s="1">
        <f t="shared" si="58"/>
        <v>0.7228972171211494</v>
      </c>
      <c r="T720" s="56">
        <f t="shared" si="59"/>
        <v>0.76213071719398096</v>
      </c>
    </row>
    <row r="721" spans="1:20" x14ac:dyDescent="0.25">
      <c r="A721">
        <v>0.75307279148760442</v>
      </c>
      <c r="B721">
        <v>7.7454842539737001E-2</v>
      </c>
      <c r="D721">
        <v>0.72457536220532515</v>
      </c>
      <c r="E721">
        <v>2.184255660040435</v>
      </c>
      <c r="J721">
        <v>20</v>
      </c>
      <c r="K721">
        <v>0.17218587800016394</v>
      </c>
      <c r="L721">
        <v>24.573270790173058</v>
      </c>
      <c r="M721">
        <v>10</v>
      </c>
      <c r="N721">
        <v>-0.48479319389116426</v>
      </c>
      <c r="O721">
        <v>127.93692179264774</v>
      </c>
      <c r="P721" s="1">
        <f t="shared" si="55"/>
        <v>5.4467925922435994</v>
      </c>
      <c r="Q721" s="1">
        <f t="shared" si="56"/>
        <v>0.81701888883653984</v>
      </c>
      <c r="R721" s="1">
        <f t="shared" si="57"/>
        <v>0.90389097176403965</v>
      </c>
      <c r="S721" s="1">
        <f t="shared" si="58"/>
        <v>0.72683442186524272</v>
      </c>
      <c r="T721" s="56">
        <f t="shared" si="59"/>
        <v>0.76331961792326153</v>
      </c>
    </row>
    <row r="722" spans="1:20" x14ac:dyDescent="0.25">
      <c r="A722">
        <v>0.75319218065404692</v>
      </c>
      <c r="B722">
        <v>-0.44152443479106296</v>
      </c>
      <c r="D722">
        <v>0.7253940365189645</v>
      </c>
      <c r="E722">
        <v>0.64077607589752006</v>
      </c>
      <c r="J722">
        <v>20</v>
      </c>
      <c r="K722">
        <v>0.2527167453081347</v>
      </c>
      <c r="L722">
        <v>15.508376603073112</v>
      </c>
      <c r="M722">
        <v>10</v>
      </c>
      <c r="N722">
        <v>-0.13404315154730284</v>
      </c>
      <c r="O722">
        <v>35.149847960252202</v>
      </c>
      <c r="P722" s="1">
        <f t="shared" si="55"/>
        <v>1.8092223058330468</v>
      </c>
      <c r="Q722" s="1">
        <f t="shared" si="56"/>
        <v>0.27138334587495699</v>
      </c>
      <c r="R722" s="1">
        <f t="shared" si="57"/>
        <v>0.52094466680728868</v>
      </c>
      <c r="S722" s="1">
        <f t="shared" si="58"/>
        <v>0.74242030199823572</v>
      </c>
      <c r="T722" s="56">
        <f t="shared" si="59"/>
        <v>0.7679920483148801</v>
      </c>
    </row>
    <row r="723" spans="1:20" x14ac:dyDescent="0.25">
      <c r="A723">
        <v>0.75387650915984949</v>
      </c>
      <c r="B723">
        <v>0.82070073403883725</v>
      </c>
      <c r="D723">
        <v>0.72676131309682634</v>
      </c>
      <c r="E723">
        <v>-2.6098784962869104</v>
      </c>
      <c r="J723">
        <v>20</v>
      </c>
      <c r="K723">
        <v>-3.254439207012183E-2</v>
      </c>
      <c r="L723">
        <v>16.612680156835246</v>
      </c>
      <c r="M723">
        <v>10</v>
      </c>
      <c r="N723">
        <v>-0.57956538398684643</v>
      </c>
      <c r="O723">
        <v>84.277521169255451</v>
      </c>
      <c r="P723" s="1">
        <f t="shared" si="55"/>
        <v>3.6032214759318109</v>
      </c>
      <c r="Q723" s="1">
        <f t="shared" si="56"/>
        <v>0.54048322138977156</v>
      </c>
      <c r="R723" s="1">
        <f t="shared" si="57"/>
        <v>0.73517563982341771</v>
      </c>
      <c r="S723" s="1">
        <f t="shared" si="58"/>
        <v>0.74406844063564714</v>
      </c>
      <c r="T723" s="56">
        <f t="shared" si="59"/>
        <v>0.76848295366710495</v>
      </c>
    </row>
    <row r="724" spans="1:20" x14ac:dyDescent="0.25">
      <c r="A724">
        <v>0.75470405807590324</v>
      </c>
      <c r="B724">
        <v>5.7750639825826511E-2</v>
      </c>
      <c r="D724">
        <v>0.72733636926938339</v>
      </c>
      <c r="E724">
        <v>-2.6243803893066797</v>
      </c>
      <c r="J724">
        <v>20</v>
      </c>
      <c r="K724">
        <v>-2.8336955892882543E-2</v>
      </c>
      <c r="L724">
        <v>9.0966623667490172</v>
      </c>
      <c r="M724">
        <v>10</v>
      </c>
      <c r="N724">
        <v>-0.43662931034305075</v>
      </c>
      <c r="O724">
        <v>47.052079432076944</v>
      </c>
      <c r="P724" s="1">
        <f t="shared" si="55"/>
        <v>2.0053122071009271</v>
      </c>
      <c r="Q724" s="1">
        <f t="shared" si="56"/>
        <v>0.30079683106513905</v>
      </c>
      <c r="R724" s="1">
        <f t="shared" si="57"/>
        <v>0.54844947904537122</v>
      </c>
      <c r="S724" s="1">
        <f t="shared" si="58"/>
        <v>0.74444843153254536</v>
      </c>
      <c r="T724" s="56">
        <f t="shared" si="59"/>
        <v>0.76859604896843736</v>
      </c>
    </row>
    <row r="725" spans="1:20" x14ac:dyDescent="0.25">
      <c r="A725">
        <v>0.75481709404206865</v>
      </c>
      <c r="B725">
        <v>-0.16277795111818705</v>
      </c>
      <c r="D725">
        <v>0.72922341918756428</v>
      </c>
      <c r="E725">
        <v>2.0872682819117472</v>
      </c>
      <c r="J725">
        <v>20</v>
      </c>
      <c r="K725">
        <v>8.8959382082975935E-3</v>
      </c>
      <c r="L725">
        <v>15.615590713643231</v>
      </c>
      <c r="M725">
        <v>10</v>
      </c>
      <c r="N725">
        <v>-0.53142571573516761</v>
      </c>
      <c r="O725">
        <v>81.845616914847938</v>
      </c>
      <c r="P725" s="1">
        <f t="shared" si="55"/>
        <v>3.4807574153032559</v>
      </c>
      <c r="Q725" s="1">
        <f t="shared" si="56"/>
        <v>0.52211361229548836</v>
      </c>
      <c r="R725" s="1">
        <f t="shared" si="57"/>
        <v>0.7225742953464982</v>
      </c>
      <c r="S725" s="1">
        <f t="shared" si="58"/>
        <v>0.74777314585258414</v>
      </c>
      <c r="T725" s="56">
        <f t="shared" si="59"/>
        <v>0.76958418517372185</v>
      </c>
    </row>
    <row r="726" spans="1:20" x14ac:dyDescent="0.25">
      <c r="A726">
        <v>0.75603707116726826</v>
      </c>
      <c r="B726">
        <v>3.1366653274744749</v>
      </c>
      <c r="D726">
        <v>0.73134614258778441</v>
      </c>
      <c r="E726">
        <v>0.31336139386439754</v>
      </c>
      <c r="J726">
        <v>20</v>
      </c>
      <c r="K726">
        <v>0.10349697276978986</v>
      </c>
      <c r="L726">
        <v>17.69001370290189</v>
      </c>
      <c r="M726">
        <v>10</v>
      </c>
      <c r="N726">
        <v>-0.31120874041334901</v>
      </c>
      <c r="O726">
        <v>38.415274007029673</v>
      </c>
      <c r="P726" s="1">
        <f t="shared" si="55"/>
        <v>2.0037602753546984</v>
      </c>
      <c r="Q726" s="1">
        <f t="shared" si="56"/>
        <v>0.30056404130320474</v>
      </c>
      <c r="R726" s="1">
        <f t="shared" si="57"/>
        <v>0.54823721262169423</v>
      </c>
      <c r="S726" s="1">
        <f t="shared" si="58"/>
        <v>0.75643481258778122</v>
      </c>
      <c r="T726" s="56">
        <f t="shared" si="59"/>
        <v>0.77214680248011935</v>
      </c>
    </row>
    <row r="727" spans="1:20" x14ac:dyDescent="0.25">
      <c r="A727">
        <v>0.75671102568384163</v>
      </c>
      <c r="B727">
        <v>1.5259684005286545</v>
      </c>
      <c r="D727">
        <v>0.73200841320027166</v>
      </c>
      <c r="E727">
        <v>-0.29280204557835532</v>
      </c>
      <c r="J727">
        <v>20</v>
      </c>
      <c r="K727">
        <v>0.18397730627839337</v>
      </c>
      <c r="L727">
        <v>12.31132398292408</v>
      </c>
      <c r="M727">
        <v>10</v>
      </c>
      <c r="N727">
        <v>-0.17513412217340374</v>
      </c>
      <c r="O727">
        <v>29.675818503137105</v>
      </c>
      <c r="P727" s="1">
        <f t="shared" si="55"/>
        <v>1.4995408030736139</v>
      </c>
      <c r="Q727" s="1">
        <f t="shared" si="56"/>
        <v>0.22493112046104208</v>
      </c>
      <c r="R727" s="1">
        <f t="shared" si="57"/>
        <v>0.47426903805861298</v>
      </c>
      <c r="S727" s="1">
        <f t="shared" si="58"/>
        <v>0.75718927367005562</v>
      </c>
      <c r="T727" s="56">
        <f t="shared" si="59"/>
        <v>0.77236921220077825</v>
      </c>
    </row>
    <row r="728" spans="1:20" x14ac:dyDescent="0.25">
      <c r="A728">
        <v>0.75800230025514992</v>
      </c>
      <c r="B728">
        <v>-0.6296136234595906</v>
      </c>
      <c r="D728">
        <v>0.7333266399843783</v>
      </c>
      <c r="E728">
        <v>1.8143311956464458</v>
      </c>
      <c r="J728">
        <v>20</v>
      </c>
      <c r="K728">
        <v>7.3460284966131439E-2</v>
      </c>
      <c r="L728">
        <v>21.122613289798686</v>
      </c>
      <c r="M728">
        <v>10</v>
      </c>
      <c r="N728">
        <v>-0.41348187437506567</v>
      </c>
      <c r="O728">
        <v>55.531034294779104</v>
      </c>
      <c r="P728" s="1">
        <f t="shared" si="55"/>
        <v>2.7376302708777778</v>
      </c>
      <c r="Q728" s="1">
        <f t="shared" si="56"/>
        <v>0.41064454063166667</v>
      </c>
      <c r="R728" s="1">
        <f t="shared" si="57"/>
        <v>0.64081552777040807</v>
      </c>
      <c r="S728" s="1">
        <f t="shared" si="58"/>
        <v>0.75987883913396548</v>
      </c>
      <c r="T728" s="56">
        <f t="shared" si="59"/>
        <v>0.77316102754862426</v>
      </c>
    </row>
    <row r="729" spans="1:20" x14ac:dyDescent="0.25">
      <c r="A729">
        <v>0.7601252695444034</v>
      </c>
      <c r="B729">
        <v>0.71359409048454836</v>
      </c>
      <c r="D729">
        <v>0.73398283028155153</v>
      </c>
      <c r="E729">
        <v>2.9382551895196229</v>
      </c>
      <c r="J729">
        <v>20</v>
      </c>
      <c r="K729">
        <v>6.8029635258426424E-3</v>
      </c>
      <c r="L729">
        <v>15.694782867206172</v>
      </c>
      <c r="M729">
        <v>10</v>
      </c>
      <c r="N729">
        <v>-0.67477072093424795</v>
      </c>
      <c r="O729">
        <v>130.56318576674974</v>
      </c>
      <c r="P729" s="1">
        <f t="shared" si="55"/>
        <v>5.2234988797841391</v>
      </c>
      <c r="Q729" s="1">
        <f t="shared" si="56"/>
        <v>0.78352483196762079</v>
      </c>
      <c r="R729" s="1">
        <f t="shared" si="57"/>
        <v>0.88516938038299808</v>
      </c>
      <c r="S729" s="1">
        <f t="shared" si="58"/>
        <v>0.76999238740633458</v>
      </c>
      <c r="T729" s="56">
        <f t="shared" si="59"/>
        <v>0.77612378339215438</v>
      </c>
    </row>
    <row r="730" spans="1:20" x14ac:dyDescent="0.25">
      <c r="A730">
        <v>0.76021800288032637</v>
      </c>
      <c r="B730">
        <v>1.1693668966472615</v>
      </c>
      <c r="D730">
        <v>0.73441379099470083</v>
      </c>
      <c r="E730">
        <v>-0.93821131827098725</v>
      </c>
      <c r="J730">
        <v>20</v>
      </c>
      <c r="K730">
        <v>7.1766351084079361E-2</v>
      </c>
      <c r="L730">
        <v>15.459363570482818</v>
      </c>
      <c r="M730">
        <v>10</v>
      </c>
      <c r="N730">
        <v>-0.54904012699807936</v>
      </c>
      <c r="O730">
        <v>104.98334460293491</v>
      </c>
      <c r="P730" s="1">
        <f t="shared" si="55"/>
        <v>4.301525291907776</v>
      </c>
      <c r="Q730" s="1">
        <f t="shared" si="56"/>
        <v>0.64522879378616638</v>
      </c>
      <c r="R730" s="1">
        <f t="shared" si="57"/>
        <v>0.80326134837060748</v>
      </c>
      <c r="S730" s="1">
        <f t="shared" si="58"/>
        <v>0.77285740107058154</v>
      </c>
      <c r="T730" s="56">
        <f t="shared" si="59"/>
        <v>0.77695885491360017</v>
      </c>
    </row>
    <row r="731" spans="1:20" x14ac:dyDescent="0.25">
      <c r="A731">
        <v>0.76214061709889369</v>
      </c>
      <c r="B731">
        <v>0.32529669624636881</v>
      </c>
      <c r="D731">
        <v>0.73453514770334971</v>
      </c>
      <c r="E731">
        <v>3.235005120814094</v>
      </c>
      <c r="J731">
        <v>20</v>
      </c>
      <c r="K731">
        <v>0.4871615715273947</v>
      </c>
      <c r="L731">
        <v>25.727386097666404</v>
      </c>
      <c r="M731">
        <v>10</v>
      </c>
      <c r="N731">
        <v>-6.3499559246338322E-2</v>
      </c>
      <c r="O731">
        <v>68.371360880062781</v>
      </c>
      <c r="P731" s="1">
        <f t="shared" si="55"/>
        <v>3.3606695349188991</v>
      </c>
      <c r="Q731" s="1">
        <f t="shared" si="56"/>
        <v>0.5041004302378348</v>
      </c>
      <c r="R731" s="1">
        <f t="shared" si="57"/>
        <v>0.71000030298432604</v>
      </c>
      <c r="S731" s="1">
        <f t="shared" si="58"/>
        <v>0.77557872645850046</v>
      </c>
      <c r="T731" s="56">
        <f t="shared" si="59"/>
        <v>0.77775031091124469</v>
      </c>
    </row>
    <row r="732" spans="1:20" x14ac:dyDescent="0.25">
      <c r="A732">
        <v>0.76246848617470075</v>
      </c>
      <c r="B732">
        <v>-0.5696335847460432</v>
      </c>
      <c r="D732">
        <v>0.73515858135529299</v>
      </c>
      <c r="E732">
        <v>-4.0315824242043163</v>
      </c>
      <c r="J732">
        <v>20</v>
      </c>
      <c r="K732">
        <v>-6.7088024024997139E-2</v>
      </c>
      <c r="L732">
        <v>12.611278026851663</v>
      </c>
      <c r="M732">
        <v>10</v>
      </c>
      <c r="N732">
        <v>-0.65303902715641016</v>
      </c>
      <c r="O732">
        <v>93.291413000826154</v>
      </c>
      <c r="P732" s="1">
        <f t="shared" si="55"/>
        <v>3.7822389652742077</v>
      </c>
      <c r="Q732" s="1">
        <f t="shared" si="56"/>
        <v>0.56733584479113108</v>
      </c>
      <c r="R732" s="1">
        <f t="shared" si="57"/>
        <v>0.75321699714699153</v>
      </c>
      <c r="S732" s="1">
        <f t="shared" si="58"/>
        <v>0.7779312009034014</v>
      </c>
      <c r="T732" s="56">
        <f t="shared" si="59"/>
        <v>0.77843312884473825</v>
      </c>
    </row>
    <row r="733" spans="1:20" x14ac:dyDescent="0.25">
      <c r="A733">
        <v>0.76297789767860358</v>
      </c>
      <c r="B733">
        <v>0.53974417824065313</v>
      </c>
      <c r="D733">
        <v>0.73651419558137043</v>
      </c>
      <c r="E733">
        <v>3.2535519915199984</v>
      </c>
      <c r="J733">
        <v>20</v>
      </c>
      <c r="K733">
        <v>0.19832719999612891</v>
      </c>
      <c r="L733">
        <v>26.496441722740943</v>
      </c>
      <c r="M733">
        <v>10</v>
      </c>
      <c r="N733">
        <v>-0.34589118399708241</v>
      </c>
      <c r="O733">
        <v>63.836191007945395</v>
      </c>
      <c r="P733" s="1">
        <f t="shared" si="55"/>
        <v>3.2261654546673695</v>
      </c>
      <c r="Q733" s="1">
        <f t="shared" si="56"/>
        <v>0.48392481820010541</v>
      </c>
      <c r="R733" s="1">
        <f t="shared" si="57"/>
        <v>0.6956470500189772</v>
      </c>
      <c r="S733" s="1">
        <f t="shared" si="58"/>
        <v>0.78231968924236084</v>
      </c>
      <c r="T733" s="56">
        <f t="shared" si="59"/>
        <v>0.7797035265667227</v>
      </c>
    </row>
    <row r="734" spans="1:20" x14ac:dyDescent="0.25">
      <c r="A734">
        <v>0.76418738237534412</v>
      </c>
      <c r="B734">
        <v>-0.1142689143307507</v>
      </c>
      <c r="D734">
        <v>0.7366067144569346</v>
      </c>
      <c r="E734">
        <v>-0.92313644358910096</v>
      </c>
      <c r="J734">
        <v>20</v>
      </c>
      <c r="K734">
        <v>0.20273853351682192</v>
      </c>
      <c r="L734">
        <v>23.094357700205251</v>
      </c>
      <c r="M734">
        <v>10</v>
      </c>
      <c r="N734">
        <v>-0.43917225752920785</v>
      </c>
      <c r="O734">
        <v>99.702911870234288</v>
      </c>
      <c r="P734" s="1">
        <f t="shared" si="55"/>
        <v>4.3856167703728408</v>
      </c>
      <c r="Q734" s="1">
        <f t="shared" si="56"/>
        <v>0.6578425155559261</v>
      </c>
      <c r="R734" s="1">
        <f t="shared" si="57"/>
        <v>0.81107491365220152</v>
      </c>
      <c r="S734" s="1">
        <f t="shared" si="58"/>
        <v>0.79143218492057654</v>
      </c>
      <c r="T734" s="56">
        <f t="shared" si="59"/>
        <v>0.78232734468210174</v>
      </c>
    </row>
    <row r="735" spans="1:20" x14ac:dyDescent="0.25">
      <c r="A735">
        <v>0.76443126911999926</v>
      </c>
      <c r="B735">
        <v>0.44456214709498454</v>
      </c>
      <c r="D735">
        <v>0.73705720673103869</v>
      </c>
      <c r="E735">
        <v>1.1889558174971171</v>
      </c>
      <c r="J735">
        <v>20</v>
      </c>
      <c r="K735">
        <v>0.27327473617333453</v>
      </c>
      <c r="L735">
        <v>15.573016921593053</v>
      </c>
      <c r="M735">
        <v>10</v>
      </c>
      <c r="N735">
        <v>-0.53898157034382166</v>
      </c>
      <c r="O735">
        <v>178.93577480050877</v>
      </c>
      <c r="P735" s="1">
        <f t="shared" si="55"/>
        <v>6.946742561503636</v>
      </c>
      <c r="Q735" s="1">
        <f t="shared" si="56"/>
        <v>1.0420113842255454</v>
      </c>
      <c r="R735" s="1">
        <f t="shared" si="57"/>
        <v>1.0207895886153744</v>
      </c>
      <c r="S735" s="1">
        <f t="shared" si="58"/>
        <v>0.79571374510090942</v>
      </c>
      <c r="T735" s="56">
        <f t="shared" si="59"/>
        <v>0.78355357014852234</v>
      </c>
    </row>
    <row r="736" spans="1:20" x14ac:dyDescent="0.25">
      <c r="A736">
        <v>0.76608656056149593</v>
      </c>
      <c r="B736">
        <v>-0.8328674994118046</v>
      </c>
      <c r="D736">
        <v>0.73794908087067934</v>
      </c>
      <c r="E736">
        <v>0.69183965592856111</v>
      </c>
      <c r="J736">
        <v>20</v>
      </c>
      <c r="K736">
        <v>-4.6062154979154002E-2</v>
      </c>
      <c r="L736">
        <v>21.758764563508237</v>
      </c>
      <c r="M736">
        <v>10</v>
      </c>
      <c r="N736">
        <v>-0.88457921151530172</v>
      </c>
      <c r="O736">
        <v>176.4568563094779</v>
      </c>
      <c r="P736" s="1">
        <f t="shared" si="55"/>
        <v>7.0791293168923621</v>
      </c>
      <c r="Q736" s="1">
        <f t="shared" si="56"/>
        <v>1.0618693975338542</v>
      </c>
      <c r="R736" s="1">
        <f t="shared" si="57"/>
        <v>1.0304704738777595</v>
      </c>
      <c r="S736" s="1">
        <f t="shared" si="58"/>
        <v>0.8137225449854254</v>
      </c>
      <c r="T736" s="56">
        <f t="shared" si="59"/>
        <v>0.78866490672082912</v>
      </c>
    </row>
    <row r="737" spans="1:20" x14ac:dyDescent="0.25">
      <c r="A737">
        <v>0.76638456620725792</v>
      </c>
      <c r="B737">
        <v>-0.68226427174522541</v>
      </c>
      <c r="D737">
        <v>0.73871160985949147</v>
      </c>
      <c r="E737">
        <v>3.1085535249530949</v>
      </c>
      <c r="J737">
        <v>20</v>
      </c>
      <c r="K737">
        <v>0.17699534282655804</v>
      </c>
      <c r="L737">
        <v>18.571532053679096</v>
      </c>
      <c r="M737">
        <v>10</v>
      </c>
      <c r="N737">
        <v>-0.45274544277162931</v>
      </c>
      <c r="O737">
        <v>92.348873809094087</v>
      </c>
      <c r="P737" s="1">
        <f t="shared" si="55"/>
        <v>3.9614430665276137</v>
      </c>
      <c r="Q737" s="1">
        <f t="shared" si="56"/>
        <v>0.59421645997914208</v>
      </c>
      <c r="R737" s="1">
        <f t="shared" si="57"/>
        <v>0.77085437014986302</v>
      </c>
      <c r="S737" s="1">
        <f t="shared" si="58"/>
        <v>0.81693872407541579</v>
      </c>
      <c r="T737" s="56">
        <f t="shared" si="59"/>
        <v>0.78956983362965638</v>
      </c>
    </row>
    <row r="738" spans="1:20" x14ac:dyDescent="0.25">
      <c r="A738">
        <v>0.76753001466685022</v>
      </c>
      <c r="B738">
        <v>0.35113657759211492</v>
      </c>
      <c r="D738">
        <v>0.73930154037444984</v>
      </c>
      <c r="E738">
        <v>7.8108434956902784</v>
      </c>
      <c r="J738">
        <v>20</v>
      </c>
      <c r="K738">
        <v>-1.8820458080881508E-2</v>
      </c>
      <c r="L738">
        <v>14.280775027364172</v>
      </c>
      <c r="M738">
        <v>10</v>
      </c>
      <c r="N738">
        <v>-0.69428313395292207</v>
      </c>
      <c r="O738">
        <v>112.15951392683624</v>
      </c>
      <c r="P738" s="1">
        <f t="shared" si="55"/>
        <v>4.5157246055071578</v>
      </c>
      <c r="Q738" s="1">
        <f t="shared" si="56"/>
        <v>0.67735869082607369</v>
      </c>
      <c r="R738" s="1">
        <f t="shared" si="57"/>
        <v>0.82301803797126694</v>
      </c>
      <c r="S738" s="1">
        <f t="shared" si="58"/>
        <v>0.82071430358567932</v>
      </c>
      <c r="T738" s="56">
        <f t="shared" si="59"/>
        <v>0.79062909217269972</v>
      </c>
    </row>
    <row r="739" spans="1:20" x14ac:dyDescent="0.25">
      <c r="A739">
        <v>0.76768568143666338</v>
      </c>
      <c r="B739">
        <v>2.5361259758938104E-2</v>
      </c>
      <c r="D739">
        <v>0.7408884253024024</v>
      </c>
      <c r="E739">
        <v>-1.6730398363051791</v>
      </c>
      <c r="J739">
        <v>20</v>
      </c>
      <c r="K739">
        <v>0.23511273639087449</v>
      </c>
      <c r="L739">
        <v>20.329516395623127</v>
      </c>
      <c r="M739">
        <v>10</v>
      </c>
      <c r="N739">
        <v>-0.52596499585888523</v>
      </c>
      <c r="O739">
        <v>138.60155166202165</v>
      </c>
      <c r="P739" s="1">
        <f t="shared" si="55"/>
        <v>5.6761095734873139</v>
      </c>
      <c r="Q739" s="1">
        <f t="shared" si="56"/>
        <v>0.85141643602309702</v>
      </c>
      <c r="R739" s="1">
        <f t="shared" si="57"/>
        <v>0.92272229626421032</v>
      </c>
      <c r="S739" s="1">
        <f t="shared" si="58"/>
        <v>0.82481775430279014</v>
      </c>
      <c r="T739" s="56">
        <f t="shared" si="59"/>
        <v>0.79177657786011002</v>
      </c>
    </row>
    <row r="740" spans="1:20" x14ac:dyDescent="0.25">
      <c r="A740">
        <v>0.76789434408165369</v>
      </c>
      <c r="B740">
        <v>-1.8348328012507409</v>
      </c>
      <c r="D740">
        <v>0.74121557736746913</v>
      </c>
      <c r="E740">
        <v>1.6644828485823382</v>
      </c>
      <c r="J740">
        <v>20</v>
      </c>
      <c r="K740">
        <v>-0.11784140951931477</v>
      </c>
      <c r="L740">
        <v>15.881675033804253</v>
      </c>
      <c r="M740">
        <v>10</v>
      </c>
      <c r="N740">
        <v>-0.71947795618143573</v>
      </c>
      <c r="O740">
        <v>81.813739737903262</v>
      </c>
      <c r="P740" s="1">
        <f t="shared" si="55"/>
        <v>3.4891219561324114</v>
      </c>
      <c r="Q740" s="1">
        <f t="shared" si="56"/>
        <v>0.52336829341986169</v>
      </c>
      <c r="R740" s="1">
        <f t="shared" si="57"/>
        <v>0.723441976539834</v>
      </c>
      <c r="S740" s="1">
        <f t="shared" si="58"/>
        <v>0.83163068521362449</v>
      </c>
      <c r="T740" s="56">
        <f t="shared" si="59"/>
        <v>0.79367308012203175</v>
      </c>
    </row>
    <row r="741" spans="1:20" x14ac:dyDescent="0.25">
      <c r="A741">
        <v>0.76882814757007878</v>
      </c>
      <c r="B741">
        <v>2.0175139070488513</v>
      </c>
      <c r="D741">
        <v>0.74134684306062293</v>
      </c>
      <c r="E741">
        <v>-1.0720161787958205</v>
      </c>
      <c r="J741">
        <v>20</v>
      </c>
      <c r="K741">
        <v>-0.19407639229029883</v>
      </c>
      <c r="L741">
        <v>18.735553345662584</v>
      </c>
      <c r="M741">
        <v>10</v>
      </c>
      <c r="N741">
        <v>-0.79282199635599682</v>
      </c>
      <c r="O741">
        <v>77.132141240755658</v>
      </c>
      <c r="P741" s="1">
        <f t="shared" si="55"/>
        <v>3.4238462352292229</v>
      </c>
      <c r="Q741" s="1">
        <f t="shared" si="56"/>
        <v>0.51357693528438342</v>
      </c>
      <c r="R741" s="1">
        <f t="shared" si="57"/>
        <v>0.71664282266997092</v>
      </c>
      <c r="S741" s="1">
        <f t="shared" si="58"/>
        <v>0.83548677964145734</v>
      </c>
      <c r="T741" s="56">
        <f t="shared" si="59"/>
        <v>0.79474169557904228</v>
      </c>
    </row>
    <row r="742" spans="1:20" x14ac:dyDescent="0.25">
      <c r="A742">
        <v>0.77265648384722529</v>
      </c>
      <c r="B742">
        <v>-0.95469431471428834</v>
      </c>
      <c r="D742">
        <v>0.74257316254230354</v>
      </c>
      <c r="E742">
        <v>6.1151179090757068</v>
      </c>
      <c r="J742">
        <v>20</v>
      </c>
      <c r="K742">
        <v>-3.4857976061175577E-2</v>
      </c>
      <c r="L742">
        <v>21.347124976418371</v>
      </c>
      <c r="M742">
        <v>10</v>
      </c>
      <c r="N742">
        <v>-0.79651329428997997</v>
      </c>
      <c r="O742">
        <v>131.7490479465522</v>
      </c>
      <c r="P742" s="1">
        <f t="shared" si="55"/>
        <v>5.4677204615346628</v>
      </c>
      <c r="Q742" s="1">
        <f t="shared" si="56"/>
        <v>0.8201580692301994</v>
      </c>
      <c r="R742" s="1">
        <f t="shared" si="57"/>
        <v>0.90562578873958721</v>
      </c>
      <c r="S742" s="1">
        <f t="shared" si="58"/>
        <v>0.84102653402664806</v>
      </c>
      <c r="T742" s="56">
        <f t="shared" si="59"/>
        <v>0.7962708130250562</v>
      </c>
    </row>
    <row r="743" spans="1:20" x14ac:dyDescent="0.25">
      <c r="A743">
        <v>0.77329512667828204</v>
      </c>
      <c r="B743">
        <v>0.64404275690321811</v>
      </c>
      <c r="D743">
        <v>0.74319123676735166</v>
      </c>
      <c r="E743">
        <v>-2.3474392526168231</v>
      </c>
      <c r="J743">
        <v>20</v>
      </c>
      <c r="K743">
        <v>0.29855709726689383</v>
      </c>
      <c r="L743">
        <v>9.0817199183599051</v>
      </c>
      <c r="M743">
        <v>10</v>
      </c>
      <c r="N743">
        <v>-0.4261539777417056</v>
      </c>
      <c r="O743">
        <v>129.35061006998589</v>
      </c>
      <c r="P743" s="1">
        <f t="shared" si="55"/>
        <v>4.9440117852980645</v>
      </c>
      <c r="Q743" s="1">
        <f t="shared" si="56"/>
        <v>0.74160176779470965</v>
      </c>
      <c r="R743" s="1">
        <f t="shared" si="57"/>
        <v>0.86116303206460831</v>
      </c>
      <c r="S743" s="1">
        <f t="shared" si="58"/>
        <v>0.8415492166113191</v>
      </c>
      <c r="T743" s="56">
        <f t="shared" si="59"/>
        <v>0.79641471661676899</v>
      </c>
    </row>
    <row r="744" spans="1:20" x14ac:dyDescent="0.25">
      <c r="A744">
        <v>0.7748198162008586</v>
      </c>
      <c r="B744">
        <v>1.5982459444785491</v>
      </c>
      <c r="D744">
        <v>0.74532980353585776</v>
      </c>
      <c r="E744">
        <v>0.27914961378883163</v>
      </c>
      <c r="J744">
        <v>20</v>
      </c>
      <c r="K744">
        <v>-3.7900406368862605E-2</v>
      </c>
      <c r="L744">
        <v>15.9606182192896</v>
      </c>
      <c r="M744">
        <v>10</v>
      </c>
      <c r="N744">
        <v>-0.6716469476941711</v>
      </c>
      <c r="O744">
        <v>88.800896386761082</v>
      </c>
      <c r="P744" s="1">
        <f t="shared" si="55"/>
        <v>3.74148266450181</v>
      </c>
      <c r="Q744" s="1">
        <f t="shared" si="56"/>
        <v>0.56122239967527143</v>
      </c>
      <c r="R744" s="1">
        <f t="shared" si="57"/>
        <v>0.74914778226680445</v>
      </c>
      <c r="S744" s="1">
        <f t="shared" si="58"/>
        <v>0.84595664076811417</v>
      </c>
      <c r="T744" s="56">
        <f t="shared" si="59"/>
        <v>0.79762561384956243</v>
      </c>
    </row>
    <row r="745" spans="1:20" x14ac:dyDescent="0.25">
      <c r="A745">
        <v>0.77507412271380249</v>
      </c>
      <c r="B745">
        <v>1.8502851162338629</v>
      </c>
      <c r="D745">
        <v>0.74534065140936789</v>
      </c>
      <c r="E745">
        <v>-8.5571143733886856</v>
      </c>
      <c r="J745">
        <v>20</v>
      </c>
      <c r="K745">
        <v>-0.1256033783647581</v>
      </c>
      <c r="L745">
        <v>13.104556392736159</v>
      </c>
      <c r="M745">
        <v>10</v>
      </c>
      <c r="N745">
        <v>-0.74037336958099331</v>
      </c>
      <c r="O745">
        <v>83.5827524947358</v>
      </c>
      <c r="P745" s="1">
        <f t="shared" si="55"/>
        <v>3.4531181745525701</v>
      </c>
      <c r="Q745" s="1">
        <f t="shared" si="56"/>
        <v>0.51796772618288545</v>
      </c>
      <c r="R745" s="1">
        <f t="shared" si="57"/>
        <v>0.71969974724386654</v>
      </c>
      <c r="S745" s="1">
        <f t="shared" si="58"/>
        <v>0.85420342798581472</v>
      </c>
      <c r="T745" s="56">
        <f t="shared" si="59"/>
        <v>0.79987911064912687</v>
      </c>
    </row>
    <row r="746" spans="1:20" x14ac:dyDescent="0.25">
      <c r="A746">
        <v>0.77591357724270504</v>
      </c>
      <c r="B746">
        <v>-0.16425133253505919</v>
      </c>
      <c r="D746">
        <v>0.74585264292400566</v>
      </c>
      <c r="E746">
        <v>1.7373333741943497</v>
      </c>
      <c r="J746">
        <v>20</v>
      </c>
      <c r="K746">
        <v>0.49566614279683563</v>
      </c>
      <c r="L746">
        <v>13.98541590957101</v>
      </c>
      <c r="M746">
        <v>10</v>
      </c>
      <c r="N746">
        <v>-0.23438827042809862</v>
      </c>
      <c r="O746">
        <v>121.59177811824556</v>
      </c>
      <c r="P746" s="1">
        <f t="shared" si="55"/>
        <v>4.8420426438505917</v>
      </c>
      <c r="Q746" s="1">
        <f t="shared" si="56"/>
        <v>0.72630639657758878</v>
      </c>
      <c r="R746" s="1">
        <f t="shared" si="57"/>
        <v>0.85223611550883527</v>
      </c>
      <c r="S746" s="1">
        <f t="shared" si="58"/>
        <v>0.8566339772975341</v>
      </c>
      <c r="T746" s="56">
        <f t="shared" si="59"/>
        <v>0.80054023160284749</v>
      </c>
    </row>
    <row r="747" spans="1:20" x14ac:dyDescent="0.25">
      <c r="A747">
        <v>0.77687694382160277</v>
      </c>
      <c r="B747">
        <v>-1.498133315180894</v>
      </c>
      <c r="D747">
        <v>0.74602124427302829</v>
      </c>
      <c r="E747">
        <v>-0.41478233811176324</v>
      </c>
      <c r="J747">
        <v>20</v>
      </c>
      <c r="K747">
        <v>0.47544699555146508</v>
      </c>
      <c r="L747">
        <v>14.505196152019593</v>
      </c>
      <c r="M747">
        <v>10</v>
      </c>
      <c r="N747">
        <v>-0.10666042612683668</v>
      </c>
      <c r="O747">
        <v>70.045314553711989</v>
      </c>
      <c r="P747" s="1">
        <f t="shared" si="55"/>
        <v>3.0196610966332709</v>
      </c>
      <c r="Q747" s="1">
        <f t="shared" si="56"/>
        <v>0.45294916449499062</v>
      </c>
      <c r="R747" s="1">
        <f t="shared" si="57"/>
        <v>0.67301498088451983</v>
      </c>
      <c r="S747" s="1">
        <f t="shared" si="58"/>
        <v>0.86492490986346027</v>
      </c>
      <c r="T747" s="56">
        <f t="shared" si="59"/>
        <v>0.80278495862239385</v>
      </c>
    </row>
    <row r="748" spans="1:20" x14ac:dyDescent="0.25">
      <c r="A748">
        <v>0.77694683034112877</v>
      </c>
      <c r="B748">
        <v>-1.4538045434164815</v>
      </c>
      <c r="D748">
        <v>0.74703344086331258</v>
      </c>
      <c r="E748">
        <v>1.383510376626873</v>
      </c>
      <c r="J748">
        <v>20</v>
      </c>
      <c r="K748">
        <v>2.3451150354958372E-2</v>
      </c>
      <c r="L748">
        <v>23.615233283038805</v>
      </c>
      <c r="M748">
        <v>10</v>
      </c>
      <c r="N748">
        <v>-0.77544939699691895</v>
      </c>
      <c r="O748">
        <v>135.11878823739349</v>
      </c>
      <c r="P748" s="1">
        <f t="shared" si="55"/>
        <v>5.6690721971582958</v>
      </c>
      <c r="Q748" s="1">
        <f t="shared" si="56"/>
        <v>0.85036082957374437</v>
      </c>
      <c r="R748" s="1">
        <f t="shared" si="57"/>
        <v>0.92215011227768351</v>
      </c>
      <c r="S748" s="1">
        <f t="shared" si="58"/>
        <v>0.86634544280281722</v>
      </c>
      <c r="T748" s="56">
        <f t="shared" si="59"/>
        <v>0.80316793784901774</v>
      </c>
    </row>
    <row r="749" spans="1:20" x14ac:dyDescent="0.25">
      <c r="A749">
        <v>0.77951325211662326</v>
      </c>
      <c r="B749">
        <v>-0.24622863747936208</v>
      </c>
      <c r="D749">
        <v>0.74720914902118396</v>
      </c>
      <c r="E749">
        <v>-7.915150831649953E-2</v>
      </c>
      <c r="J749">
        <v>20</v>
      </c>
      <c r="K749">
        <v>-0.26657909302230109</v>
      </c>
      <c r="L749">
        <v>10.27255107118895</v>
      </c>
      <c r="M749">
        <v>10</v>
      </c>
      <c r="N749">
        <v>-1.1231391033561522</v>
      </c>
      <c r="O749">
        <v>168.78633683120466</v>
      </c>
      <c r="P749" s="1">
        <f t="shared" si="55"/>
        <v>6.394960282228344</v>
      </c>
      <c r="Q749" s="1">
        <f t="shared" si="56"/>
        <v>0.95924404233425153</v>
      </c>
      <c r="R749" s="1">
        <f t="shared" si="57"/>
        <v>0.9794100481076613</v>
      </c>
      <c r="S749" s="1">
        <f t="shared" si="58"/>
        <v>0.87456730915598491</v>
      </c>
      <c r="T749" s="56">
        <f t="shared" si="59"/>
        <v>0.80537523595401306</v>
      </c>
    </row>
    <row r="750" spans="1:20" x14ac:dyDescent="0.25">
      <c r="A750">
        <v>0.77997016686829335</v>
      </c>
      <c r="B750">
        <v>0.17519369066576473</v>
      </c>
      <c r="D750">
        <v>0.7479944677958773</v>
      </c>
      <c r="E750">
        <v>2.3357513293831289</v>
      </c>
      <c r="J750">
        <v>20</v>
      </c>
      <c r="K750">
        <v>-0.33588702308406937</v>
      </c>
      <c r="L750">
        <v>23.718563528964648</v>
      </c>
      <c r="M750">
        <v>10</v>
      </c>
      <c r="N750">
        <v>-0.76814217550236208</v>
      </c>
      <c r="O750">
        <v>21.791344585278914</v>
      </c>
      <c r="P750" s="1">
        <f t="shared" si="55"/>
        <v>1.6253538612229843</v>
      </c>
      <c r="Q750" s="1">
        <f t="shared" si="56"/>
        <v>0.24380307918344762</v>
      </c>
      <c r="R750" s="1">
        <f t="shared" si="57"/>
        <v>0.49376419390580323</v>
      </c>
      <c r="S750" s="1">
        <f t="shared" si="58"/>
        <v>0.87542830718250753</v>
      </c>
      <c r="T750" s="56">
        <f t="shared" si="59"/>
        <v>0.80560546355964524</v>
      </c>
    </row>
    <row r="751" spans="1:20" x14ac:dyDescent="0.25">
      <c r="A751">
        <v>0.78107615937813546</v>
      </c>
      <c r="B751">
        <v>-2.2381937014870346</v>
      </c>
      <c r="D751">
        <v>0.75012405324843445</v>
      </c>
      <c r="E751">
        <v>1.2939069586082041</v>
      </c>
      <c r="J751">
        <v>20</v>
      </c>
      <c r="K751">
        <v>-0.30435370490522473</v>
      </c>
      <c r="L751">
        <v>12.690583513411058</v>
      </c>
      <c r="M751">
        <v>10</v>
      </c>
      <c r="N751">
        <v>-1.041995009245511</v>
      </c>
      <c r="O751">
        <v>118.38608761683487</v>
      </c>
      <c r="P751" s="1">
        <f t="shared" si="55"/>
        <v>4.681309683223069</v>
      </c>
      <c r="Q751" s="1">
        <f t="shared" si="56"/>
        <v>0.7021964524834603</v>
      </c>
      <c r="R751" s="1">
        <f t="shared" si="57"/>
        <v>0.83797162987983087</v>
      </c>
      <c r="S751" s="1">
        <f t="shared" si="58"/>
        <v>0.88027002112955488</v>
      </c>
      <c r="T751" s="56">
        <f t="shared" si="59"/>
        <v>0.80689686197827004</v>
      </c>
    </row>
    <row r="752" spans="1:20" x14ac:dyDescent="0.25">
      <c r="A752">
        <v>0.78120553980452223</v>
      </c>
      <c r="B752">
        <v>0.48332594815292396</v>
      </c>
      <c r="D752">
        <v>0.75044839069959279</v>
      </c>
      <c r="E752">
        <v>0.39005908206490858</v>
      </c>
      <c r="J752">
        <v>20</v>
      </c>
      <c r="K752">
        <v>0.14130989711702568</v>
      </c>
      <c r="L752">
        <v>25.488679460205447</v>
      </c>
      <c r="M752">
        <v>10</v>
      </c>
      <c r="N752">
        <v>-0.7024921194442868</v>
      </c>
      <c r="O752">
        <v>142.90558315860864</v>
      </c>
      <c r="P752" s="1">
        <f t="shared" si="55"/>
        <v>6.0140808078147883</v>
      </c>
      <c r="Q752" s="1">
        <f t="shared" si="56"/>
        <v>0.90211212117221817</v>
      </c>
      <c r="R752" s="1">
        <f t="shared" si="57"/>
        <v>0.94979583130913892</v>
      </c>
      <c r="S752" s="1">
        <f t="shared" si="58"/>
        <v>0.88840357974436335</v>
      </c>
      <c r="T752" s="56">
        <f t="shared" si="59"/>
        <v>0.80905381055726178</v>
      </c>
    </row>
    <row r="753" spans="1:20" x14ac:dyDescent="0.25">
      <c r="A753">
        <v>0.78165801283155301</v>
      </c>
      <c r="B753">
        <v>0.57341594583704136</v>
      </c>
      <c r="D753">
        <v>0.75083320489410921</v>
      </c>
      <c r="E753">
        <v>-3.3927760830465559</v>
      </c>
      <c r="J753">
        <v>20</v>
      </c>
      <c r="K753">
        <v>0.17934758034243714</v>
      </c>
      <c r="L753">
        <v>16.215706578000319</v>
      </c>
      <c r="M753">
        <v>10</v>
      </c>
      <c r="N753">
        <v>-0.6915468054558005</v>
      </c>
      <c r="O753">
        <v>161.96798063946213</v>
      </c>
      <c r="P753" s="1">
        <f t="shared" si="55"/>
        <v>6.3637031149093728</v>
      </c>
      <c r="Q753" s="1">
        <f t="shared" si="56"/>
        <v>0.95455546723640583</v>
      </c>
      <c r="R753" s="1">
        <f t="shared" si="57"/>
        <v>0.9770135450629156</v>
      </c>
      <c r="S753" s="1">
        <f t="shared" si="58"/>
        <v>0.89138414733252824</v>
      </c>
      <c r="T753" s="56">
        <f t="shared" si="59"/>
        <v>0.8098403156212608</v>
      </c>
    </row>
    <row r="754" spans="1:20" x14ac:dyDescent="0.25">
      <c r="A754">
        <v>0.78340414122049196</v>
      </c>
      <c r="B754">
        <v>-0.54497263590747025</v>
      </c>
      <c r="D754">
        <v>0.75153888907529753</v>
      </c>
      <c r="E754">
        <v>-2.4787270865544997</v>
      </c>
      <c r="J754">
        <v>20</v>
      </c>
      <c r="K754">
        <v>-0.26271101205566083</v>
      </c>
      <c r="L754">
        <v>16.302415871342159</v>
      </c>
      <c r="M754">
        <v>10</v>
      </c>
      <c r="N754">
        <v>-0.92914422452849976</v>
      </c>
      <c r="O754">
        <v>87.774683145688954</v>
      </c>
      <c r="P754" s="1">
        <f t="shared" si="55"/>
        <v>3.7170392506082544</v>
      </c>
      <c r="Q754" s="1">
        <f t="shared" si="56"/>
        <v>0.55755588759123809</v>
      </c>
      <c r="R754" s="1">
        <f t="shared" si="57"/>
        <v>0.74669665031472998</v>
      </c>
      <c r="S754" s="1">
        <f t="shared" si="58"/>
        <v>0.89250864081409731</v>
      </c>
      <c r="T754" s="56">
        <f t="shared" si="59"/>
        <v>0.81013649829823442</v>
      </c>
    </row>
    <row r="755" spans="1:20" x14ac:dyDescent="0.25">
      <c r="A755">
        <v>0.78459245410471379</v>
      </c>
      <c r="B755">
        <v>-1.2942973626195453</v>
      </c>
      <c r="D755">
        <v>0.75163587736635973</v>
      </c>
      <c r="E755">
        <v>-4.9376437834780518</v>
      </c>
      <c r="J755">
        <v>20</v>
      </c>
      <c r="K755">
        <v>0.15631746919098077</v>
      </c>
      <c r="L755">
        <v>16.101619636654824</v>
      </c>
      <c r="M755">
        <v>10</v>
      </c>
      <c r="N755">
        <v>-0.26538862471170432</v>
      </c>
      <c r="O755">
        <v>25.337496087042886</v>
      </c>
      <c r="P755" s="1">
        <f t="shared" si="55"/>
        <v>1.4799684187034896</v>
      </c>
      <c r="Q755" s="1">
        <f t="shared" si="56"/>
        <v>0.22199526280552342</v>
      </c>
      <c r="R755" s="1">
        <f t="shared" si="57"/>
        <v>0.47116373248110199</v>
      </c>
      <c r="S755" s="1">
        <f t="shared" si="58"/>
        <v>0.8950308880567317</v>
      </c>
      <c r="T755" s="56">
        <f t="shared" si="59"/>
        <v>0.81079974994862303</v>
      </c>
    </row>
    <row r="756" spans="1:20" x14ac:dyDescent="0.25">
      <c r="A756">
        <v>0.78554468106010644</v>
      </c>
      <c r="B756">
        <v>0.33903916119015776</v>
      </c>
      <c r="D756">
        <v>0.75170550947782533</v>
      </c>
      <c r="E756">
        <v>0.65210610614485631</v>
      </c>
      <c r="J756">
        <v>20</v>
      </c>
      <c r="K756">
        <v>-0.14659264024885488</v>
      </c>
      <c r="L756">
        <v>20.803125435733644</v>
      </c>
      <c r="M756">
        <v>10</v>
      </c>
      <c r="N756">
        <v>-0.93844869638814998</v>
      </c>
      <c r="O756">
        <v>124.81489761066307</v>
      </c>
      <c r="P756" s="1">
        <f t="shared" si="55"/>
        <v>5.2006436802284535</v>
      </c>
      <c r="Q756" s="1">
        <f t="shared" si="56"/>
        <v>0.78009655203426798</v>
      </c>
      <c r="R756" s="1">
        <f t="shared" si="57"/>
        <v>0.88323074676681634</v>
      </c>
      <c r="S756" s="1">
        <f t="shared" si="58"/>
        <v>0.8965449391769813</v>
      </c>
      <c r="T756" s="56">
        <f t="shared" si="59"/>
        <v>0.81119716247894169</v>
      </c>
    </row>
    <row r="757" spans="1:20" x14ac:dyDescent="0.25">
      <c r="A757">
        <v>0.7872705359710106</v>
      </c>
      <c r="B757">
        <v>0.84090174823359121</v>
      </c>
      <c r="D757">
        <v>0.7551392122038485</v>
      </c>
      <c r="E757">
        <v>-7.0012235971717018</v>
      </c>
      <c r="J757">
        <v>20</v>
      </c>
      <c r="K757">
        <v>-0.16459330254292581</v>
      </c>
      <c r="L757">
        <v>27.024338203667153</v>
      </c>
      <c r="M757">
        <v>10</v>
      </c>
      <c r="N757">
        <v>-0.94446125217473309</v>
      </c>
      <c r="O757">
        <v>107.57262772016318</v>
      </c>
      <c r="P757" s="1">
        <f t="shared" si="55"/>
        <v>4.8070344972796546</v>
      </c>
      <c r="Q757" s="1">
        <f t="shared" si="56"/>
        <v>0.72105517459194812</v>
      </c>
      <c r="R757" s="1">
        <f t="shared" si="57"/>
        <v>0.84914967737846314</v>
      </c>
      <c r="S757" s="1">
        <f t="shared" si="58"/>
        <v>0.91841046450073938</v>
      </c>
      <c r="T757" s="56">
        <f t="shared" si="59"/>
        <v>0.81687591330228626</v>
      </c>
    </row>
    <row r="758" spans="1:20" x14ac:dyDescent="0.25">
      <c r="A758">
        <v>0.78730462893423914</v>
      </c>
      <c r="B758">
        <v>-0.16906028577068355</v>
      </c>
      <c r="D758">
        <v>0.75561595015755922</v>
      </c>
      <c r="E758">
        <v>-1.6937490306645486</v>
      </c>
      <c r="J758">
        <v>20</v>
      </c>
      <c r="K758">
        <v>0.2722721319514676</v>
      </c>
      <c r="L758">
        <v>20.752413129021789</v>
      </c>
      <c r="M758">
        <v>10</v>
      </c>
      <c r="N758">
        <v>-0.34704396853157959</v>
      </c>
      <c r="O758">
        <v>63.117386781472462</v>
      </c>
      <c r="P758" s="1">
        <f t="shared" si="55"/>
        <v>2.9953499968033661</v>
      </c>
      <c r="Q758" s="1">
        <f t="shared" si="56"/>
        <v>0.44930249952050488</v>
      </c>
      <c r="R758" s="1">
        <f t="shared" si="57"/>
        <v>0.67030030547546737</v>
      </c>
      <c r="S758" s="1">
        <f t="shared" si="58"/>
        <v>0.92393826382600963</v>
      </c>
      <c r="T758" s="56">
        <f t="shared" si="59"/>
        <v>0.81829358746176217</v>
      </c>
    </row>
    <row r="759" spans="1:20" x14ac:dyDescent="0.25">
      <c r="A759">
        <v>0.78763026615282472</v>
      </c>
      <c r="B759">
        <v>-0.79137635111692362</v>
      </c>
      <c r="D759">
        <v>0.75845455141743778</v>
      </c>
      <c r="E759">
        <v>-2.40364602518639</v>
      </c>
      <c r="J759">
        <v>20</v>
      </c>
      <c r="K759">
        <v>-0.18418995750835165</v>
      </c>
      <c r="L759">
        <v>22.925806676843855</v>
      </c>
      <c r="M759">
        <v>10</v>
      </c>
      <c r="N759">
        <v>-1.0737047693964996</v>
      </c>
      <c r="O759">
        <v>145.12747477537789</v>
      </c>
      <c r="P759" s="1">
        <f t="shared" si="55"/>
        <v>6.001902909007919</v>
      </c>
      <c r="Q759" s="1">
        <f t="shared" si="56"/>
        <v>0.90028543635118785</v>
      </c>
      <c r="R759" s="1">
        <f t="shared" si="57"/>
        <v>0.94883372429060919</v>
      </c>
      <c r="S759" s="1">
        <f t="shared" si="58"/>
        <v>0.9374822891684097</v>
      </c>
      <c r="T759" s="56">
        <f t="shared" si="59"/>
        <v>0.82173643734165414</v>
      </c>
    </row>
    <row r="760" spans="1:20" x14ac:dyDescent="0.25">
      <c r="A760">
        <v>0.78817224367359462</v>
      </c>
      <c r="B760">
        <v>-0.72987177190952934</v>
      </c>
      <c r="D760">
        <v>0.75858903458522109</v>
      </c>
      <c r="E760">
        <v>0.55072927921173687</v>
      </c>
      <c r="J760">
        <v>20</v>
      </c>
      <c r="K760">
        <v>0.20773399000972859</v>
      </c>
      <c r="L760">
        <v>10.119152540679551</v>
      </c>
      <c r="M760">
        <v>10</v>
      </c>
      <c r="N760">
        <v>-0.49827599809759704</v>
      </c>
      <c r="O760">
        <v>95.683189241478658</v>
      </c>
      <c r="P760" s="1">
        <f t="shared" si="55"/>
        <v>3.7786550636485075</v>
      </c>
      <c r="Q760" s="1">
        <f t="shared" si="56"/>
        <v>0.56679825954727614</v>
      </c>
      <c r="R760" s="1">
        <f t="shared" si="57"/>
        <v>0.75286005309571058</v>
      </c>
      <c r="S760" s="1">
        <f t="shared" si="58"/>
        <v>0.93777055271329568</v>
      </c>
      <c r="T760" s="56">
        <f t="shared" si="59"/>
        <v>0.82180923912243964</v>
      </c>
    </row>
    <row r="761" spans="1:20" x14ac:dyDescent="0.25">
      <c r="A761">
        <v>0.78817953499908389</v>
      </c>
      <c r="B761">
        <v>0.43874251787201501</v>
      </c>
      <c r="D761">
        <v>0.76003514882583423</v>
      </c>
      <c r="E761">
        <v>-4.6647135184230137</v>
      </c>
      <c r="J761">
        <v>20</v>
      </c>
      <c r="K761">
        <v>0.19503562498357496</v>
      </c>
      <c r="L761">
        <v>8.9999199914053989</v>
      </c>
      <c r="M761">
        <v>10</v>
      </c>
      <c r="N761">
        <v>-0.68375254954844422</v>
      </c>
      <c r="O761">
        <v>153.68859390661561</v>
      </c>
      <c r="P761" s="1">
        <f t="shared" si="55"/>
        <v>5.8103040677864639</v>
      </c>
      <c r="Q761" s="1">
        <f t="shared" si="56"/>
        <v>0.87154561016796961</v>
      </c>
      <c r="R761" s="1">
        <f t="shared" si="57"/>
        <v>0.93356607166711536</v>
      </c>
      <c r="S761" s="1">
        <f t="shared" si="58"/>
        <v>0.94132402751389999</v>
      </c>
      <c r="T761" s="56">
        <f t="shared" si="59"/>
        <v>0.82270505610077138</v>
      </c>
    </row>
    <row r="762" spans="1:20" x14ac:dyDescent="0.25">
      <c r="A762">
        <v>0.7883635981478514</v>
      </c>
      <c r="B762">
        <v>-2.4119071895256639</v>
      </c>
      <c r="D762">
        <v>0.76122334380509615</v>
      </c>
      <c r="E762">
        <v>-2.2841725274247437</v>
      </c>
      <c r="J762">
        <v>20</v>
      </c>
      <c r="K762">
        <v>-9.3214111984707415E-3</v>
      </c>
      <c r="L762">
        <v>17.509209801355439</v>
      </c>
      <c r="M762">
        <v>10</v>
      </c>
      <c r="N762">
        <v>-0.48374545599472185</v>
      </c>
      <c r="O762">
        <v>29.687425940005184</v>
      </c>
      <c r="P762" s="1">
        <f t="shared" si="55"/>
        <v>1.6855941336200222</v>
      </c>
      <c r="Q762" s="1">
        <f t="shared" si="56"/>
        <v>0.2528391200430033</v>
      </c>
      <c r="R762" s="1">
        <f t="shared" si="57"/>
        <v>0.50283110488811578</v>
      </c>
      <c r="S762" s="1">
        <f t="shared" si="58"/>
        <v>0.94350576204273306</v>
      </c>
      <c r="T762" s="56">
        <f t="shared" si="59"/>
        <v>0.82325357479220007</v>
      </c>
    </row>
    <row r="763" spans="1:20" x14ac:dyDescent="0.25">
      <c r="A763">
        <v>0.7893944083112483</v>
      </c>
      <c r="B763">
        <v>-0.24709606805117801</v>
      </c>
      <c r="D763">
        <v>0.76132788915075922</v>
      </c>
      <c r="E763">
        <v>2.1012381205309794</v>
      </c>
      <c r="J763">
        <v>20</v>
      </c>
      <c r="K763">
        <v>-0.35047293067691498</v>
      </c>
      <c r="L763">
        <v>17.935867221139503</v>
      </c>
      <c r="M763">
        <v>10</v>
      </c>
      <c r="N763">
        <v>-0.94096947464095138</v>
      </c>
      <c r="O763">
        <v>53.847972594600833</v>
      </c>
      <c r="P763" s="1">
        <f t="shared" si="55"/>
        <v>2.563708564847869</v>
      </c>
      <c r="Q763" s="1">
        <f t="shared" si="56"/>
        <v>0.38455628472718034</v>
      </c>
      <c r="R763" s="1">
        <f t="shared" si="57"/>
        <v>0.620126023262353</v>
      </c>
      <c r="S763" s="1">
        <f t="shared" si="58"/>
        <v>0.95222022913593896</v>
      </c>
      <c r="T763" s="56">
        <f t="shared" si="59"/>
        <v>0.82543321987205154</v>
      </c>
    </row>
    <row r="764" spans="1:20" x14ac:dyDescent="0.25">
      <c r="A764">
        <v>0.78996047929311675</v>
      </c>
      <c r="B764">
        <v>0.88576598500367254</v>
      </c>
      <c r="D764">
        <v>0.76335799873026977</v>
      </c>
      <c r="E764">
        <v>0.61532614040515909</v>
      </c>
      <c r="J764">
        <v>20</v>
      </c>
      <c r="K764">
        <v>-2.1033145003457321E-2</v>
      </c>
      <c r="L764">
        <v>20.840603853079852</v>
      </c>
      <c r="M764">
        <v>10</v>
      </c>
      <c r="N764">
        <v>-1.0151760568533064</v>
      </c>
      <c r="O764">
        <v>181.21000055929568</v>
      </c>
      <c r="P764" s="1">
        <f t="shared" si="55"/>
        <v>7.2160930147276972</v>
      </c>
      <c r="Q764" s="1">
        <f t="shared" si="56"/>
        <v>1.0824139522091545</v>
      </c>
      <c r="R764" s="1">
        <f t="shared" si="57"/>
        <v>1.0403912495831338</v>
      </c>
      <c r="S764" s="1">
        <f t="shared" si="58"/>
        <v>0.9555471677104016</v>
      </c>
      <c r="T764" s="56">
        <f t="shared" si="59"/>
        <v>0.82626058121961798</v>
      </c>
    </row>
    <row r="765" spans="1:20" x14ac:dyDescent="0.25">
      <c r="A765">
        <v>0.79018702971009702</v>
      </c>
      <c r="B765">
        <v>-0.42329702409915626</v>
      </c>
      <c r="D765">
        <v>0.76384821744467013</v>
      </c>
      <c r="E765">
        <v>2.8020083357205294</v>
      </c>
      <c r="J765">
        <v>20</v>
      </c>
      <c r="K765">
        <v>0.11850391956613748</v>
      </c>
      <c r="L765">
        <v>14.756879553161589</v>
      </c>
      <c r="M765">
        <v>10</v>
      </c>
      <c r="N765">
        <v>-0.56818112511791696</v>
      </c>
      <c r="O765">
        <v>80.375302384113027</v>
      </c>
      <c r="P765" s="1">
        <f t="shared" si="55"/>
        <v>3.3975779263312367</v>
      </c>
      <c r="Q765" s="1">
        <f t="shared" si="56"/>
        <v>0.5096366889496855</v>
      </c>
      <c r="R765" s="1">
        <f t="shared" si="57"/>
        <v>0.71388842892267523</v>
      </c>
      <c r="S765" s="1">
        <f t="shared" si="58"/>
        <v>0.96189406756504903</v>
      </c>
      <c r="T765" s="56">
        <f t="shared" si="59"/>
        <v>0.82783165757586308</v>
      </c>
    </row>
    <row r="766" spans="1:20" x14ac:dyDescent="0.25">
      <c r="A766">
        <v>0.79102274441738352</v>
      </c>
      <c r="B766">
        <v>0.913164512894582</v>
      </c>
      <c r="D766">
        <v>0.76401833732028512</v>
      </c>
      <c r="E766">
        <v>-1.2298555736833805</v>
      </c>
      <c r="J766">
        <v>20</v>
      </c>
      <c r="K766">
        <v>5.8240971156919841E-2</v>
      </c>
      <c r="L766">
        <v>17.850358868243521</v>
      </c>
      <c r="M766">
        <v>10</v>
      </c>
      <c r="N766">
        <v>-0.53390454354484973</v>
      </c>
      <c r="O766">
        <v>52.473415784371056</v>
      </c>
      <c r="P766" s="1">
        <f t="shared" si="55"/>
        <v>2.5115633804505206</v>
      </c>
      <c r="Q766" s="1">
        <f t="shared" si="56"/>
        <v>0.37673450706757811</v>
      </c>
      <c r="R766" s="1">
        <f t="shared" si="57"/>
        <v>0.61378702093444282</v>
      </c>
      <c r="S766" s="1">
        <f t="shared" si="58"/>
        <v>0.96474101684371605</v>
      </c>
      <c r="T766" s="56">
        <f t="shared" si="59"/>
        <v>0.82853326103195302</v>
      </c>
    </row>
    <row r="767" spans="1:20" x14ac:dyDescent="0.25">
      <c r="A767">
        <v>0.79185214713626939</v>
      </c>
      <c r="B767">
        <v>0.27758005671785213</v>
      </c>
      <c r="D767">
        <v>0.76490258877065742</v>
      </c>
      <c r="E767">
        <v>0.82408928051336261</v>
      </c>
      <c r="J767">
        <v>20</v>
      </c>
      <c r="K767">
        <v>-1.778857949830126E-2</v>
      </c>
      <c r="L767">
        <v>16.739819646720377</v>
      </c>
      <c r="M767">
        <v>10</v>
      </c>
      <c r="N767">
        <v>-0.68343979705787206</v>
      </c>
      <c r="O767">
        <v>66.349580947167169</v>
      </c>
      <c r="P767" s="1">
        <f t="shared" si="55"/>
        <v>2.967478592638841</v>
      </c>
      <c r="Q767" s="1">
        <f t="shared" si="56"/>
        <v>0.44512178889582615</v>
      </c>
      <c r="R767" s="1">
        <f t="shared" si="57"/>
        <v>0.66717448159819948</v>
      </c>
      <c r="S767" s="1">
        <f t="shared" si="58"/>
        <v>0.99771684307382424</v>
      </c>
      <c r="T767" s="56">
        <f t="shared" si="59"/>
        <v>0.8365192898586481</v>
      </c>
    </row>
    <row r="768" spans="1:20" x14ac:dyDescent="0.25">
      <c r="A768">
        <v>0.79206938445011721</v>
      </c>
      <c r="B768">
        <v>-1.2032251106575131</v>
      </c>
      <c r="D768">
        <v>0.76570219990222443</v>
      </c>
      <c r="E768">
        <v>-1.4361937735429819</v>
      </c>
      <c r="J768">
        <v>20</v>
      </c>
      <c r="K768">
        <v>0.16060999996625469</v>
      </c>
      <c r="L768">
        <v>14.512695437826681</v>
      </c>
      <c r="M768">
        <v>10</v>
      </c>
      <c r="N768">
        <v>-0.45919626131762925</v>
      </c>
      <c r="O768">
        <v>56.720476359790595</v>
      </c>
      <c r="P768" s="1">
        <f t="shared" si="55"/>
        <v>2.5440418499149025</v>
      </c>
      <c r="Q768" s="1">
        <f t="shared" si="56"/>
        <v>0.38160627748723536</v>
      </c>
      <c r="R768" s="1">
        <f t="shared" si="57"/>
        <v>0.61774288946715961</v>
      </c>
      <c r="S768" s="1">
        <f t="shared" si="58"/>
        <v>1.0033401789836935</v>
      </c>
      <c r="T768" s="56">
        <f t="shared" si="59"/>
        <v>0.83785532605872426</v>
      </c>
    </row>
    <row r="769" spans="1:20" x14ac:dyDescent="0.25">
      <c r="A769">
        <v>0.79266003171761357</v>
      </c>
      <c r="B769">
        <v>0.67312157625565305</v>
      </c>
      <c r="D769">
        <v>0.76647919982365997</v>
      </c>
      <c r="E769">
        <v>1.4738982338258211</v>
      </c>
      <c r="J769">
        <v>20</v>
      </c>
      <c r="K769">
        <v>0.1954165895767801</v>
      </c>
      <c r="L769">
        <v>17.839681881308071</v>
      </c>
      <c r="M769">
        <v>10</v>
      </c>
      <c r="N769">
        <v>-0.54728605277887254</v>
      </c>
      <c r="O769">
        <v>83.857592358961014</v>
      </c>
      <c r="P769" s="1">
        <f t="shared" si="55"/>
        <v>3.6320455085810388</v>
      </c>
      <c r="Q769" s="1">
        <f t="shared" si="56"/>
        <v>0.54480682628715582</v>
      </c>
      <c r="R769" s="1">
        <f t="shared" si="57"/>
        <v>0.73811030766895258</v>
      </c>
      <c r="S769" s="1">
        <f t="shared" si="58"/>
        <v>1.0062217457729363</v>
      </c>
      <c r="T769" s="56">
        <f t="shared" si="59"/>
        <v>0.83853703891028908</v>
      </c>
    </row>
    <row r="770" spans="1:20" x14ac:dyDescent="0.25">
      <c r="A770">
        <v>0.79268735333385365</v>
      </c>
      <c r="B770">
        <v>-1.9564140529837459</v>
      </c>
      <c r="D770">
        <v>0.7665834394602743</v>
      </c>
      <c r="E770">
        <v>-0.60462685155471263</v>
      </c>
      <c r="J770">
        <v>20</v>
      </c>
      <c r="K770">
        <v>-0.13610144833364757</v>
      </c>
      <c r="L770">
        <v>15.012372719695712</v>
      </c>
      <c r="M770">
        <v>10</v>
      </c>
      <c r="N770">
        <v>-0.75009154784311249</v>
      </c>
      <c r="O770">
        <v>54.015630346884073</v>
      </c>
      <c r="P770" s="1">
        <f t="shared" ref="P770:P833" si="60">(L770+O770)/(J770+M770-2)</f>
        <v>2.465285823806421</v>
      </c>
      <c r="Q770" s="1">
        <f t="shared" ref="Q770:Q833" si="61">P770*0.15</f>
        <v>0.36979287357096313</v>
      </c>
      <c r="R770" s="1">
        <f t="shared" ref="R770:R833" si="62">SQRT(Q770)</f>
        <v>0.60810597231976193</v>
      </c>
      <c r="S770" s="1">
        <f t="shared" ref="S770:S833" si="63">(K770-N770)/R770</f>
        <v>1.0096761542519581</v>
      </c>
      <c r="T770" s="56">
        <f t="shared" ref="T770:T833" si="64">_xlfn.T.DIST(S770,28,TRUE)</f>
        <v>0.83935167285317613</v>
      </c>
    </row>
    <row r="771" spans="1:20" x14ac:dyDescent="0.25">
      <c r="A771">
        <v>0.79296964494488043</v>
      </c>
      <c r="B771">
        <v>2.0872357708867639</v>
      </c>
      <c r="D771">
        <v>0.76743160863694704</v>
      </c>
      <c r="E771">
        <v>0.71317981223728566</v>
      </c>
      <c r="J771">
        <v>20</v>
      </c>
      <c r="K771">
        <v>0.29926729894214077</v>
      </c>
      <c r="L771">
        <v>16.695614313508862</v>
      </c>
      <c r="M771">
        <v>10</v>
      </c>
      <c r="N771">
        <v>-0.35898552027902042</v>
      </c>
      <c r="O771">
        <v>62.36617096510291</v>
      </c>
      <c r="P771" s="1">
        <f t="shared" si="60"/>
        <v>2.8236351885218491</v>
      </c>
      <c r="Q771" s="1">
        <f t="shared" si="61"/>
        <v>0.42354527827827737</v>
      </c>
      <c r="R771" s="1">
        <f t="shared" si="62"/>
        <v>0.65080356351073965</v>
      </c>
      <c r="S771" s="1">
        <f t="shared" si="63"/>
        <v>1.0114462429649844</v>
      </c>
      <c r="T771" s="56">
        <f t="shared" si="64"/>
        <v>0.83976800464828028</v>
      </c>
    </row>
    <row r="772" spans="1:20" x14ac:dyDescent="0.25">
      <c r="A772">
        <v>0.79320514806988407</v>
      </c>
      <c r="B772">
        <v>0.32046045816969126</v>
      </c>
      <c r="D772">
        <v>0.76753824314245767</v>
      </c>
      <c r="E772">
        <v>-0.20887046389361785</v>
      </c>
      <c r="J772">
        <v>20</v>
      </c>
      <c r="K772">
        <v>3.826028205367038E-2</v>
      </c>
      <c r="L772">
        <v>18.402804025675014</v>
      </c>
      <c r="M772">
        <v>10</v>
      </c>
      <c r="N772">
        <v>-0.70983924501888396</v>
      </c>
      <c r="O772">
        <v>82.889094221695558</v>
      </c>
      <c r="P772" s="1">
        <f t="shared" si="60"/>
        <v>3.6175677945489491</v>
      </c>
      <c r="Q772" s="1">
        <f t="shared" si="61"/>
        <v>0.54263516918234234</v>
      </c>
      <c r="R772" s="1">
        <f t="shared" si="62"/>
        <v>0.73663774623782508</v>
      </c>
      <c r="S772" s="1">
        <f t="shared" si="63"/>
        <v>1.0155595893548317</v>
      </c>
      <c r="T772" s="56">
        <f t="shared" si="64"/>
        <v>0.84073260627345969</v>
      </c>
    </row>
    <row r="773" spans="1:20" x14ac:dyDescent="0.25">
      <c r="A773">
        <v>0.79466593720882206</v>
      </c>
      <c r="B773">
        <v>-0.57522129282006063</v>
      </c>
      <c r="D773">
        <v>0.76897660842700766</v>
      </c>
      <c r="E773">
        <v>1.6938276951350417</v>
      </c>
      <c r="J773">
        <v>20</v>
      </c>
      <c r="K773">
        <v>-2.1078676581964828E-2</v>
      </c>
      <c r="L773">
        <v>16.118306934975674</v>
      </c>
      <c r="M773">
        <v>10</v>
      </c>
      <c r="N773">
        <v>-0.92114089852657344</v>
      </c>
      <c r="O773">
        <v>129.6178401369892</v>
      </c>
      <c r="P773" s="1">
        <f t="shared" si="60"/>
        <v>5.204862395427317</v>
      </c>
      <c r="Q773" s="1">
        <f t="shared" si="61"/>
        <v>0.78072935931409748</v>
      </c>
      <c r="R773" s="1">
        <f t="shared" si="62"/>
        <v>0.88358890855085859</v>
      </c>
      <c r="S773" s="1">
        <f t="shared" si="63"/>
        <v>1.0186436398582315</v>
      </c>
      <c r="T773" s="56">
        <f t="shared" si="64"/>
        <v>0.84145319763330872</v>
      </c>
    </row>
    <row r="774" spans="1:20" x14ac:dyDescent="0.25">
      <c r="A774">
        <v>0.79472865493972777</v>
      </c>
      <c r="B774">
        <v>0.8247775440395344</v>
      </c>
      <c r="D774">
        <v>0.77186065184994501</v>
      </c>
      <c r="E774">
        <v>-2.3117302168884635</v>
      </c>
      <c r="J774">
        <v>20</v>
      </c>
      <c r="K774">
        <v>2.4474502424709499E-2</v>
      </c>
      <c r="L774">
        <v>30.026908294391561</v>
      </c>
      <c r="M774">
        <v>10</v>
      </c>
      <c r="N774">
        <v>-0.73837441391333414</v>
      </c>
      <c r="O774">
        <v>73.768813577722952</v>
      </c>
      <c r="P774" s="1">
        <f t="shared" si="60"/>
        <v>3.7069900668612328</v>
      </c>
      <c r="Q774" s="1">
        <f t="shared" si="61"/>
        <v>0.55604851002918487</v>
      </c>
      <c r="R774" s="1">
        <f t="shared" si="62"/>
        <v>0.74568660309085943</v>
      </c>
      <c r="S774" s="1">
        <f t="shared" si="63"/>
        <v>1.0230154506947646</v>
      </c>
      <c r="T774" s="56">
        <f t="shared" si="64"/>
        <v>0.84247080771842486</v>
      </c>
    </row>
    <row r="775" spans="1:20" x14ac:dyDescent="0.25">
      <c r="A775">
        <v>0.79585068141248383</v>
      </c>
      <c r="B775">
        <v>1.124044501921162</v>
      </c>
      <c r="D775">
        <v>0.77300203850039562</v>
      </c>
      <c r="E775">
        <v>-1.4999516258740186</v>
      </c>
      <c r="J775">
        <v>20</v>
      </c>
      <c r="K775">
        <v>0.10836043884410174</v>
      </c>
      <c r="L775">
        <v>16.089455536210561</v>
      </c>
      <c r="M775">
        <v>10</v>
      </c>
      <c r="N775">
        <v>-0.6773112806968129</v>
      </c>
      <c r="O775">
        <v>92.830201523774392</v>
      </c>
      <c r="P775" s="1">
        <f t="shared" si="60"/>
        <v>3.8899877521423201</v>
      </c>
      <c r="Q775" s="1">
        <f t="shared" si="61"/>
        <v>0.58349816282134803</v>
      </c>
      <c r="R775" s="1">
        <f t="shared" si="62"/>
        <v>0.76387051443379328</v>
      </c>
      <c r="S775" s="1">
        <f t="shared" si="63"/>
        <v>1.0285404459200538</v>
      </c>
      <c r="T775" s="56">
        <f t="shared" si="64"/>
        <v>0.84375035518402208</v>
      </c>
    </row>
    <row r="776" spans="1:20" x14ac:dyDescent="0.25">
      <c r="A776">
        <v>0.79624810313840655</v>
      </c>
      <c r="B776">
        <v>0.62970684666652232</v>
      </c>
      <c r="D776">
        <v>0.77313923432457343</v>
      </c>
      <c r="E776">
        <v>-1.280264317529145</v>
      </c>
      <c r="J776">
        <v>20</v>
      </c>
      <c r="K776">
        <v>-8.4224382135289488E-2</v>
      </c>
      <c r="L776">
        <v>14.405098440967858</v>
      </c>
      <c r="M776">
        <v>10</v>
      </c>
      <c r="N776">
        <v>-0.72519890522926289</v>
      </c>
      <c r="O776">
        <v>57.971059339622478</v>
      </c>
      <c r="P776" s="1">
        <f t="shared" si="60"/>
        <v>2.584862777878226</v>
      </c>
      <c r="Q776" s="1">
        <f t="shared" si="61"/>
        <v>0.38772941668173388</v>
      </c>
      <c r="R776" s="1">
        <f t="shared" si="62"/>
        <v>0.62267922454642233</v>
      </c>
      <c r="S776" s="1">
        <f t="shared" si="63"/>
        <v>1.0293815785501401</v>
      </c>
      <c r="T776" s="56">
        <f t="shared" si="64"/>
        <v>0.84394452038596635</v>
      </c>
    </row>
    <row r="777" spans="1:20" x14ac:dyDescent="0.25">
      <c r="A777">
        <v>0.79630858802309723</v>
      </c>
      <c r="B777">
        <v>0.36459368857322261</v>
      </c>
      <c r="D777">
        <v>0.77390323489889778</v>
      </c>
      <c r="E777">
        <v>-4.6580287323649827</v>
      </c>
      <c r="J777">
        <v>20</v>
      </c>
      <c r="K777">
        <v>0.45187016439740546</v>
      </c>
      <c r="L777">
        <v>20.021656022566802</v>
      </c>
      <c r="M777">
        <v>10</v>
      </c>
      <c r="N777">
        <v>-0.312021828676734</v>
      </c>
      <c r="O777">
        <v>81.537021872862127</v>
      </c>
      <c r="P777" s="1">
        <f t="shared" si="60"/>
        <v>3.6270956391224618</v>
      </c>
      <c r="Q777" s="1">
        <f t="shared" si="61"/>
        <v>0.54406434586836927</v>
      </c>
      <c r="R777" s="1">
        <f t="shared" si="62"/>
        <v>0.73760717585200408</v>
      </c>
      <c r="S777" s="1">
        <f t="shared" si="63"/>
        <v>1.035635251503314</v>
      </c>
      <c r="T777" s="56">
        <f t="shared" si="64"/>
        <v>0.84538284734569169</v>
      </c>
    </row>
    <row r="778" spans="1:20" x14ac:dyDescent="0.25">
      <c r="A778">
        <v>0.79724105293518155</v>
      </c>
      <c r="B778">
        <v>0.13114913599565625</v>
      </c>
      <c r="D778">
        <v>0.77545795125170791</v>
      </c>
      <c r="E778">
        <v>-3.5412601880580041</v>
      </c>
      <c r="J778">
        <v>20</v>
      </c>
      <c r="K778">
        <v>3.6750861909240484E-2</v>
      </c>
      <c r="L778">
        <v>23.118099457888714</v>
      </c>
      <c r="M778">
        <v>10</v>
      </c>
      <c r="N778">
        <v>-0.89901255137192493</v>
      </c>
      <c r="O778">
        <v>128.74512472543827</v>
      </c>
      <c r="P778" s="1">
        <f t="shared" si="60"/>
        <v>5.423686577975964</v>
      </c>
      <c r="Q778" s="1">
        <f t="shared" si="61"/>
        <v>0.81355298669639453</v>
      </c>
      <c r="R778" s="1">
        <f t="shared" si="62"/>
        <v>0.90197172167224537</v>
      </c>
      <c r="S778" s="1">
        <f t="shared" si="63"/>
        <v>1.0374642472673874</v>
      </c>
      <c r="T778" s="56">
        <f t="shared" si="64"/>
        <v>0.84580176023500619</v>
      </c>
    </row>
    <row r="779" spans="1:20" x14ac:dyDescent="0.25">
      <c r="A779">
        <v>0.79966012510829187</v>
      </c>
      <c r="B779">
        <v>0.5425772542366758</v>
      </c>
      <c r="D779">
        <v>0.77571657960606455</v>
      </c>
      <c r="E779">
        <v>0.15052887306410412</v>
      </c>
      <c r="J779">
        <v>20</v>
      </c>
      <c r="K779">
        <v>0.42045678583235713</v>
      </c>
      <c r="L779">
        <v>20.479421557999302</v>
      </c>
      <c r="M779">
        <v>10</v>
      </c>
      <c r="N779">
        <v>-0.47300443725362129</v>
      </c>
      <c r="O779">
        <v>116.36370194385114</v>
      </c>
      <c r="P779" s="1">
        <f t="shared" si="60"/>
        <v>4.8872544107803728</v>
      </c>
      <c r="Q779" s="1">
        <f t="shared" si="61"/>
        <v>0.73308816161705592</v>
      </c>
      <c r="R779" s="1">
        <f t="shared" si="62"/>
        <v>0.85620567716936791</v>
      </c>
      <c r="S779" s="1">
        <f t="shared" si="63"/>
        <v>1.0435123789879297</v>
      </c>
      <c r="T779" s="56">
        <f t="shared" si="64"/>
        <v>0.84718138433169021</v>
      </c>
    </row>
    <row r="780" spans="1:20" x14ac:dyDescent="0.25">
      <c r="A780">
        <v>0.79990990620117453</v>
      </c>
      <c r="B780">
        <v>-0.81888060776691418</v>
      </c>
      <c r="D780">
        <v>0.77601744176018383</v>
      </c>
      <c r="E780">
        <v>2.9936707016986475</v>
      </c>
      <c r="J780">
        <v>20</v>
      </c>
      <c r="K780">
        <v>-5.2362395308591658E-2</v>
      </c>
      <c r="L780">
        <v>22.441611944260835</v>
      </c>
      <c r="M780">
        <v>10</v>
      </c>
      <c r="N780">
        <v>-0.69943212452017178</v>
      </c>
      <c r="O780">
        <v>48.340783821020864</v>
      </c>
      <c r="P780" s="1">
        <f t="shared" si="60"/>
        <v>2.5279427059029183</v>
      </c>
      <c r="Q780" s="1">
        <f t="shared" si="61"/>
        <v>0.3791914058854377</v>
      </c>
      <c r="R780" s="1">
        <f t="shared" si="62"/>
        <v>0.61578519459746495</v>
      </c>
      <c r="S780" s="1">
        <f t="shared" si="63"/>
        <v>1.0508042981360826</v>
      </c>
      <c r="T780" s="56">
        <f t="shared" si="64"/>
        <v>0.84883322078096768</v>
      </c>
    </row>
    <row r="781" spans="1:20" x14ac:dyDescent="0.25">
      <c r="A781">
        <v>0.80002113314189949</v>
      </c>
      <c r="B781">
        <v>-4.9017216952051967E-2</v>
      </c>
      <c r="D781">
        <v>0.77647327410886691</v>
      </c>
      <c r="E781">
        <v>0.76503465265886916</v>
      </c>
      <c r="J781">
        <v>20</v>
      </c>
      <c r="K781">
        <v>0.21144285256013973</v>
      </c>
      <c r="L781">
        <v>14.062825170385839</v>
      </c>
      <c r="M781">
        <v>10</v>
      </c>
      <c r="N781">
        <v>-0.62001481978768425</v>
      </c>
      <c r="O781">
        <v>102.41585774915967</v>
      </c>
      <c r="P781" s="1">
        <f t="shared" si="60"/>
        <v>4.1599529614123396</v>
      </c>
      <c r="Q781" s="1">
        <f t="shared" si="61"/>
        <v>0.62399294421185092</v>
      </c>
      <c r="R781" s="1">
        <f t="shared" si="62"/>
        <v>0.78993224026611986</v>
      </c>
      <c r="S781" s="1">
        <f t="shared" si="63"/>
        <v>1.0525683469606388</v>
      </c>
      <c r="T781" s="56">
        <f t="shared" si="64"/>
        <v>0.84923094237073771</v>
      </c>
    </row>
    <row r="782" spans="1:20" x14ac:dyDescent="0.25">
      <c r="A782">
        <v>0.80150783899141531</v>
      </c>
      <c r="B782">
        <v>-8.9585228124633431E-2</v>
      </c>
      <c r="D782">
        <v>0.77674510172123723</v>
      </c>
      <c r="E782">
        <v>-1.9418296267303958</v>
      </c>
      <c r="J782">
        <v>20</v>
      </c>
      <c r="K782">
        <v>9.1687297754106112E-2</v>
      </c>
      <c r="L782">
        <v>12.164147300710896</v>
      </c>
      <c r="M782">
        <v>10</v>
      </c>
      <c r="N782">
        <v>-0.82130361874988012</v>
      </c>
      <c r="O782">
        <v>126.60891298822021</v>
      </c>
      <c r="P782" s="1">
        <f t="shared" si="60"/>
        <v>4.9561807246046827</v>
      </c>
      <c r="Q782" s="1">
        <f t="shared" si="61"/>
        <v>0.74342710869070239</v>
      </c>
      <c r="R782" s="1">
        <f t="shared" si="62"/>
        <v>0.86222219218174989</v>
      </c>
      <c r="S782" s="1">
        <f t="shared" si="63"/>
        <v>1.0588812544870507</v>
      </c>
      <c r="T782" s="56">
        <f t="shared" si="64"/>
        <v>0.85064822687031683</v>
      </c>
    </row>
    <row r="783" spans="1:20" x14ac:dyDescent="0.25">
      <c r="A783">
        <v>0.80177711601627388</v>
      </c>
      <c r="B783">
        <v>1.9929575501009822</v>
      </c>
      <c r="D783">
        <v>0.77840624218180343</v>
      </c>
      <c r="E783">
        <v>-0.30108981604826113</v>
      </c>
      <c r="J783">
        <v>20</v>
      </c>
      <c r="K783">
        <v>-0.14269102166508674</v>
      </c>
      <c r="L783">
        <v>19.227674770577543</v>
      </c>
      <c r="M783">
        <v>10</v>
      </c>
      <c r="N783">
        <v>-1.0792725822739158</v>
      </c>
      <c r="O783">
        <v>126.34105800024659</v>
      </c>
      <c r="P783" s="1">
        <f t="shared" si="60"/>
        <v>5.1988833132437193</v>
      </c>
      <c r="Q783" s="1">
        <f t="shared" si="61"/>
        <v>0.77983249698655788</v>
      </c>
      <c r="R783" s="1">
        <f t="shared" si="62"/>
        <v>0.88308125163348239</v>
      </c>
      <c r="S783" s="1">
        <f t="shared" si="63"/>
        <v>1.060583676616828</v>
      </c>
      <c r="T783" s="56">
        <f t="shared" si="64"/>
        <v>0.8510288202841545</v>
      </c>
    </row>
    <row r="784" spans="1:20" x14ac:dyDescent="0.25">
      <c r="A784">
        <v>0.80318741743304067</v>
      </c>
      <c r="B784">
        <v>-0.71626118369749747</v>
      </c>
      <c r="D784">
        <v>0.7792676167225403</v>
      </c>
      <c r="E784">
        <v>3.2324880942269374</v>
      </c>
      <c r="J784">
        <v>20</v>
      </c>
      <c r="K784">
        <v>5.7365355132787954E-2</v>
      </c>
      <c r="L784">
        <v>20.566447801495194</v>
      </c>
      <c r="M784">
        <v>10</v>
      </c>
      <c r="N784">
        <v>-0.75468154022928502</v>
      </c>
      <c r="O784">
        <v>87.801349656830041</v>
      </c>
      <c r="P784" s="1">
        <f t="shared" si="60"/>
        <v>3.870278480654473</v>
      </c>
      <c r="Q784" s="1">
        <f t="shared" si="61"/>
        <v>0.58054177209817093</v>
      </c>
      <c r="R784" s="1">
        <f t="shared" si="62"/>
        <v>0.76193291837153942</v>
      </c>
      <c r="S784" s="1">
        <f t="shared" si="63"/>
        <v>1.0657721641658966</v>
      </c>
      <c r="T784" s="56">
        <f t="shared" si="64"/>
        <v>0.85218454257051923</v>
      </c>
    </row>
    <row r="785" spans="1:20" x14ac:dyDescent="0.25">
      <c r="A785">
        <v>0.80464659051764575</v>
      </c>
      <c r="B785">
        <v>-0.32739421840233263</v>
      </c>
      <c r="D785">
        <v>0.78021128563483355</v>
      </c>
      <c r="E785">
        <v>3.821131255108412</v>
      </c>
      <c r="J785">
        <v>20</v>
      </c>
      <c r="K785">
        <v>0.36184889040669077</v>
      </c>
      <c r="L785">
        <v>17.515109431461575</v>
      </c>
      <c r="M785">
        <v>10</v>
      </c>
      <c r="N785">
        <v>-0.58138084909842291</v>
      </c>
      <c r="O785">
        <v>128.31539766167134</v>
      </c>
      <c r="P785" s="1">
        <f t="shared" si="60"/>
        <v>5.2082323961833188</v>
      </c>
      <c r="Q785" s="1">
        <f t="shared" si="61"/>
        <v>0.78123485942749782</v>
      </c>
      <c r="R785" s="1">
        <f t="shared" si="62"/>
        <v>0.88387491164049781</v>
      </c>
      <c r="S785" s="1">
        <f t="shared" si="63"/>
        <v>1.0671529727599707</v>
      </c>
      <c r="T785" s="56">
        <f t="shared" si="64"/>
        <v>0.85249104513096419</v>
      </c>
    </row>
    <row r="786" spans="1:20" x14ac:dyDescent="0.25">
      <c r="A786">
        <v>0.80464738035845984</v>
      </c>
      <c r="B786">
        <v>1.3198200576880481</v>
      </c>
      <c r="D786">
        <v>0.78044330490643488</v>
      </c>
      <c r="E786">
        <v>-0.90020694528902823</v>
      </c>
      <c r="J786">
        <v>20</v>
      </c>
      <c r="K786">
        <v>0.1196037260342564</v>
      </c>
      <c r="L786">
        <v>29.970229473297952</v>
      </c>
      <c r="M786">
        <v>10</v>
      </c>
      <c r="N786">
        <v>-0.65111987964883156</v>
      </c>
      <c r="O786">
        <v>67.121974547173409</v>
      </c>
      <c r="P786" s="1">
        <f t="shared" si="60"/>
        <v>3.4675787150168342</v>
      </c>
      <c r="Q786" s="1">
        <f t="shared" si="61"/>
        <v>0.52013680725252509</v>
      </c>
      <c r="R786" s="1">
        <f t="shared" si="62"/>
        <v>0.7212051076167757</v>
      </c>
      <c r="S786" s="1">
        <f t="shared" si="63"/>
        <v>1.0686607700685125</v>
      </c>
      <c r="T786" s="56">
        <f t="shared" si="64"/>
        <v>0.8528252227701687</v>
      </c>
    </row>
    <row r="787" spans="1:20" x14ac:dyDescent="0.25">
      <c r="A787">
        <v>0.80474153623511202</v>
      </c>
      <c r="B787">
        <v>0.76825472206110135</v>
      </c>
      <c r="D787">
        <v>0.78275838568443179</v>
      </c>
      <c r="E787">
        <v>-4.2348272052095126</v>
      </c>
      <c r="J787">
        <v>20</v>
      </c>
      <c r="K787">
        <v>-1.9127128325635567E-2</v>
      </c>
      <c r="L787">
        <v>22.322155418221659</v>
      </c>
      <c r="M787">
        <v>10</v>
      </c>
      <c r="N787">
        <v>-1.0496330594378378</v>
      </c>
      <c r="O787">
        <v>149.9656921538845</v>
      </c>
      <c r="P787" s="1">
        <f t="shared" si="60"/>
        <v>6.1531374132895058</v>
      </c>
      <c r="Q787" s="1">
        <f t="shared" si="61"/>
        <v>0.92297061199342578</v>
      </c>
      <c r="R787" s="1">
        <f t="shared" si="62"/>
        <v>0.96071359519548061</v>
      </c>
      <c r="S787" s="1">
        <f t="shared" si="63"/>
        <v>1.0726463498234566</v>
      </c>
      <c r="T787" s="56">
        <f t="shared" si="64"/>
        <v>0.85370598106388285</v>
      </c>
    </row>
    <row r="788" spans="1:20" x14ac:dyDescent="0.25">
      <c r="A788">
        <v>0.80557333974925294</v>
      </c>
      <c r="B788">
        <v>-0.94664073913008906</v>
      </c>
      <c r="D788">
        <v>0.78430757849006638</v>
      </c>
      <c r="E788">
        <v>-5.9917936175679642</v>
      </c>
      <c r="J788">
        <v>20</v>
      </c>
      <c r="K788">
        <v>-0.30358660296769813</v>
      </c>
      <c r="L788">
        <v>22.350369040213366</v>
      </c>
      <c r="M788">
        <v>10</v>
      </c>
      <c r="N788">
        <v>-1.0207182901922351</v>
      </c>
      <c r="O788">
        <v>59.389425572401635</v>
      </c>
      <c r="P788" s="1">
        <f t="shared" si="60"/>
        <v>2.9192783790219643</v>
      </c>
      <c r="Q788" s="1">
        <f t="shared" si="61"/>
        <v>0.43789175685329462</v>
      </c>
      <c r="R788" s="1">
        <f t="shared" si="62"/>
        <v>0.66173390184672765</v>
      </c>
      <c r="S788" s="1">
        <f t="shared" si="63"/>
        <v>1.0837161058594831</v>
      </c>
      <c r="T788" s="56">
        <f t="shared" si="64"/>
        <v>0.85613264609901318</v>
      </c>
    </row>
    <row r="789" spans="1:20" x14ac:dyDescent="0.25">
      <c r="A789">
        <v>0.80577094192163679</v>
      </c>
      <c r="B789">
        <v>-1.8821447156369686</v>
      </c>
      <c r="D789">
        <v>0.78450135865212489</v>
      </c>
      <c r="E789">
        <v>-2.9849632062450837</v>
      </c>
      <c r="J789">
        <v>20</v>
      </c>
      <c r="K789">
        <v>-0.18889397779275896</v>
      </c>
      <c r="L789">
        <v>11.614370987768631</v>
      </c>
      <c r="M789">
        <v>10</v>
      </c>
      <c r="N789">
        <v>-0.88266040506823629</v>
      </c>
      <c r="O789">
        <v>64.853428096592936</v>
      </c>
      <c r="P789" s="1">
        <f t="shared" si="60"/>
        <v>2.7309928244414841</v>
      </c>
      <c r="Q789" s="1">
        <f t="shared" si="61"/>
        <v>0.40964892366622258</v>
      </c>
      <c r="R789" s="1">
        <f t="shared" si="62"/>
        <v>0.64003822047298287</v>
      </c>
      <c r="S789" s="1">
        <f t="shared" si="63"/>
        <v>1.08394530995788</v>
      </c>
      <c r="T789" s="56">
        <f t="shared" si="64"/>
        <v>0.8561825870355303</v>
      </c>
    </row>
    <row r="790" spans="1:20" x14ac:dyDescent="0.25">
      <c r="A790">
        <v>0.80612292806981944</v>
      </c>
      <c r="B790">
        <v>1.6542026060051285</v>
      </c>
      <c r="D790">
        <v>0.7856283883449362</v>
      </c>
      <c r="E790">
        <v>0.7917703862858616</v>
      </c>
      <c r="J790">
        <v>20</v>
      </c>
      <c r="K790">
        <v>0.25063275188585976</v>
      </c>
      <c r="L790">
        <v>19.833260329378895</v>
      </c>
      <c r="M790">
        <v>10</v>
      </c>
      <c r="N790">
        <v>-0.44178000621286628</v>
      </c>
      <c r="O790">
        <v>55.303369001840764</v>
      </c>
      <c r="P790" s="1">
        <f t="shared" si="60"/>
        <v>2.6834510475435596</v>
      </c>
      <c r="Q790" s="1">
        <f t="shared" si="61"/>
        <v>0.40251765713153392</v>
      </c>
      <c r="R790" s="1">
        <f t="shared" si="62"/>
        <v>0.63444279263896908</v>
      </c>
      <c r="S790" s="1">
        <f t="shared" si="63"/>
        <v>1.0913714619069601</v>
      </c>
      <c r="T790" s="56">
        <f t="shared" si="64"/>
        <v>0.85779399154731728</v>
      </c>
    </row>
    <row r="791" spans="1:20" x14ac:dyDescent="0.25">
      <c r="A791">
        <v>0.80618099964553469</v>
      </c>
      <c r="B791">
        <v>-0.7486733011319302</v>
      </c>
      <c r="D791">
        <v>0.78647737438566634</v>
      </c>
      <c r="E791">
        <v>-1.9429483052135765</v>
      </c>
      <c r="J791">
        <v>20</v>
      </c>
      <c r="K791">
        <v>6.8592044044635259E-2</v>
      </c>
      <c r="L791">
        <v>23.506271628946394</v>
      </c>
      <c r="M791">
        <v>10</v>
      </c>
      <c r="N791">
        <v>-0.69862108261986577</v>
      </c>
      <c r="O791">
        <v>68.465821231208565</v>
      </c>
      <c r="P791" s="1">
        <f t="shared" si="60"/>
        <v>3.2847176021483913</v>
      </c>
      <c r="Q791" s="1">
        <f t="shared" si="61"/>
        <v>0.49270764032225867</v>
      </c>
      <c r="R791" s="1">
        <f t="shared" si="62"/>
        <v>0.70193136439559289</v>
      </c>
      <c r="S791" s="1">
        <f t="shared" si="63"/>
        <v>1.0930030563958626</v>
      </c>
      <c r="T791" s="56">
        <f t="shared" si="64"/>
        <v>0.85814629979028711</v>
      </c>
    </row>
    <row r="792" spans="1:20" x14ac:dyDescent="0.25">
      <c r="A792">
        <v>0.80699203079219295</v>
      </c>
      <c r="B792">
        <v>1.2706209417956416</v>
      </c>
      <c r="D792">
        <v>0.78709891784890973</v>
      </c>
      <c r="E792">
        <v>-3.0321455176363088</v>
      </c>
      <c r="J792">
        <v>20</v>
      </c>
      <c r="K792">
        <v>-0.14377411616806057</v>
      </c>
      <c r="L792">
        <v>17.104396446269767</v>
      </c>
      <c r="M792">
        <v>10</v>
      </c>
      <c r="N792">
        <v>-0.80380585018247075</v>
      </c>
      <c r="O792">
        <v>50.82751544405923</v>
      </c>
      <c r="P792" s="1">
        <f t="shared" si="60"/>
        <v>2.4261397103688926</v>
      </c>
      <c r="Q792" s="1">
        <f t="shared" si="61"/>
        <v>0.36392095655533391</v>
      </c>
      <c r="R792" s="1">
        <f t="shared" si="62"/>
        <v>0.60325861498642019</v>
      </c>
      <c r="S792" s="1">
        <f t="shared" si="63"/>
        <v>1.0941107472278171</v>
      </c>
      <c r="T792" s="56">
        <f t="shared" si="64"/>
        <v>0.85838512676976864</v>
      </c>
    </row>
    <row r="793" spans="1:20" x14ac:dyDescent="0.25">
      <c r="A793">
        <v>0.80797104364840222</v>
      </c>
      <c r="B793">
        <v>-0.70719352152082138</v>
      </c>
      <c r="D793">
        <v>0.78796509888427135</v>
      </c>
      <c r="E793">
        <v>-3.6076987760225165</v>
      </c>
      <c r="J793">
        <v>20</v>
      </c>
      <c r="K793">
        <v>0.24000462417461677</v>
      </c>
      <c r="L793">
        <v>20.277144197598105</v>
      </c>
      <c r="M793">
        <v>10</v>
      </c>
      <c r="N793">
        <v>-0.46448440457425022</v>
      </c>
      <c r="O793">
        <v>56.852988418582299</v>
      </c>
      <c r="P793" s="1">
        <f t="shared" si="60"/>
        <v>2.7546475934350143</v>
      </c>
      <c r="Q793" s="1">
        <f t="shared" si="61"/>
        <v>0.41319713901525212</v>
      </c>
      <c r="R793" s="1">
        <f t="shared" si="62"/>
        <v>0.64280412180947633</v>
      </c>
      <c r="S793" s="1">
        <f t="shared" si="63"/>
        <v>1.0959622143768295</v>
      </c>
      <c r="T793" s="56">
        <f t="shared" si="64"/>
        <v>0.85878367642422926</v>
      </c>
    </row>
    <row r="794" spans="1:20" x14ac:dyDescent="0.25">
      <c r="A794">
        <v>0.80913489585773624</v>
      </c>
      <c r="B794">
        <v>-0.51556526159401983</v>
      </c>
      <c r="D794">
        <v>0.78872016253639188</v>
      </c>
      <c r="E794">
        <v>-0.64923756667667476</v>
      </c>
      <c r="J794">
        <v>20</v>
      </c>
      <c r="K794">
        <v>-0.10984985010509263</v>
      </c>
      <c r="L794">
        <v>16.183826086627267</v>
      </c>
      <c r="M794">
        <v>10</v>
      </c>
      <c r="N794">
        <v>-0.84518228845809062</v>
      </c>
      <c r="O794">
        <v>67.177045212534679</v>
      </c>
      <c r="P794" s="1">
        <f t="shared" si="60"/>
        <v>2.9771739749700692</v>
      </c>
      <c r="Q794" s="1">
        <f t="shared" si="61"/>
        <v>0.44657609624551037</v>
      </c>
      <c r="R794" s="1">
        <f t="shared" si="62"/>
        <v>0.6682634931264092</v>
      </c>
      <c r="S794" s="1">
        <f t="shared" si="63"/>
        <v>1.1003630243406128</v>
      </c>
      <c r="T794" s="56">
        <f t="shared" si="64"/>
        <v>0.85972778215361634</v>
      </c>
    </row>
    <row r="795" spans="1:20" x14ac:dyDescent="0.25">
      <c r="A795">
        <v>0.80974892813168964</v>
      </c>
      <c r="B795">
        <v>-2.492197381798178</v>
      </c>
      <c r="D795">
        <v>0.78881374558715001</v>
      </c>
      <c r="E795">
        <v>1.0539640663864702</v>
      </c>
      <c r="J795">
        <v>20</v>
      </c>
      <c r="K795">
        <v>-6.1909474879939808E-2</v>
      </c>
      <c r="L795">
        <v>15.066450802780771</v>
      </c>
      <c r="M795">
        <v>10</v>
      </c>
      <c r="N795">
        <v>-1.1112794061318709</v>
      </c>
      <c r="O795">
        <v>152.66713263310163</v>
      </c>
      <c r="P795" s="1">
        <f t="shared" si="60"/>
        <v>5.9904851227100853</v>
      </c>
      <c r="Q795" s="1">
        <f t="shared" si="61"/>
        <v>0.89857276840651279</v>
      </c>
      <c r="R795" s="1">
        <f t="shared" si="62"/>
        <v>0.94793078249760032</v>
      </c>
      <c r="S795" s="1">
        <f t="shared" si="63"/>
        <v>1.1070111348078178</v>
      </c>
      <c r="T795" s="56">
        <f t="shared" si="64"/>
        <v>0.86114541630570862</v>
      </c>
    </row>
    <row r="796" spans="1:20" x14ac:dyDescent="0.25">
      <c r="A796">
        <v>0.81047537768733569</v>
      </c>
      <c r="B796">
        <v>1.4117449609329924</v>
      </c>
      <c r="D796">
        <v>0.79080054470427164</v>
      </c>
      <c r="E796">
        <v>8.5079166149171215</v>
      </c>
      <c r="J796">
        <v>20</v>
      </c>
      <c r="K796">
        <v>-0.12251882708369521</v>
      </c>
      <c r="L796">
        <v>15.944513744892026</v>
      </c>
      <c r="M796">
        <v>10</v>
      </c>
      <c r="N796">
        <v>-0.70676458449270285</v>
      </c>
      <c r="O796">
        <v>35.62371727338779</v>
      </c>
      <c r="P796" s="1">
        <f t="shared" si="60"/>
        <v>1.8417225363671363</v>
      </c>
      <c r="Q796" s="1">
        <f t="shared" si="61"/>
        <v>0.27625838045507045</v>
      </c>
      <c r="R796" s="1">
        <f t="shared" si="62"/>
        <v>0.52560287333220546</v>
      </c>
      <c r="S796" s="1">
        <f t="shared" si="63"/>
        <v>1.1115726093828584</v>
      </c>
      <c r="T796" s="56">
        <f t="shared" si="64"/>
        <v>0.86211213121077546</v>
      </c>
    </row>
    <row r="797" spans="1:20" x14ac:dyDescent="0.25">
      <c r="A797">
        <v>0.81174196492316564</v>
      </c>
      <c r="B797">
        <v>0.40703753256821074</v>
      </c>
      <c r="D797">
        <v>0.79098139801210166</v>
      </c>
      <c r="E797">
        <v>-0.11173984034940077</v>
      </c>
      <c r="J797">
        <v>20</v>
      </c>
      <c r="K797">
        <v>0.26944223918690113</v>
      </c>
      <c r="L797">
        <v>15.913884775901142</v>
      </c>
      <c r="M797">
        <v>10</v>
      </c>
      <c r="N797">
        <v>-0.63369339272867364</v>
      </c>
      <c r="O797">
        <v>106.37982560982942</v>
      </c>
      <c r="P797" s="1">
        <f t="shared" si="60"/>
        <v>4.3676325137760914</v>
      </c>
      <c r="Q797" s="1">
        <f t="shared" si="61"/>
        <v>0.65514487706641367</v>
      </c>
      <c r="R797" s="1">
        <f t="shared" si="62"/>
        <v>0.80941020321368184</v>
      </c>
      <c r="S797" s="1">
        <f t="shared" si="63"/>
        <v>1.1157947210570927</v>
      </c>
      <c r="T797" s="56">
        <f t="shared" si="64"/>
        <v>0.86300260256681693</v>
      </c>
    </row>
    <row r="798" spans="1:20" x14ac:dyDescent="0.25">
      <c r="A798">
        <v>0.81245426065965354</v>
      </c>
      <c r="B798">
        <v>-0.49860091166920029</v>
      </c>
      <c r="D798">
        <v>0.7916550901136864</v>
      </c>
      <c r="E798">
        <v>2.0600516529611923</v>
      </c>
      <c r="J798">
        <v>20</v>
      </c>
      <c r="K798">
        <v>-0.41622570279287174</v>
      </c>
      <c r="L798">
        <v>14.143909109892201</v>
      </c>
      <c r="M798">
        <v>10</v>
      </c>
      <c r="N798">
        <v>-1.28899921833181</v>
      </c>
      <c r="O798">
        <v>96.844898665889701</v>
      </c>
      <c r="P798" s="1">
        <f t="shared" si="60"/>
        <v>3.9638859919922109</v>
      </c>
      <c r="Q798" s="1">
        <f t="shared" si="61"/>
        <v>0.59458289879883164</v>
      </c>
      <c r="R798" s="1">
        <f t="shared" si="62"/>
        <v>0.77109201707632247</v>
      </c>
      <c r="S798" s="1">
        <f t="shared" si="63"/>
        <v>1.1318668799712801</v>
      </c>
      <c r="T798" s="56">
        <f t="shared" si="64"/>
        <v>0.86635440292982502</v>
      </c>
    </row>
    <row r="799" spans="1:20" x14ac:dyDescent="0.25">
      <c r="A799">
        <v>0.81360015524619589</v>
      </c>
      <c r="B799">
        <v>-0.11796601029345766</v>
      </c>
      <c r="D799">
        <v>0.79211400527145281</v>
      </c>
      <c r="E799">
        <v>5.5518223655326437</v>
      </c>
      <c r="J799">
        <v>20</v>
      </c>
      <c r="K799">
        <v>-0.11919854614461656</v>
      </c>
      <c r="L799">
        <v>13.892879922678812</v>
      </c>
      <c r="M799">
        <v>10</v>
      </c>
      <c r="N799">
        <v>-0.77799780115128669</v>
      </c>
      <c r="O799">
        <v>49.097823327235169</v>
      </c>
      <c r="P799" s="1">
        <f t="shared" si="60"/>
        <v>2.2496679732112135</v>
      </c>
      <c r="Q799" s="1">
        <f t="shared" si="61"/>
        <v>0.33745019598168202</v>
      </c>
      <c r="R799" s="1">
        <f t="shared" si="62"/>
        <v>0.58090463587552998</v>
      </c>
      <c r="S799" s="1">
        <f t="shared" si="63"/>
        <v>1.1340919220135655</v>
      </c>
      <c r="T799" s="56">
        <f t="shared" si="64"/>
        <v>0.86681370574726258</v>
      </c>
    </row>
    <row r="800" spans="1:20" x14ac:dyDescent="0.25">
      <c r="A800">
        <v>0.81401116167777099</v>
      </c>
      <c r="B800">
        <v>0.47611592890461907</v>
      </c>
      <c r="D800">
        <v>0.79317845656977526</v>
      </c>
      <c r="E800">
        <v>-1.9965834815138805</v>
      </c>
      <c r="J800">
        <v>20</v>
      </c>
      <c r="K800">
        <v>0.17068424540411797</v>
      </c>
      <c r="L800">
        <v>18.737867501110934</v>
      </c>
      <c r="M800">
        <v>10</v>
      </c>
      <c r="N800">
        <v>-0.41639077949184866</v>
      </c>
      <c r="O800">
        <v>30.597797977751132</v>
      </c>
      <c r="P800" s="1">
        <f t="shared" si="60"/>
        <v>1.7619880528165024</v>
      </c>
      <c r="Q800" s="1">
        <f t="shared" si="61"/>
        <v>0.26429820792247533</v>
      </c>
      <c r="R800" s="1">
        <f t="shared" si="62"/>
        <v>0.51409941443506368</v>
      </c>
      <c r="S800" s="1">
        <f t="shared" si="63"/>
        <v>1.1419484411222192</v>
      </c>
      <c r="T800" s="56">
        <f t="shared" si="64"/>
        <v>0.86842631882946164</v>
      </c>
    </row>
    <row r="801" spans="1:20" x14ac:dyDescent="0.25">
      <c r="A801">
        <v>0.81561786705675343</v>
      </c>
      <c r="B801">
        <v>-0.97209522209595889</v>
      </c>
      <c r="D801">
        <v>0.79373933288967036</v>
      </c>
      <c r="E801">
        <v>-3.5376654102492466</v>
      </c>
      <c r="J801">
        <v>20</v>
      </c>
      <c r="K801">
        <v>-0.1890724661279819</v>
      </c>
      <c r="L801">
        <v>13.053290651209101</v>
      </c>
      <c r="M801">
        <v>10</v>
      </c>
      <c r="N801">
        <v>-1.1569770811092894</v>
      </c>
      <c r="O801">
        <v>120.15435678178251</v>
      </c>
      <c r="P801" s="1">
        <f t="shared" si="60"/>
        <v>4.7574159797497009</v>
      </c>
      <c r="Q801" s="1">
        <f t="shared" si="61"/>
        <v>0.71361239696245515</v>
      </c>
      <c r="R801" s="1">
        <f t="shared" si="62"/>
        <v>0.84475582091066714</v>
      </c>
      <c r="S801" s="1">
        <f t="shared" si="63"/>
        <v>1.1457803438843228</v>
      </c>
      <c r="T801" s="56">
        <f t="shared" si="64"/>
        <v>0.86920767341545568</v>
      </c>
    </row>
    <row r="802" spans="1:20" x14ac:dyDescent="0.25">
      <c r="A802">
        <v>0.81579431223550769</v>
      </c>
      <c r="B802">
        <v>-1.1204542715859134</v>
      </c>
      <c r="D802">
        <v>0.79485408587369966</v>
      </c>
      <c r="E802">
        <v>0.56127828088392562</v>
      </c>
      <c r="J802">
        <v>20</v>
      </c>
      <c r="K802">
        <v>-2.7219471121497918E-2</v>
      </c>
      <c r="L802">
        <v>21.3368887427625</v>
      </c>
      <c r="M802">
        <v>10</v>
      </c>
      <c r="N802">
        <v>-1.1184375841821748</v>
      </c>
      <c r="O802">
        <v>147.19323798454482</v>
      </c>
      <c r="P802" s="1">
        <f t="shared" si="60"/>
        <v>6.0189330974038331</v>
      </c>
      <c r="Q802" s="1">
        <f t="shared" si="61"/>
        <v>0.90283996461057492</v>
      </c>
      <c r="R802" s="1">
        <f t="shared" si="62"/>
        <v>0.95017891189532033</v>
      </c>
      <c r="S802" s="1">
        <f t="shared" si="63"/>
        <v>1.1484343626233777</v>
      </c>
      <c r="T802" s="56">
        <f t="shared" si="64"/>
        <v>0.86974686300254156</v>
      </c>
    </row>
    <row r="803" spans="1:20" x14ac:dyDescent="0.25">
      <c r="A803">
        <v>0.81692307515690088</v>
      </c>
      <c r="B803">
        <v>1.8266564438818023</v>
      </c>
      <c r="D803">
        <v>0.79596684083799529</v>
      </c>
      <c r="E803">
        <v>-3.3190251576797891</v>
      </c>
      <c r="J803">
        <v>20</v>
      </c>
      <c r="K803">
        <v>8.9338982434128411E-2</v>
      </c>
      <c r="L803">
        <v>17.41073708047454</v>
      </c>
      <c r="M803">
        <v>10</v>
      </c>
      <c r="N803">
        <v>-0.67750466200777737</v>
      </c>
      <c r="O803">
        <v>65.161373102778057</v>
      </c>
      <c r="P803" s="1">
        <f t="shared" si="60"/>
        <v>2.9490039351161639</v>
      </c>
      <c r="Q803" s="1">
        <f t="shared" si="61"/>
        <v>0.44235059026742457</v>
      </c>
      <c r="R803" s="1">
        <f t="shared" si="62"/>
        <v>0.66509442206909586</v>
      </c>
      <c r="S803" s="1">
        <f t="shared" si="63"/>
        <v>1.1529846274402213</v>
      </c>
      <c r="T803" s="56">
        <f t="shared" si="64"/>
        <v>0.87066751724231861</v>
      </c>
    </row>
    <row r="804" spans="1:20" x14ac:dyDescent="0.25">
      <c r="A804">
        <v>0.8169590467575566</v>
      </c>
      <c r="B804">
        <v>-0.82531641965033486</v>
      </c>
      <c r="D804">
        <v>0.79671103986686265</v>
      </c>
      <c r="E804">
        <v>-1.0107889954724669</v>
      </c>
      <c r="J804">
        <v>20</v>
      </c>
      <c r="K804">
        <v>0.22484164219349623</v>
      </c>
      <c r="L804">
        <v>14.726650847838702</v>
      </c>
      <c r="M804">
        <v>10</v>
      </c>
      <c r="N804">
        <v>-0.83468717434698192</v>
      </c>
      <c r="O804">
        <v>142.43333684489033</v>
      </c>
      <c r="P804" s="1">
        <f t="shared" si="60"/>
        <v>5.6128567033117509</v>
      </c>
      <c r="Q804" s="1">
        <f t="shared" si="61"/>
        <v>0.84192850549676257</v>
      </c>
      <c r="R804" s="1">
        <f t="shared" si="62"/>
        <v>0.91756662183013316</v>
      </c>
      <c r="S804" s="1">
        <f t="shared" si="63"/>
        <v>1.1547159534064069</v>
      </c>
      <c r="T804" s="56">
        <f t="shared" si="64"/>
        <v>0.8710165646538901</v>
      </c>
    </row>
    <row r="805" spans="1:20" x14ac:dyDescent="0.25">
      <c r="A805">
        <v>0.81730478263624728</v>
      </c>
      <c r="B805">
        <v>0.18927266864920966</v>
      </c>
      <c r="D805">
        <v>0.7972633627742175</v>
      </c>
      <c r="E805">
        <v>0.56010503271863854</v>
      </c>
      <c r="J805">
        <v>20</v>
      </c>
      <c r="K805">
        <v>0.4361961032373074</v>
      </c>
      <c r="L805">
        <v>20.86556397714757</v>
      </c>
      <c r="M805">
        <v>10</v>
      </c>
      <c r="N805">
        <v>-0.46669549988109793</v>
      </c>
      <c r="O805">
        <v>93.058832626200086</v>
      </c>
      <c r="P805" s="1">
        <f t="shared" si="60"/>
        <v>4.0687284501195595</v>
      </c>
      <c r="Q805" s="1">
        <f t="shared" si="61"/>
        <v>0.61030926751793391</v>
      </c>
      <c r="R805" s="1">
        <f t="shared" si="62"/>
        <v>0.78122293074252114</v>
      </c>
      <c r="S805" s="1">
        <f t="shared" si="63"/>
        <v>1.1557412968667509</v>
      </c>
      <c r="T805" s="56">
        <f t="shared" si="64"/>
        <v>0.87122295608613065</v>
      </c>
    </row>
    <row r="806" spans="1:20" x14ac:dyDescent="0.25">
      <c r="A806">
        <v>0.8196762880684223</v>
      </c>
      <c r="B806">
        <v>-0.47012690629344434</v>
      </c>
      <c r="D806">
        <v>0.79740111145722414</v>
      </c>
      <c r="E806">
        <v>4.8419117285902757</v>
      </c>
      <c r="J806">
        <v>20</v>
      </c>
      <c r="K806">
        <v>0.18878154151025228</v>
      </c>
      <c r="L806">
        <v>21.135452152699582</v>
      </c>
      <c r="M806">
        <v>10</v>
      </c>
      <c r="N806">
        <v>-0.78755329354862624</v>
      </c>
      <c r="O806">
        <v>111.17284780514514</v>
      </c>
      <c r="P806" s="1">
        <f t="shared" si="60"/>
        <v>4.7252964270658833</v>
      </c>
      <c r="Q806" s="1">
        <f t="shared" si="61"/>
        <v>0.70879446405988245</v>
      </c>
      <c r="R806" s="1">
        <f t="shared" si="62"/>
        <v>0.84189931943189167</v>
      </c>
      <c r="S806" s="1">
        <f t="shared" si="63"/>
        <v>1.1596812261562381</v>
      </c>
      <c r="T806" s="56">
        <f t="shared" si="64"/>
        <v>0.87201377723505846</v>
      </c>
    </row>
    <row r="807" spans="1:20" x14ac:dyDescent="0.25">
      <c r="A807">
        <v>0.82161252744031132</v>
      </c>
      <c r="B807">
        <v>-1.0467033462191466</v>
      </c>
      <c r="D807">
        <v>0.79842083309966105</v>
      </c>
      <c r="E807">
        <v>5.2156731237573695</v>
      </c>
      <c r="J807">
        <v>20</v>
      </c>
      <c r="K807">
        <v>0.62473765183312935</v>
      </c>
      <c r="L807">
        <v>12.624662606840436</v>
      </c>
      <c r="M807">
        <v>10</v>
      </c>
      <c r="N807">
        <v>-7.7234066111486754E-2</v>
      </c>
      <c r="O807">
        <v>55.685707266100827</v>
      </c>
      <c r="P807" s="1">
        <f t="shared" si="60"/>
        <v>2.4396560668907594</v>
      </c>
      <c r="Q807" s="1">
        <f t="shared" si="61"/>
        <v>0.36594841003361389</v>
      </c>
      <c r="R807" s="1">
        <f t="shared" si="62"/>
        <v>0.60493669919555537</v>
      </c>
      <c r="S807" s="1">
        <f t="shared" si="63"/>
        <v>1.1604052438512953</v>
      </c>
      <c r="T807" s="56">
        <f t="shared" si="64"/>
        <v>0.87215871413487889</v>
      </c>
    </row>
    <row r="808" spans="1:20" x14ac:dyDescent="0.25">
      <c r="A808">
        <v>0.8230676849280455</v>
      </c>
      <c r="B808">
        <v>1.3808403309667483E-2</v>
      </c>
      <c r="D808">
        <v>0.80103169266210683</v>
      </c>
      <c r="E808">
        <v>-3.6575277169959008</v>
      </c>
      <c r="J808">
        <v>20</v>
      </c>
      <c r="K808">
        <v>-5.5849966429377673E-2</v>
      </c>
      <c r="L808">
        <v>17.439646170858808</v>
      </c>
      <c r="M808">
        <v>10</v>
      </c>
      <c r="N808">
        <v>-1.146811431453898</v>
      </c>
      <c r="O808">
        <v>144.4698839707242</v>
      </c>
      <c r="P808" s="1">
        <f t="shared" si="60"/>
        <v>5.7824832193422493</v>
      </c>
      <c r="Q808" s="1">
        <f t="shared" si="61"/>
        <v>0.86737248290133739</v>
      </c>
      <c r="R808" s="1">
        <f t="shared" si="62"/>
        <v>0.9313283432288193</v>
      </c>
      <c r="S808" s="1">
        <f t="shared" si="63"/>
        <v>1.1714036976929849</v>
      </c>
      <c r="T808" s="56">
        <f t="shared" si="64"/>
        <v>0.87434565762511429</v>
      </c>
    </row>
    <row r="809" spans="1:20" x14ac:dyDescent="0.25">
      <c r="A809">
        <v>0.82315678408369608</v>
      </c>
      <c r="B809">
        <v>2.8711656341329217</v>
      </c>
      <c r="D809">
        <v>0.80136553912076636</v>
      </c>
      <c r="E809">
        <v>-6.2544374975459505</v>
      </c>
      <c r="J809">
        <v>20</v>
      </c>
      <c r="K809">
        <v>0.11854496051455499</v>
      </c>
      <c r="L809">
        <v>25.507554109501299</v>
      </c>
      <c r="M809">
        <v>10</v>
      </c>
      <c r="N809">
        <v>-0.73694775778676558</v>
      </c>
      <c r="O809">
        <v>73.630116553005337</v>
      </c>
      <c r="P809" s="1">
        <f t="shared" si="60"/>
        <v>3.5406310950895228</v>
      </c>
      <c r="Q809" s="1">
        <f t="shared" si="61"/>
        <v>0.53109466426342844</v>
      </c>
      <c r="R809" s="1">
        <f t="shared" si="62"/>
        <v>0.72876241962894084</v>
      </c>
      <c r="S809" s="1">
        <f t="shared" si="63"/>
        <v>1.17389796078797</v>
      </c>
      <c r="T809" s="56">
        <f t="shared" si="64"/>
        <v>0.87483776996967744</v>
      </c>
    </row>
    <row r="810" spans="1:20" x14ac:dyDescent="0.25">
      <c r="A810">
        <v>0.8235644342832581</v>
      </c>
      <c r="B810">
        <v>0.78594780461571645</v>
      </c>
      <c r="D810">
        <v>0.80186186586147712</v>
      </c>
      <c r="E810">
        <v>-4.7545352151701081</v>
      </c>
      <c r="J810">
        <v>20</v>
      </c>
      <c r="K810">
        <v>0.19504187775964965</v>
      </c>
      <c r="L810">
        <v>12.840270113791286</v>
      </c>
      <c r="M810">
        <v>10</v>
      </c>
      <c r="N810">
        <v>-0.50186327257506491</v>
      </c>
      <c r="O810">
        <v>51.231968471005054</v>
      </c>
      <c r="P810" s="1">
        <f t="shared" si="60"/>
        <v>2.2882942351712976</v>
      </c>
      <c r="Q810" s="1">
        <f t="shared" si="61"/>
        <v>0.34324413527569464</v>
      </c>
      <c r="R810" s="1">
        <f t="shared" si="62"/>
        <v>0.58587040826081549</v>
      </c>
      <c r="S810" s="1">
        <f t="shared" si="63"/>
        <v>1.1895209939063334</v>
      </c>
      <c r="T810" s="56">
        <f t="shared" si="64"/>
        <v>0.87788790445984832</v>
      </c>
    </row>
    <row r="811" spans="1:20" x14ac:dyDescent="0.25">
      <c r="A811">
        <v>0.82394178562953757</v>
      </c>
      <c r="B811">
        <v>8.9880813902709633E-3</v>
      </c>
      <c r="D811">
        <v>0.8036918572544528</v>
      </c>
      <c r="E811">
        <v>5.2505704354643967</v>
      </c>
      <c r="J811">
        <v>20</v>
      </c>
      <c r="K811">
        <v>0.38032135307730641</v>
      </c>
      <c r="L811">
        <v>10.391694779575294</v>
      </c>
      <c r="M811">
        <v>10</v>
      </c>
      <c r="N811">
        <v>-0.4085508214757283</v>
      </c>
      <c r="O811">
        <v>70.691689583882152</v>
      </c>
      <c r="P811" s="1">
        <f t="shared" si="60"/>
        <v>2.8958351558377657</v>
      </c>
      <c r="Q811" s="1">
        <f t="shared" si="61"/>
        <v>0.43437527337566484</v>
      </c>
      <c r="R811" s="1">
        <f t="shared" si="62"/>
        <v>0.65907152371777133</v>
      </c>
      <c r="S811" s="1">
        <f t="shared" si="63"/>
        <v>1.1969447111036871</v>
      </c>
      <c r="T811" s="56">
        <f t="shared" si="64"/>
        <v>0.87931783062505131</v>
      </c>
    </row>
    <row r="812" spans="1:20" x14ac:dyDescent="0.25">
      <c r="A812">
        <v>0.82410301106447292</v>
      </c>
      <c r="B812">
        <v>-8.6282625488820486E-2</v>
      </c>
      <c r="D812">
        <v>0.80485342663402637</v>
      </c>
      <c r="E812">
        <v>-5.9837173046162206</v>
      </c>
      <c r="J812">
        <v>20</v>
      </c>
      <c r="K812">
        <v>-1.9167487153026741E-2</v>
      </c>
      <c r="L812">
        <v>19.419847943647323</v>
      </c>
      <c r="M812">
        <v>10</v>
      </c>
      <c r="N812">
        <v>-0.73658111773511337</v>
      </c>
      <c r="O812">
        <v>47.388409773522838</v>
      </c>
      <c r="P812" s="1">
        <f t="shared" si="60"/>
        <v>2.3860092041846488</v>
      </c>
      <c r="Q812" s="1">
        <f t="shared" si="61"/>
        <v>0.35790138062769733</v>
      </c>
      <c r="R812" s="1">
        <f t="shared" si="62"/>
        <v>0.59824859433825439</v>
      </c>
      <c r="S812" s="1">
        <f t="shared" si="63"/>
        <v>1.1991898307352402</v>
      </c>
      <c r="T812" s="56">
        <f t="shared" si="64"/>
        <v>0.87974781981618089</v>
      </c>
    </row>
    <row r="813" spans="1:20" x14ac:dyDescent="0.25">
      <c r="A813">
        <v>0.82488185778917733</v>
      </c>
      <c r="B813">
        <v>0.26781435735756531</v>
      </c>
      <c r="D813">
        <v>0.80595742994168973</v>
      </c>
      <c r="E813">
        <v>-1.6373785490486625</v>
      </c>
      <c r="J813">
        <v>20</v>
      </c>
      <c r="K813">
        <v>3.0255307592597092E-2</v>
      </c>
      <c r="L813">
        <v>24.867105756853459</v>
      </c>
      <c r="M813">
        <v>10</v>
      </c>
      <c r="N813">
        <v>-0.80790573861122539</v>
      </c>
      <c r="O813">
        <v>66.15310505836834</v>
      </c>
      <c r="P813" s="1">
        <f t="shared" si="60"/>
        <v>3.2507218148293502</v>
      </c>
      <c r="Q813" s="1">
        <f t="shared" si="61"/>
        <v>0.48760827222440251</v>
      </c>
      <c r="R813" s="1">
        <f t="shared" si="62"/>
        <v>0.69828953323417542</v>
      </c>
      <c r="S813" s="1">
        <f t="shared" si="63"/>
        <v>1.2003058993621494</v>
      </c>
      <c r="T813" s="56">
        <f t="shared" si="64"/>
        <v>0.87996114732819619</v>
      </c>
    </row>
    <row r="814" spans="1:20" x14ac:dyDescent="0.25">
      <c r="A814">
        <v>0.82603003798863472</v>
      </c>
      <c r="B814">
        <v>0.34455297281965613</v>
      </c>
      <c r="D814">
        <v>0.80610799197137617</v>
      </c>
      <c r="E814">
        <v>-0.57549346252017131</v>
      </c>
      <c r="J814">
        <v>20</v>
      </c>
      <c r="K814">
        <v>7.6319849995343247E-2</v>
      </c>
      <c r="L814">
        <v>21.382761683025475</v>
      </c>
      <c r="M814">
        <v>10</v>
      </c>
      <c r="N814">
        <v>-0.79470089872302196</v>
      </c>
      <c r="O814">
        <v>76.885980335940715</v>
      </c>
      <c r="P814" s="1">
        <f t="shared" si="60"/>
        <v>3.5095979292487924</v>
      </c>
      <c r="Q814" s="1">
        <f t="shared" si="61"/>
        <v>0.52643968938731889</v>
      </c>
      <c r="R814" s="1">
        <f t="shared" si="62"/>
        <v>0.72556163720756273</v>
      </c>
      <c r="S814" s="1">
        <f t="shared" si="63"/>
        <v>1.2004779525976932</v>
      </c>
      <c r="T814" s="56">
        <f t="shared" si="64"/>
        <v>0.87999400888588608</v>
      </c>
    </row>
    <row r="815" spans="1:20" x14ac:dyDescent="0.25">
      <c r="A815">
        <v>0.82667612059265727</v>
      </c>
      <c r="B815">
        <v>0.43773297875304706</v>
      </c>
      <c r="D815">
        <v>0.80695800241296345</v>
      </c>
      <c r="E815">
        <v>-1.1041304367154225</v>
      </c>
      <c r="J815">
        <v>20</v>
      </c>
      <c r="K815">
        <v>3.9204280710691819E-2</v>
      </c>
      <c r="L815">
        <v>22.955957488474077</v>
      </c>
      <c r="M815">
        <v>10</v>
      </c>
      <c r="N815">
        <v>-0.74008858405250066</v>
      </c>
      <c r="O815">
        <v>55.48252958424186</v>
      </c>
      <c r="P815" s="1">
        <f t="shared" si="60"/>
        <v>2.8013745383112831</v>
      </c>
      <c r="Q815" s="1">
        <f t="shared" si="61"/>
        <v>0.42020618074669247</v>
      </c>
      <c r="R815" s="1">
        <f t="shared" si="62"/>
        <v>0.64823312222277907</v>
      </c>
      <c r="S815" s="1">
        <f t="shared" si="63"/>
        <v>1.2021799535497539</v>
      </c>
      <c r="T815" s="56">
        <f t="shared" si="64"/>
        <v>0.88031872495386687</v>
      </c>
    </row>
    <row r="816" spans="1:20" x14ac:dyDescent="0.25">
      <c r="A816">
        <v>0.82672506298824799</v>
      </c>
      <c r="B816">
        <v>1.5658906704629771</v>
      </c>
      <c r="D816">
        <v>0.80855970292078039</v>
      </c>
      <c r="E816">
        <v>5.4039658118654188</v>
      </c>
      <c r="J816">
        <v>20</v>
      </c>
      <c r="K816">
        <v>0.29721093142143218</v>
      </c>
      <c r="L816">
        <v>25.407661608912189</v>
      </c>
      <c r="M816">
        <v>10</v>
      </c>
      <c r="N816">
        <v>-0.82418796750971524</v>
      </c>
      <c r="O816">
        <v>135.26054888344274</v>
      </c>
      <c r="P816" s="1">
        <f t="shared" si="60"/>
        <v>5.7381503747269615</v>
      </c>
      <c r="Q816" s="1">
        <f t="shared" si="61"/>
        <v>0.86072255620904425</v>
      </c>
      <c r="R816" s="1">
        <f t="shared" si="62"/>
        <v>0.92775134395431857</v>
      </c>
      <c r="S816" s="1">
        <f t="shared" si="63"/>
        <v>1.2087278625234348</v>
      </c>
      <c r="T816" s="56">
        <f t="shared" si="64"/>
        <v>0.88156187625839566</v>
      </c>
    </row>
    <row r="817" spans="1:20" x14ac:dyDescent="0.25">
      <c r="A817">
        <v>0.82679705078363119</v>
      </c>
      <c r="B817">
        <v>-0.56415387916786131</v>
      </c>
      <c r="D817">
        <v>0.80883334566925524</v>
      </c>
      <c r="E817">
        <v>-2.3165937398061942</v>
      </c>
      <c r="J817">
        <v>20</v>
      </c>
      <c r="K817">
        <v>2.8835302146035247E-2</v>
      </c>
      <c r="L817">
        <v>26.526155699202072</v>
      </c>
      <c r="M817">
        <v>10</v>
      </c>
      <c r="N817">
        <v>-1.0021707373653044</v>
      </c>
      <c r="O817">
        <v>109.15980910932642</v>
      </c>
      <c r="P817" s="1">
        <f t="shared" si="60"/>
        <v>4.8459273145903037</v>
      </c>
      <c r="Q817" s="1">
        <f t="shared" si="61"/>
        <v>0.72688909718854555</v>
      </c>
      <c r="R817" s="1">
        <f t="shared" si="62"/>
        <v>0.85257791267927274</v>
      </c>
      <c r="S817" s="1">
        <f t="shared" si="63"/>
        <v>1.2092807286918175</v>
      </c>
      <c r="T817" s="56">
        <f t="shared" si="64"/>
        <v>0.88166639843157224</v>
      </c>
    </row>
    <row r="818" spans="1:20" x14ac:dyDescent="0.25">
      <c r="A818">
        <v>0.82793201851922071</v>
      </c>
      <c r="B818">
        <v>-0.77826143751735799</v>
      </c>
      <c r="D818">
        <v>0.80911006457998846</v>
      </c>
      <c r="E818">
        <v>-0.16178706005121057</v>
      </c>
      <c r="J818">
        <v>20</v>
      </c>
      <c r="K818">
        <v>-2.1676839878637111E-2</v>
      </c>
      <c r="L818">
        <v>15.908663266837966</v>
      </c>
      <c r="M818">
        <v>10</v>
      </c>
      <c r="N818">
        <v>-0.79842937225294008</v>
      </c>
      <c r="O818">
        <v>60.185877974390756</v>
      </c>
      <c r="P818" s="1">
        <f t="shared" si="60"/>
        <v>2.7176621871867401</v>
      </c>
      <c r="Q818" s="1">
        <f t="shared" si="61"/>
        <v>0.40764932807801102</v>
      </c>
      <c r="R818" s="1">
        <f t="shared" si="62"/>
        <v>0.63847421880449573</v>
      </c>
      <c r="S818" s="1">
        <f t="shared" si="63"/>
        <v>1.2165761897617808</v>
      </c>
      <c r="T818" s="56">
        <f t="shared" si="64"/>
        <v>0.88303920884411047</v>
      </c>
    </row>
    <row r="819" spans="1:20" x14ac:dyDescent="0.25">
      <c r="A819">
        <v>0.8293698119111248</v>
      </c>
      <c r="B819">
        <v>-0.60123284129076637</v>
      </c>
      <c r="D819">
        <v>0.81083551761714556</v>
      </c>
      <c r="E819">
        <v>1.5736925399778556</v>
      </c>
      <c r="J819">
        <v>20</v>
      </c>
      <c r="K819">
        <v>-0.24150500621544779</v>
      </c>
      <c r="L819">
        <v>15.810875162165273</v>
      </c>
      <c r="M819">
        <v>10</v>
      </c>
      <c r="N819">
        <v>-0.90741082544809615</v>
      </c>
      <c r="O819">
        <v>39.129716614817873</v>
      </c>
      <c r="P819" s="1">
        <f t="shared" si="60"/>
        <v>1.9621639920351124</v>
      </c>
      <c r="Q819" s="1">
        <f t="shared" si="61"/>
        <v>0.29432459880526685</v>
      </c>
      <c r="R819" s="1">
        <f t="shared" si="62"/>
        <v>0.54251691107767952</v>
      </c>
      <c r="S819" s="1">
        <f t="shared" si="63"/>
        <v>1.227437902184217</v>
      </c>
      <c r="T819" s="56">
        <f t="shared" si="64"/>
        <v>0.88506099448326503</v>
      </c>
    </row>
    <row r="820" spans="1:20" x14ac:dyDescent="0.25">
      <c r="A820">
        <v>0.82948164142354208</v>
      </c>
      <c r="B820">
        <v>-0.9565064829075709</v>
      </c>
      <c r="D820">
        <v>0.81105193639074369</v>
      </c>
      <c r="E820">
        <v>-1.6336950955064822</v>
      </c>
      <c r="J820">
        <v>20</v>
      </c>
      <c r="K820">
        <v>0.31101791364562814</v>
      </c>
      <c r="L820">
        <v>18.151771435889586</v>
      </c>
      <c r="M820">
        <v>10</v>
      </c>
      <c r="N820">
        <v>-0.61289552263588121</v>
      </c>
      <c r="O820">
        <v>86.705880383122519</v>
      </c>
      <c r="P820" s="1">
        <f t="shared" si="60"/>
        <v>3.7449161363932895</v>
      </c>
      <c r="Q820" s="1">
        <f t="shared" si="61"/>
        <v>0.56173742045899344</v>
      </c>
      <c r="R820" s="1">
        <f t="shared" si="62"/>
        <v>0.7494914412179724</v>
      </c>
      <c r="S820" s="1">
        <f t="shared" si="63"/>
        <v>1.2327204627982007</v>
      </c>
      <c r="T820" s="56">
        <f t="shared" si="64"/>
        <v>0.88603476266624348</v>
      </c>
    </row>
    <row r="821" spans="1:20" x14ac:dyDescent="0.25">
      <c r="A821">
        <v>0.8297598374852927</v>
      </c>
      <c r="B821">
        <v>0.74442709774302784</v>
      </c>
      <c r="D821">
        <v>0.8129273186087933</v>
      </c>
      <c r="E821">
        <v>-4.5449467086200457</v>
      </c>
      <c r="J821">
        <v>20</v>
      </c>
      <c r="K821">
        <v>0.24955164690254605</v>
      </c>
      <c r="L821">
        <v>11.85146277473569</v>
      </c>
      <c r="M821">
        <v>10</v>
      </c>
      <c r="N821">
        <v>-0.6239612309855147</v>
      </c>
      <c r="O821">
        <v>81.836321750799186</v>
      </c>
      <c r="P821" s="1">
        <f t="shared" si="60"/>
        <v>3.3459923044833886</v>
      </c>
      <c r="Q821" s="1">
        <f t="shared" si="61"/>
        <v>0.50189884567250831</v>
      </c>
      <c r="R821" s="1">
        <f t="shared" si="62"/>
        <v>0.7084481954755113</v>
      </c>
      <c r="S821" s="1">
        <f t="shared" si="63"/>
        <v>1.2329947107872268</v>
      </c>
      <c r="T821" s="56">
        <f t="shared" si="64"/>
        <v>0.88608514685940343</v>
      </c>
    </row>
    <row r="822" spans="1:20" x14ac:dyDescent="0.25">
      <c r="A822">
        <v>0.83167045368239523</v>
      </c>
      <c r="B822">
        <v>0.87236912804655731</v>
      </c>
      <c r="D822">
        <v>0.81646416168131186</v>
      </c>
      <c r="E822">
        <v>1.6431256392479554</v>
      </c>
      <c r="J822">
        <v>20</v>
      </c>
      <c r="K822">
        <v>0.15087607607711107</v>
      </c>
      <c r="L822">
        <v>16.767483392877718</v>
      </c>
      <c r="M822">
        <v>10</v>
      </c>
      <c r="N822">
        <v>-0.67752205609394878</v>
      </c>
      <c r="O822">
        <v>66.415091077600891</v>
      </c>
      <c r="P822" s="1">
        <f t="shared" si="60"/>
        <v>2.9708062310885217</v>
      </c>
      <c r="Q822" s="1">
        <f t="shared" si="61"/>
        <v>0.44562093466327823</v>
      </c>
      <c r="R822" s="1">
        <f t="shared" si="62"/>
        <v>0.66754845117285544</v>
      </c>
      <c r="S822" s="1">
        <f t="shared" si="63"/>
        <v>1.2409558148410023</v>
      </c>
      <c r="T822" s="56">
        <f t="shared" si="64"/>
        <v>0.88754045757704647</v>
      </c>
    </row>
    <row r="823" spans="1:20" x14ac:dyDescent="0.25">
      <c r="A823">
        <v>0.83174072993631554</v>
      </c>
      <c r="B823">
        <v>1.8051741790259257</v>
      </c>
      <c r="D823">
        <v>0.81768035492758451</v>
      </c>
      <c r="E823">
        <v>2.7021731023069151</v>
      </c>
      <c r="J823">
        <v>20</v>
      </c>
      <c r="K823">
        <v>0.14410090898309136</v>
      </c>
      <c r="L823">
        <v>8.9369958674335734</v>
      </c>
      <c r="M823">
        <v>10</v>
      </c>
      <c r="N823">
        <v>-0.65166898707502696</v>
      </c>
      <c r="O823">
        <v>67.40211478801173</v>
      </c>
      <c r="P823" s="1">
        <f t="shared" si="60"/>
        <v>2.7263968091230462</v>
      </c>
      <c r="Q823" s="1">
        <f t="shared" si="61"/>
        <v>0.40895952136845692</v>
      </c>
      <c r="R823" s="1">
        <f t="shared" si="62"/>
        <v>0.63949943031128409</v>
      </c>
      <c r="S823" s="1">
        <f t="shared" si="63"/>
        <v>1.2443637294106231</v>
      </c>
      <c r="T823" s="56">
        <f t="shared" si="64"/>
        <v>0.88815913666116575</v>
      </c>
    </row>
    <row r="824" spans="1:20" x14ac:dyDescent="0.25">
      <c r="A824">
        <v>0.83237780477082424</v>
      </c>
      <c r="B824">
        <v>0.12505552149377763</v>
      </c>
      <c r="D824">
        <v>0.82041774590219319</v>
      </c>
      <c r="E824">
        <v>-0.97563247777543438</v>
      </c>
      <c r="J824">
        <v>20</v>
      </c>
      <c r="K824">
        <v>-0.28592069156729849</v>
      </c>
      <c r="L824">
        <v>18.819567556382154</v>
      </c>
      <c r="M824">
        <v>10</v>
      </c>
      <c r="N824">
        <v>-0.94997620067260868</v>
      </c>
      <c r="O824">
        <v>33.558019343322336</v>
      </c>
      <c r="P824" s="1">
        <f t="shared" si="60"/>
        <v>1.8706281035608747</v>
      </c>
      <c r="Q824" s="1">
        <f t="shared" si="61"/>
        <v>0.28059421553413122</v>
      </c>
      <c r="R824" s="1">
        <f t="shared" si="62"/>
        <v>0.52971144553816396</v>
      </c>
      <c r="S824" s="1">
        <f t="shared" si="63"/>
        <v>1.2536174453067717</v>
      </c>
      <c r="T824" s="56">
        <f t="shared" si="64"/>
        <v>0.8898261244083473</v>
      </c>
    </row>
    <row r="825" spans="1:20" x14ac:dyDescent="0.25">
      <c r="A825">
        <v>0.83449638693687211</v>
      </c>
      <c r="B825">
        <v>-1.6068088370957412</v>
      </c>
      <c r="D825">
        <v>0.82112276969900799</v>
      </c>
      <c r="E825">
        <v>3.0993380698873807</v>
      </c>
      <c r="J825">
        <v>20</v>
      </c>
      <c r="K825">
        <v>-0.14663658021163428</v>
      </c>
      <c r="L825">
        <v>21.164226718039149</v>
      </c>
      <c r="M825">
        <v>10</v>
      </c>
      <c r="N825">
        <v>-0.9919760975662939</v>
      </c>
      <c r="O825">
        <v>63.624666045372791</v>
      </c>
      <c r="P825" s="1">
        <f t="shared" si="60"/>
        <v>3.0281747415504263</v>
      </c>
      <c r="Q825" s="1">
        <f t="shared" si="61"/>
        <v>0.4542262112325639</v>
      </c>
      <c r="R825" s="1">
        <f t="shared" si="62"/>
        <v>0.67396306370049974</v>
      </c>
      <c r="S825" s="1">
        <f t="shared" si="63"/>
        <v>1.2542816704422801</v>
      </c>
      <c r="T825" s="56">
        <f t="shared" si="64"/>
        <v>0.88994505319007033</v>
      </c>
    </row>
    <row r="826" spans="1:20" x14ac:dyDescent="0.25">
      <c r="A826">
        <v>0.83523813083022636</v>
      </c>
      <c r="B826">
        <v>-2.247652446385473</v>
      </c>
      <c r="D826">
        <v>0.82202052525926583</v>
      </c>
      <c r="E826">
        <v>-0.23070174734129978</v>
      </c>
      <c r="J826">
        <v>20</v>
      </c>
      <c r="K826">
        <v>-4.3696502416423755E-2</v>
      </c>
      <c r="L826">
        <v>18.682815101550791</v>
      </c>
      <c r="M826">
        <v>10</v>
      </c>
      <c r="N826">
        <v>-0.96175302019219089</v>
      </c>
      <c r="O826">
        <v>80.629204938506732</v>
      </c>
      <c r="P826" s="1">
        <f t="shared" si="60"/>
        <v>3.5468578585734827</v>
      </c>
      <c r="Q826" s="1">
        <f t="shared" si="61"/>
        <v>0.53202867878602234</v>
      </c>
      <c r="R826" s="1">
        <f t="shared" si="62"/>
        <v>0.7294029604999025</v>
      </c>
      <c r="S826" s="1">
        <f t="shared" si="63"/>
        <v>1.2586410632972607</v>
      </c>
      <c r="T826" s="56">
        <f t="shared" si="64"/>
        <v>0.89072318877078449</v>
      </c>
    </row>
    <row r="827" spans="1:20" x14ac:dyDescent="0.25">
      <c r="A827">
        <v>0.83554157175102495</v>
      </c>
      <c r="B827">
        <v>-2.1237337932689115</v>
      </c>
      <c r="D827">
        <v>0.82241670680122692</v>
      </c>
      <c r="E827">
        <v>-3.3256485528454505</v>
      </c>
      <c r="J827">
        <v>20</v>
      </c>
      <c r="K827">
        <v>0.17150796338682994</v>
      </c>
      <c r="L827">
        <v>15.361939713899829</v>
      </c>
      <c r="M827">
        <v>10</v>
      </c>
      <c r="N827">
        <v>-0.53044550782033184</v>
      </c>
      <c r="O827">
        <v>42.380533964230615</v>
      </c>
      <c r="P827" s="1">
        <f t="shared" si="60"/>
        <v>2.0622312027903731</v>
      </c>
      <c r="Q827" s="1">
        <f t="shared" si="61"/>
        <v>0.30933468041855594</v>
      </c>
      <c r="R827" s="1">
        <f t="shared" si="62"/>
        <v>0.55617864074284262</v>
      </c>
      <c r="S827" s="1">
        <f t="shared" si="63"/>
        <v>1.2621007348819069</v>
      </c>
      <c r="T827" s="56">
        <f t="shared" si="64"/>
        <v>0.8913377562314595</v>
      </c>
    </row>
    <row r="828" spans="1:20" x14ac:dyDescent="0.25">
      <c r="A828">
        <v>0.83729927963497253</v>
      </c>
      <c r="B828">
        <v>-0.53824010137759615</v>
      </c>
      <c r="D828">
        <v>0.82447029690680262</v>
      </c>
      <c r="E828">
        <v>-3.5701684771538567</v>
      </c>
      <c r="J828">
        <v>20</v>
      </c>
      <c r="K828">
        <v>0.32468540211993968</v>
      </c>
      <c r="L828">
        <v>28.121777478926603</v>
      </c>
      <c r="M828">
        <v>10</v>
      </c>
      <c r="N828">
        <v>-0.67017083779319364</v>
      </c>
      <c r="O828">
        <v>87.52310213825217</v>
      </c>
      <c r="P828" s="1">
        <f t="shared" si="60"/>
        <v>4.1301742720420993</v>
      </c>
      <c r="Q828" s="1">
        <f t="shared" si="61"/>
        <v>0.61952614080631485</v>
      </c>
      <c r="R828" s="1">
        <f t="shared" si="62"/>
        <v>0.787099828996497</v>
      </c>
      <c r="S828" s="1">
        <f t="shared" si="63"/>
        <v>1.2639517927243267</v>
      </c>
      <c r="T828" s="56">
        <f t="shared" si="64"/>
        <v>0.89166549564769715</v>
      </c>
    </row>
    <row r="829" spans="1:20" x14ac:dyDescent="0.25">
      <c r="A829">
        <v>0.83770329153314538</v>
      </c>
      <c r="B829">
        <v>0.78012703852436971</v>
      </c>
      <c r="D829">
        <v>0.82654506536329908</v>
      </c>
      <c r="E829">
        <v>3.6076137314466905</v>
      </c>
      <c r="J829">
        <v>20</v>
      </c>
      <c r="K829">
        <v>-0.15471943015654688</v>
      </c>
      <c r="L829">
        <v>22.309682284953173</v>
      </c>
      <c r="M829">
        <v>10</v>
      </c>
      <c r="N829">
        <v>-1.1244975473800878</v>
      </c>
      <c r="O829">
        <v>86.040367067194296</v>
      </c>
      <c r="P829" s="1">
        <f t="shared" si="60"/>
        <v>3.8696446197195522</v>
      </c>
      <c r="Q829" s="1">
        <f t="shared" si="61"/>
        <v>0.58044669295793283</v>
      </c>
      <c r="R829" s="1">
        <f t="shared" si="62"/>
        <v>0.76187052243667552</v>
      </c>
      <c r="S829" s="1">
        <f t="shared" si="63"/>
        <v>1.2728909816879628</v>
      </c>
      <c r="T829" s="56">
        <f t="shared" si="64"/>
        <v>0.89323767601114112</v>
      </c>
    </row>
    <row r="830" spans="1:20" x14ac:dyDescent="0.25">
      <c r="A830">
        <v>0.83778117846280487</v>
      </c>
      <c r="B830">
        <v>-0.74019453677465208</v>
      </c>
      <c r="D830">
        <v>0.82963130009701702</v>
      </c>
      <c r="E830">
        <v>-1.6526717024589743</v>
      </c>
      <c r="J830">
        <v>20</v>
      </c>
      <c r="K830">
        <v>0.22477314587376895</v>
      </c>
      <c r="L830">
        <v>13.428809038006403</v>
      </c>
      <c r="M830">
        <v>10</v>
      </c>
      <c r="N830">
        <v>-0.36657172927334614</v>
      </c>
      <c r="O830">
        <v>26.688112358370322</v>
      </c>
      <c r="P830" s="1">
        <f t="shared" si="60"/>
        <v>1.4327471927277402</v>
      </c>
      <c r="Q830" s="1">
        <f t="shared" si="61"/>
        <v>0.21491207890916103</v>
      </c>
      <c r="R830" s="1">
        <f t="shared" si="62"/>
        <v>0.46358610732976135</v>
      </c>
      <c r="S830" s="1">
        <f t="shared" si="63"/>
        <v>1.2755879992893651</v>
      </c>
      <c r="T830" s="56">
        <f t="shared" si="64"/>
        <v>0.89370859005003811</v>
      </c>
    </row>
    <row r="831" spans="1:20" x14ac:dyDescent="0.25">
      <c r="A831">
        <v>0.8389505003974993</v>
      </c>
      <c r="B831">
        <v>2.1696905605494976</v>
      </c>
      <c r="D831">
        <v>0.83177990711865191</v>
      </c>
      <c r="E831">
        <v>1.1544814208264143</v>
      </c>
      <c r="J831">
        <v>20</v>
      </c>
      <c r="K831">
        <v>0.24566315914853476</v>
      </c>
      <c r="L831">
        <v>15.420790765418072</v>
      </c>
      <c r="M831">
        <v>10</v>
      </c>
      <c r="N831">
        <v>-0.55226348990800034</v>
      </c>
      <c r="O831">
        <v>57.315791627932448</v>
      </c>
      <c r="P831" s="1">
        <f t="shared" si="60"/>
        <v>2.597735085476804</v>
      </c>
      <c r="Q831" s="1">
        <f t="shared" si="61"/>
        <v>0.38966026282152061</v>
      </c>
      <c r="R831" s="1">
        <f t="shared" si="62"/>
        <v>0.62422773314033442</v>
      </c>
      <c r="S831" s="1">
        <f t="shared" si="63"/>
        <v>1.2782620936150413</v>
      </c>
      <c r="T831" s="56">
        <f t="shared" si="64"/>
        <v>0.89417393856220129</v>
      </c>
    </row>
    <row r="832" spans="1:20" x14ac:dyDescent="0.25">
      <c r="A832">
        <v>0.84019025811861225</v>
      </c>
      <c r="B832">
        <v>-1.413404788763728</v>
      </c>
      <c r="D832">
        <v>0.83226424009034827</v>
      </c>
      <c r="E832">
        <v>3.1029396689064015</v>
      </c>
      <c r="J832">
        <v>20</v>
      </c>
      <c r="K832">
        <v>9.3479854967881693E-2</v>
      </c>
      <c r="L832">
        <v>14.518394567980152</v>
      </c>
      <c r="M832">
        <v>10</v>
      </c>
      <c r="N832">
        <v>-1.1305216992241185</v>
      </c>
      <c r="O832">
        <v>155.24018857624162</v>
      </c>
      <c r="P832" s="1">
        <f t="shared" si="60"/>
        <v>6.0628065408650631</v>
      </c>
      <c r="Q832" s="1">
        <f t="shared" si="61"/>
        <v>0.90942098112975944</v>
      </c>
      <c r="R832" s="1">
        <f t="shared" si="62"/>
        <v>0.95363566477442496</v>
      </c>
      <c r="S832" s="1">
        <f t="shared" si="63"/>
        <v>1.2835106733151891</v>
      </c>
      <c r="T832" s="56">
        <f t="shared" si="64"/>
        <v>0.89508278527234864</v>
      </c>
    </row>
    <row r="833" spans="1:20" x14ac:dyDescent="0.25">
      <c r="A833">
        <v>0.84094806001323918</v>
      </c>
      <c r="B833">
        <v>1.3919225239078514</v>
      </c>
      <c r="D833">
        <v>0.83239048758053291</v>
      </c>
      <c r="E833">
        <v>0.45214232727630588</v>
      </c>
      <c r="J833">
        <v>20</v>
      </c>
      <c r="K833">
        <v>0.16898280819077627</v>
      </c>
      <c r="L833">
        <v>7.3046760092853491</v>
      </c>
      <c r="M833">
        <v>10</v>
      </c>
      <c r="N833">
        <v>-0.83167492789470998</v>
      </c>
      <c r="O833">
        <v>105.87903474782436</v>
      </c>
      <c r="P833" s="1">
        <f t="shared" si="60"/>
        <v>4.0422753841824894</v>
      </c>
      <c r="Q833" s="1">
        <f t="shared" si="61"/>
        <v>0.60634130762737337</v>
      </c>
      <c r="R833" s="1">
        <f t="shared" si="62"/>
        <v>0.77867920713691419</v>
      </c>
      <c r="S833" s="1">
        <f t="shared" si="63"/>
        <v>1.2850705745242044</v>
      </c>
      <c r="T833" s="56">
        <f t="shared" si="64"/>
        <v>0.89535174709893872</v>
      </c>
    </row>
    <row r="834" spans="1:20" x14ac:dyDescent="0.25">
      <c r="A834">
        <v>0.84155522230607704</v>
      </c>
      <c r="B834">
        <v>1.087391865439713</v>
      </c>
      <c r="D834">
        <v>0.83248638334231051</v>
      </c>
      <c r="E834">
        <v>-6.5998090155972022</v>
      </c>
      <c r="J834">
        <v>20</v>
      </c>
      <c r="K834">
        <v>-0.3379280997251044</v>
      </c>
      <c r="L834">
        <v>20.993143676605882</v>
      </c>
      <c r="M834">
        <v>10</v>
      </c>
      <c r="N834">
        <v>-1.440720669734219</v>
      </c>
      <c r="O834">
        <v>115.68635437347061</v>
      </c>
      <c r="P834" s="1">
        <f t="shared" ref="P834:P897" si="65">(L834+O834)/(J834+M834-2)</f>
        <v>4.8814106446455892</v>
      </c>
      <c r="Q834" s="1">
        <f t="shared" ref="Q834:Q897" si="66">P834*0.15</f>
        <v>0.73221159669683833</v>
      </c>
      <c r="R834" s="1">
        <f t="shared" ref="R834:R897" si="67">SQRT(Q834)</f>
        <v>0.85569363483482708</v>
      </c>
      <c r="S834" s="1">
        <f t="shared" ref="S834:S897" si="68">(K834-N834)/R834</f>
        <v>1.2887703321785076</v>
      </c>
      <c r="T834" s="56">
        <f t="shared" ref="T834:T897" si="69">_xlfn.T.DIST(S834,28,TRUE)</f>
        <v>0.89598756240953059</v>
      </c>
    </row>
    <row r="835" spans="1:20" x14ac:dyDescent="0.25">
      <c r="A835">
        <v>0.8423748507549137</v>
      </c>
      <c r="B835">
        <v>0.16177068573597353</v>
      </c>
      <c r="D835">
        <v>0.83278176113738744</v>
      </c>
      <c r="E835">
        <v>-4.326026786429793</v>
      </c>
      <c r="J835">
        <v>20</v>
      </c>
      <c r="K835">
        <v>0.15387644225484109</v>
      </c>
      <c r="L835">
        <v>22.277567826697059</v>
      </c>
      <c r="M835">
        <v>10</v>
      </c>
      <c r="N835">
        <v>-0.70105693680488912</v>
      </c>
      <c r="O835">
        <v>58.952353502939509</v>
      </c>
      <c r="P835" s="1">
        <f t="shared" si="65"/>
        <v>2.9010686189155916</v>
      </c>
      <c r="Q835" s="1">
        <f t="shared" si="66"/>
        <v>0.43516029283733876</v>
      </c>
      <c r="R835" s="1">
        <f t="shared" si="67"/>
        <v>0.65966680440760306</v>
      </c>
      <c r="S835" s="1">
        <f t="shared" si="68"/>
        <v>1.2960078835973583</v>
      </c>
      <c r="T835" s="56">
        <f t="shared" si="69"/>
        <v>0.89722281400360715</v>
      </c>
    </row>
    <row r="836" spans="1:20" x14ac:dyDescent="0.25">
      <c r="A836">
        <v>0.84314575421033289</v>
      </c>
      <c r="B836">
        <v>-0.48066226554510649</v>
      </c>
      <c r="D836">
        <v>0.83525479864230379</v>
      </c>
      <c r="E836">
        <v>1.0919377439222444</v>
      </c>
      <c r="J836">
        <v>20</v>
      </c>
      <c r="K836">
        <v>0.44305465962679591</v>
      </c>
      <c r="L836">
        <v>21.142869166592845</v>
      </c>
      <c r="M836">
        <v>10</v>
      </c>
      <c r="N836">
        <v>-0.35896880831387534</v>
      </c>
      <c r="O836">
        <v>49.566650123324834</v>
      </c>
      <c r="P836" s="1">
        <f t="shared" si="65"/>
        <v>2.525339974639917</v>
      </c>
      <c r="Q836" s="1">
        <f t="shared" si="66"/>
        <v>0.37880099619598756</v>
      </c>
      <c r="R836" s="1">
        <f t="shared" si="67"/>
        <v>0.61546811143713009</v>
      </c>
      <c r="S836" s="1">
        <f t="shared" si="68"/>
        <v>1.3031113278443147</v>
      </c>
      <c r="T836" s="56">
        <f t="shared" si="69"/>
        <v>0.89842421871338574</v>
      </c>
    </row>
    <row r="837" spans="1:20" x14ac:dyDescent="0.25">
      <c r="A837">
        <v>0.84324604425583238</v>
      </c>
      <c r="B837">
        <v>-0.53074018069310114</v>
      </c>
      <c r="D837">
        <v>0.83550214379256349</v>
      </c>
      <c r="E837">
        <v>0.54978795219540189</v>
      </c>
      <c r="J837">
        <v>20</v>
      </c>
      <c r="K837">
        <v>-5.054607754573226E-2</v>
      </c>
      <c r="L837">
        <v>16.556081268375181</v>
      </c>
      <c r="M837">
        <v>10</v>
      </c>
      <c r="N837">
        <v>-1.1500269499720162</v>
      </c>
      <c r="O837">
        <v>116.11226878506596</v>
      </c>
      <c r="P837" s="1">
        <f t="shared" si="65"/>
        <v>4.7381553590514693</v>
      </c>
      <c r="Q837" s="1">
        <f t="shared" si="66"/>
        <v>0.71072330385772042</v>
      </c>
      <c r="R837" s="1">
        <f t="shared" si="67"/>
        <v>0.84304406993805514</v>
      </c>
      <c r="S837" s="1">
        <f t="shared" si="68"/>
        <v>1.3041795934903748</v>
      </c>
      <c r="T837" s="56">
        <f t="shared" si="69"/>
        <v>0.89860395811744365</v>
      </c>
    </row>
    <row r="838" spans="1:20" x14ac:dyDescent="0.25">
      <c r="A838">
        <v>0.84461379345608911</v>
      </c>
      <c r="B838">
        <v>0.73818455348373391</v>
      </c>
      <c r="D838">
        <v>0.83660575988973573</v>
      </c>
      <c r="E838">
        <v>-4.1031505622868281</v>
      </c>
      <c r="J838">
        <v>20</v>
      </c>
      <c r="K838">
        <v>0.23618224531674059</v>
      </c>
      <c r="L838">
        <v>24.205921191673951</v>
      </c>
      <c r="M838">
        <v>10</v>
      </c>
      <c r="N838">
        <v>-0.73183696599699033</v>
      </c>
      <c r="O838">
        <v>77.65318622344185</v>
      </c>
      <c r="P838" s="1">
        <f t="shared" si="65"/>
        <v>3.6378252648255645</v>
      </c>
      <c r="Q838" s="1">
        <f t="shared" si="66"/>
        <v>0.54567378972383462</v>
      </c>
      <c r="R838" s="1">
        <f t="shared" si="67"/>
        <v>0.73869736003578257</v>
      </c>
      <c r="S838" s="1">
        <f t="shared" si="68"/>
        <v>1.3104408702189487</v>
      </c>
      <c r="T838" s="56">
        <f t="shared" si="69"/>
        <v>0.89965253176417714</v>
      </c>
    </row>
    <row r="839" spans="1:20" x14ac:dyDescent="0.25">
      <c r="A839">
        <v>0.84699660195510051</v>
      </c>
      <c r="B839">
        <v>0.93532662504003383</v>
      </c>
      <c r="D839">
        <v>0.83913470803464152</v>
      </c>
      <c r="E839">
        <v>0.73218029342569935</v>
      </c>
      <c r="J839">
        <v>20</v>
      </c>
      <c r="K839">
        <v>-0.19630851966212504</v>
      </c>
      <c r="L839">
        <v>14.442393973908734</v>
      </c>
      <c r="M839">
        <v>10</v>
      </c>
      <c r="N839">
        <v>-1.2899596447368822</v>
      </c>
      <c r="O839">
        <v>112.76882880935612</v>
      </c>
      <c r="P839" s="1">
        <f t="shared" si="65"/>
        <v>4.5432579565451734</v>
      </c>
      <c r="Q839" s="1">
        <f t="shared" si="66"/>
        <v>0.68148869348177599</v>
      </c>
      <c r="R839" s="1">
        <f t="shared" si="67"/>
        <v>0.82552328463937097</v>
      </c>
      <c r="S839" s="1">
        <f t="shared" si="68"/>
        <v>1.3247974290059155</v>
      </c>
      <c r="T839" s="56">
        <f t="shared" si="69"/>
        <v>0.90202530156521998</v>
      </c>
    </row>
    <row r="840" spans="1:20" x14ac:dyDescent="0.25">
      <c r="A840">
        <v>0.8475161708319785</v>
      </c>
      <c r="B840">
        <v>0.55860141401353758</v>
      </c>
      <c r="D840">
        <v>0.84086429434530141</v>
      </c>
      <c r="E840">
        <v>-1.4410368328299228</v>
      </c>
      <c r="J840">
        <v>20</v>
      </c>
      <c r="K840">
        <v>-0.41591448507460882</v>
      </c>
      <c r="L840">
        <v>17.382756146590154</v>
      </c>
      <c r="M840">
        <v>10</v>
      </c>
      <c r="N840">
        <v>-1.4175166177210485</v>
      </c>
      <c r="O840">
        <v>88.610132304469275</v>
      </c>
      <c r="P840" s="1">
        <f t="shared" si="65"/>
        <v>3.7854603018235511</v>
      </c>
      <c r="Q840" s="1">
        <f t="shared" si="66"/>
        <v>0.56781904527353266</v>
      </c>
      <c r="R840" s="1">
        <f t="shared" si="67"/>
        <v>0.75353768669757493</v>
      </c>
      <c r="S840" s="1">
        <f t="shared" si="68"/>
        <v>1.3291997869887868</v>
      </c>
      <c r="T840" s="56">
        <f t="shared" si="69"/>
        <v>0.90274414965164107</v>
      </c>
    </row>
    <row r="841" spans="1:20" x14ac:dyDescent="0.25">
      <c r="A841">
        <v>0.84900929436039607</v>
      </c>
      <c r="B841">
        <v>-0.24701648726477288</v>
      </c>
      <c r="D841">
        <v>0.84100493428716705</v>
      </c>
      <c r="E841">
        <v>3.0997337000826519</v>
      </c>
      <c r="J841">
        <v>20</v>
      </c>
      <c r="K841">
        <v>0.10249817705698661</v>
      </c>
      <c r="L841">
        <v>18.708322791985804</v>
      </c>
      <c r="M841">
        <v>10</v>
      </c>
      <c r="N841">
        <v>-1.0370847610374767</v>
      </c>
      <c r="O841">
        <v>118.39454770229476</v>
      </c>
      <c r="P841" s="1">
        <f t="shared" si="65"/>
        <v>4.8965310890814484</v>
      </c>
      <c r="Q841" s="1">
        <f t="shared" si="66"/>
        <v>0.73447966336221726</v>
      </c>
      <c r="R841" s="1">
        <f t="shared" si="67"/>
        <v>0.8570178897562275</v>
      </c>
      <c r="S841" s="1">
        <f t="shared" si="68"/>
        <v>1.3297072928298024</v>
      </c>
      <c r="T841" s="56">
        <f t="shared" si="69"/>
        <v>0.90282675587779493</v>
      </c>
    </row>
    <row r="842" spans="1:20" x14ac:dyDescent="0.25">
      <c r="A842">
        <v>0.84917931504423971</v>
      </c>
      <c r="B842">
        <v>-5.1774122766801156E-2</v>
      </c>
      <c r="D842">
        <v>0.84123419769734875</v>
      </c>
      <c r="E842">
        <v>-2.987909969078828</v>
      </c>
      <c r="J842">
        <v>20</v>
      </c>
      <c r="K842">
        <v>5.3594419568980811E-2</v>
      </c>
      <c r="L842">
        <v>11.364526037805028</v>
      </c>
      <c r="M842">
        <v>10</v>
      </c>
      <c r="N842">
        <v>-0.81110522728522483</v>
      </c>
      <c r="O842">
        <v>66.362766594998817</v>
      </c>
      <c r="P842" s="1">
        <f t="shared" si="65"/>
        <v>2.7759747368858521</v>
      </c>
      <c r="Q842" s="1">
        <f t="shared" si="66"/>
        <v>0.41639621053287779</v>
      </c>
      <c r="R842" s="1">
        <f t="shared" si="67"/>
        <v>0.64528769594102586</v>
      </c>
      <c r="S842" s="1">
        <f t="shared" si="68"/>
        <v>1.3400219038629124</v>
      </c>
      <c r="T842" s="56">
        <f t="shared" si="69"/>
        <v>0.9044939150846576</v>
      </c>
    </row>
    <row r="843" spans="1:20" x14ac:dyDescent="0.25">
      <c r="A843">
        <v>0.85230879685072203</v>
      </c>
      <c r="B843">
        <v>0.88327624325756915</v>
      </c>
      <c r="D843">
        <v>0.84284747565183471</v>
      </c>
      <c r="E843">
        <v>-1.8937742004254687</v>
      </c>
      <c r="J843">
        <v>20</v>
      </c>
      <c r="K843">
        <v>0.12792162351615843</v>
      </c>
      <c r="L843">
        <v>28.251181544283494</v>
      </c>
      <c r="M843">
        <v>10</v>
      </c>
      <c r="N843">
        <v>-0.76504500498231209</v>
      </c>
      <c r="O843">
        <v>53.380761563514746</v>
      </c>
      <c r="P843" s="1">
        <f t="shared" si="65"/>
        <v>2.9154265395642227</v>
      </c>
      <c r="Q843" s="1">
        <f t="shared" si="66"/>
        <v>0.43731398093463342</v>
      </c>
      <c r="R843" s="1">
        <f t="shared" si="67"/>
        <v>0.66129719561981615</v>
      </c>
      <c r="S843" s="1">
        <f t="shared" si="68"/>
        <v>1.3503257452370063</v>
      </c>
      <c r="T843" s="56">
        <f t="shared" si="69"/>
        <v>0.90613709098795769</v>
      </c>
    </row>
    <row r="844" spans="1:20" x14ac:dyDescent="0.25">
      <c r="A844">
        <v>0.85287156548863707</v>
      </c>
      <c r="B844">
        <v>-1.1515180631249677</v>
      </c>
      <c r="D844">
        <v>0.84302890816168807</v>
      </c>
      <c r="E844">
        <v>-5.8962421041997004</v>
      </c>
      <c r="J844">
        <v>20</v>
      </c>
      <c r="K844">
        <v>-0.15334990166593343</v>
      </c>
      <c r="L844">
        <v>22.699753690021435</v>
      </c>
      <c r="M844">
        <v>10</v>
      </c>
      <c r="N844">
        <v>-1.4496782830519805</v>
      </c>
      <c r="O844">
        <v>148.12894163330861</v>
      </c>
      <c r="P844" s="1">
        <f t="shared" si="65"/>
        <v>6.1010248329760728</v>
      </c>
      <c r="Q844" s="1">
        <f t="shared" si="66"/>
        <v>0.9151537249464109</v>
      </c>
      <c r="R844" s="1">
        <f t="shared" si="67"/>
        <v>0.95663667342748826</v>
      </c>
      <c r="S844" s="1">
        <f t="shared" si="68"/>
        <v>1.3550895730784536</v>
      </c>
      <c r="T844" s="56">
        <f t="shared" si="69"/>
        <v>0.90688931532014627</v>
      </c>
    </row>
    <row r="845" spans="1:20" x14ac:dyDescent="0.25">
      <c r="A845">
        <v>0.85351950103068741</v>
      </c>
      <c r="B845">
        <v>1.1230372365389485</v>
      </c>
      <c r="D845">
        <v>0.84321397164051126</v>
      </c>
      <c r="E845">
        <v>4.9620195989064086</v>
      </c>
      <c r="J845">
        <v>20</v>
      </c>
      <c r="K845">
        <v>0.19471093537504203</v>
      </c>
      <c r="L845">
        <v>6.8607309301283559</v>
      </c>
      <c r="M845">
        <v>10</v>
      </c>
      <c r="N845">
        <v>-1.2681641726430826</v>
      </c>
      <c r="O845">
        <v>210.26604787787181</v>
      </c>
      <c r="P845" s="1">
        <f t="shared" si="65"/>
        <v>7.7545278145714347</v>
      </c>
      <c r="Q845" s="1">
        <f t="shared" si="66"/>
        <v>1.1631791721857152</v>
      </c>
      <c r="R845" s="1">
        <f t="shared" si="67"/>
        <v>1.0785078452128734</v>
      </c>
      <c r="S845" s="1">
        <f t="shared" si="68"/>
        <v>1.3563880082201774</v>
      </c>
      <c r="T845" s="56">
        <f t="shared" si="69"/>
        <v>0.90709352596334381</v>
      </c>
    </row>
    <row r="846" spans="1:20" x14ac:dyDescent="0.25">
      <c r="A846">
        <v>0.85356624519395274</v>
      </c>
      <c r="B846">
        <v>-0.55645614338573068</v>
      </c>
      <c r="D846">
        <v>0.84384815839523897</v>
      </c>
      <c r="E846">
        <v>2.6742129614376609</v>
      </c>
      <c r="J846">
        <v>20</v>
      </c>
      <c r="K846">
        <v>-0.38655605294479756</v>
      </c>
      <c r="L846">
        <v>25.37866418170141</v>
      </c>
      <c r="M846">
        <v>10</v>
      </c>
      <c r="N846">
        <v>-1.8003894444973412</v>
      </c>
      <c r="O846">
        <v>173.46458091477405</v>
      </c>
      <c r="P846" s="1">
        <f t="shared" si="65"/>
        <v>7.1015444677312667</v>
      </c>
      <c r="Q846" s="1">
        <f t="shared" si="66"/>
        <v>1.06523167015969</v>
      </c>
      <c r="R846" s="1">
        <f t="shared" si="67"/>
        <v>1.0321006104831496</v>
      </c>
      <c r="S846" s="1">
        <f t="shared" si="68"/>
        <v>1.3698600477435008</v>
      </c>
      <c r="T846" s="56">
        <f t="shared" si="69"/>
        <v>0.90919178009085577</v>
      </c>
    </row>
    <row r="847" spans="1:20" x14ac:dyDescent="0.25">
      <c r="A847">
        <v>0.85468099733563252</v>
      </c>
      <c r="B847">
        <v>-0.54053998610470444</v>
      </c>
      <c r="D847">
        <v>0.84800999295476842</v>
      </c>
      <c r="E847">
        <v>3.5609839380867925</v>
      </c>
      <c r="J847">
        <v>20</v>
      </c>
      <c r="K847">
        <v>0.35560373135012924</v>
      </c>
      <c r="L847">
        <v>12.932271902369147</v>
      </c>
      <c r="M847">
        <v>10</v>
      </c>
      <c r="N847">
        <v>-0.48833783580448653</v>
      </c>
      <c r="O847">
        <v>54.975725164468692</v>
      </c>
      <c r="P847" s="1">
        <f t="shared" si="65"/>
        <v>2.4252856095299227</v>
      </c>
      <c r="Q847" s="1">
        <f t="shared" si="66"/>
        <v>0.36379284142948837</v>
      </c>
      <c r="R847" s="1">
        <f t="shared" si="67"/>
        <v>0.60315241973276401</v>
      </c>
      <c r="S847" s="1">
        <f t="shared" si="68"/>
        <v>1.3992177425542571</v>
      </c>
      <c r="T847" s="56">
        <f t="shared" si="69"/>
        <v>0.91363564584579315</v>
      </c>
    </row>
    <row r="848" spans="1:20" x14ac:dyDescent="0.25">
      <c r="A848">
        <v>0.8551827339492708</v>
      </c>
      <c r="B848">
        <v>1.5244995665852912</v>
      </c>
      <c r="D848">
        <v>0.85021771548137082</v>
      </c>
      <c r="E848">
        <v>3.4094371096671239</v>
      </c>
      <c r="J848">
        <v>20</v>
      </c>
      <c r="K848">
        <v>0.19861670352838701</v>
      </c>
      <c r="L848">
        <v>16.372856229554419</v>
      </c>
      <c r="M848">
        <v>10</v>
      </c>
      <c r="N848">
        <v>-0.75107073257640877</v>
      </c>
      <c r="O848">
        <v>69.58910336958742</v>
      </c>
      <c r="P848" s="1">
        <f t="shared" si="65"/>
        <v>3.0700699856836371</v>
      </c>
      <c r="Q848" s="1">
        <f t="shared" si="66"/>
        <v>0.46051049785254555</v>
      </c>
      <c r="R848" s="1">
        <f t="shared" si="67"/>
        <v>0.67860923796581607</v>
      </c>
      <c r="S848" s="1">
        <f t="shared" si="68"/>
        <v>1.3994614027824874</v>
      </c>
      <c r="T848" s="56">
        <f t="shared" si="69"/>
        <v>0.9136717986286288</v>
      </c>
    </row>
    <row r="849" spans="1:20" x14ac:dyDescent="0.25">
      <c r="A849">
        <v>0.85639950958032185</v>
      </c>
      <c r="B849">
        <v>0.18787090994010214</v>
      </c>
      <c r="D849">
        <v>0.85191261226050785</v>
      </c>
      <c r="E849">
        <v>4.0405150195965689</v>
      </c>
      <c r="J849">
        <v>20</v>
      </c>
      <c r="K849">
        <v>-0.27479063646751456</v>
      </c>
      <c r="L849">
        <v>16.542958974879596</v>
      </c>
      <c r="M849">
        <v>10</v>
      </c>
      <c r="N849">
        <v>-1.3269834687434923</v>
      </c>
      <c r="O849">
        <v>87.776962769249309</v>
      </c>
      <c r="P849" s="1">
        <f t="shared" si="65"/>
        <v>3.7257114908617468</v>
      </c>
      <c r="Q849" s="1">
        <f t="shared" si="66"/>
        <v>0.55885672362926198</v>
      </c>
      <c r="R849" s="1">
        <f t="shared" si="67"/>
        <v>0.74756720342004168</v>
      </c>
      <c r="S849" s="1">
        <f t="shared" si="68"/>
        <v>1.4074892898756202</v>
      </c>
      <c r="T849" s="56">
        <f t="shared" si="69"/>
        <v>0.91485626670093656</v>
      </c>
    </row>
    <row r="850" spans="1:20" x14ac:dyDescent="0.25">
      <c r="A850">
        <v>0.85745109157883936</v>
      </c>
      <c r="B850">
        <v>-0.34293066164536867</v>
      </c>
      <c r="D850">
        <v>0.85234619669726963</v>
      </c>
      <c r="E850">
        <v>-0.11747988878596516</v>
      </c>
      <c r="J850">
        <v>20</v>
      </c>
      <c r="K850">
        <v>-2.4429198219877435E-2</v>
      </c>
      <c r="L850">
        <v>21.090224843626814</v>
      </c>
      <c r="M850">
        <v>10</v>
      </c>
      <c r="N850">
        <v>-1.0961073292037327</v>
      </c>
      <c r="O850">
        <v>85.324799946337734</v>
      </c>
      <c r="P850" s="1">
        <f t="shared" si="65"/>
        <v>3.8005365996415912</v>
      </c>
      <c r="Q850" s="1">
        <f t="shared" si="66"/>
        <v>0.57008048994623861</v>
      </c>
      <c r="R850" s="1">
        <f t="shared" si="67"/>
        <v>0.7550367474144809</v>
      </c>
      <c r="S850" s="1">
        <f t="shared" si="68"/>
        <v>1.4193721493075258</v>
      </c>
      <c r="T850" s="56">
        <f t="shared" si="69"/>
        <v>0.91658590296285003</v>
      </c>
    </row>
    <row r="851" spans="1:20" x14ac:dyDescent="0.25">
      <c r="A851">
        <v>0.85876349039176647</v>
      </c>
      <c r="B851">
        <v>-0.54284328143694438</v>
      </c>
      <c r="D851">
        <v>0.85506428145564539</v>
      </c>
      <c r="E851">
        <v>-2.0149802855939924</v>
      </c>
      <c r="J851">
        <v>20</v>
      </c>
      <c r="K851">
        <v>1.6954970760707511E-2</v>
      </c>
      <c r="L851">
        <v>23.879750728995035</v>
      </c>
      <c r="M851">
        <v>10</v>
      </c>
      <c r="N851">
        <v>-0.74574302630026068</v>
      </c>
      <c r="O851">
        <v>29.955505844548842</v>
      </c>
      <c r="P851" s="1">
        <f t="shared" si="65"/>
        <v>1.922687734769424</v>
      </c>
      <c r="Q851" s="1">
        <f t="shared" si="66"/>
        <v>0.28840316021541357</v>
      </c>
      <c r="R851" s="1">
        <f t="shared" si="67"/>
        <v>0.53703180559014707</v>
      </c>
      <c r="S851" s="1">
        <f t="shared" si="68"/>
        <v>1.420210105103245</v>
      </c>
      <c r="T851" s="56">
        <f t="shared" si="69"/>
        <v>0.91670681527270503</v>
      </c>
    </row>
    <row r="852" spans="1:20" x14ac:dyDescent="0.25">
      <c r="A852">
        <v>0.86016459685399882</v>
      </c>
      <c r="B852">
        <v>0.76128571890876628</v>
      </c>
      <c r="D852">
        <v>0.85508392251068954</v>
      </c>
      <c r="E852">
        <v>0.22998915142125043</v>
      </c>
      <c r="J852">
        <v>20</v>
      </c>
      <c r="K852">
        <v>0.10596869515211438</v>
      </c>
      <c r="L852">
        <v>17.982825946379439</v>
      </c>
      <c r="M852">
        <v>10</v>
      </c>
      <c r="N852">
        <v>-1.2846009019540361</v>
      </c>
      <c r="O852">
        <v>158.98365927314225</v>
      </c>
      <c r="P852" s="1">
        <f t="shared" si="65"/>
        <v>6.3202316149829176</v>
      </c>
      <c r="Q852" s="1">
        <f t="shared" si="66"/>
        <v>0.94803474224743756</v>
      </c>
      <c r="R852" s="1">
        <f t="shared" si="67"/>
        <v>0.97367075659456748</v>
      </c>
      <c r="S852" s="1">
        <f t="shared" si="68"/>
        <v>1.4281722930343466</v>
      </c>
      <c r="T852" s="56">
        <f t="shared" si="69"/>
        <v>0.91784879453645374</v>
      </c>
    </row>
    <row r="853" spans="1:20" x14ac:dyDescent="0.25">
      <c r="A853">
        <v>0.86148078583083587</v>
      </c>
      <c r="B853">
        <v>1.4766283129574731</v>
      </c>
      <c r="D853">
        <v>0.85610292262435594</v>
      </c>
      <c r="E853">
        <v>3.2624468497033376</v>
      </c>
      <c r="J853">
        <v>20</v>
      </c>
      <c r="K853">
        <v>0.25355984689667821</v>
      </c>
      <c r="L853">
        <v>11.784800706198125</v>
      </c>
      <c r="M853">
        <v>10</v>
      </c>
      <c r="N853">
        <v>-1.0363988883455022</v>
      </c>
      <c r="O853">
        <v>140.4485408732005</v>
      </c>
      <c r="P853" s="1">
        <f t="shared" si="65"/>
        <v>5.4369050564070935</v>
      </c>
      <c r="Q853" s="1">
        <f t="shared" si="66"/>
        <v>0.81553575846106396</v>
      </c>
      <c r="R853" s="1">
        <f t="shared" si="67"/>
        <v>0.90307018468171341</v>
      </c>
      <c r="S853" s="1">
        <f t="shared" si="68"/>
        <v>1.4284147092031674</v>
      </c>
      <c r="T853" s="56">
        <f t="shared" si="69"/>
        <v>0.91788336718550223</v>
      </c>
    </row>
    <row r="854" spans="1:20" x14ac:dyDescent="0.25">
      <c r="A854">
        <v>0.8624289840570506</v>
      </c>
      <c r="B854">
        <v>0.59364310800447129</v>
      </c>
      <c r="D854">
        <v>0.85673610465636696</v>
      </c>
      <c r="E854">
        <v>0.64172422412411834</v>
      </c>
      <c r="J854">
        <v>20</v>
      </c>
      <c r="K854">
        <v>6.3666675487183966E-2</v>
      </c>
      <c r="L854">
        <v>13.832628701748586</v>
      </c>
      <c r="M854">
        <v>10</v>
      </c>
      <c r="N854">
        <v>-0.91434526780176384</v>
      </c>
      <c r="O854">
        <v>73.505217780962994</v>
      </c>
      <c r="P854" s="1">
        <f t="shared" si="65"/>
        <v>3.1192088029539851</v>
      </c>
      <c r="Q854" s="1">
        <f t="shared" si="66"/>
        <v>0.46788132044309771</v>
      </c>
      <c r="R854" s="1">
        <f t="shared" si="67"/>
        <v>0.6840185088454096</v>
      </c>
      <c r="S854" s="1">
        <f t="shared" si="68"/>
        <v>1.4298033322808545</v>
      </c>
      <c r="T854" s="56">
        <f t="shared" si="69"/>
        <v>0.91808118573610376</v>
      </c>
    </row>
    <row r="855" spans="1:20" x14ac:dyDescent="0.25">
      <c r="A855">
        <v>0.86245216476032749</v>
      </c>
      <c r="B855">
        <v>0.84964995039626956</v>
      </c>
      <c r="D855">
        <v>0.85713728969320258</v>
      </c>
      <c r="E855">
        <v>-1.3604374123588059</v>
      </c>
      <c r="J855">
        <v>20</v>
      </c>
      <c r="K855">
        <v>0.40645841181685682</v>
      </c>
      <c r="L855">
        <v>17.4566805286881</v>
      </c>
      <c r="M855">
        <v>10</v>
      </c>
      <c r="N855">
        <v>-0.54236386745287746</v>
      </c>
      <c r="O855">
        <v>64.598011741770335</v>
      </c>
      <c r="P855" s="1">
        <f t="shared" si="65"/>
        <v>2.9305247239449441</v>
      </c>
      <c r="Q855" s="1">
        <f t="shared" si="66"/>
        <v>0.43957870859174158</v>
      </c>
      <c r="R855" s="1">
        <f t="shared" si="67"/>
        <v>0.66300732167280141</v>
      </c>
      <c r="S855" s="1">
        <f t="shared" si="68"/>
        <v>1.4310886897535418</v>
      </c>
      <c r="T855" s="56">
        <f t="shared" si="69"/>
        <v>0.91826395586465093</v>
      </c>
    </row>
    <row r="856" spans="1:20" x14ac:dyDescent="0.25">
      <c r="A856">
        <v>0.86275298716829496</v>
      </c>
      <c r="B856">
        <v>1.4867191566736437</v>
      </c>
      <c r="D856">
        <v>0.85754657910234344</v>
      </c>
      <c r="E856">
        <v>-5.3728506406969245</v>
      </c>
      <c r="J856">
        <v>20</v>
      </c>
      <c r="K856">
        <v>0.2398788296886778</v>
      </c>
      <c r="L856">
        <v>19.895175498303423</v>
      </c>
      <c r="M856">
        <v>10</v>
      </c>
      <c r="N856">
        <v>-1.3235220455953822</v>
      </c>
      <c r="O856">
        <v>201.57297357551619</v>
      </c>
      <c r="P856" s="1">
        <f t="shared" si="65"/>
        <v>7.909576752636414</v>
      </c>
      <c r="Q856" s="1">
        <f t="shared" si="66"/>
        <v>1.1864365128954621</v>
      </c>
      <c r="R856" s="1">
        <f t="shared" si="67"/>
        <v>1.0892366652364682</v>
      </c>
      <c r="S856" s="1">
        <f t="shared" si="68"/>
        <v>1.4353178929619055</v>
      </c>
      <c r="T856" s="56">
        <f t="shared" si="69"/>
        <v>0.91886303681261794</v>
      </c>
    </row>
    <row r="857" spans="1:20" x14ac:dyDescent="0.25">
      <c r="A857">
        <v>0.86409255599978707</v>
      </c>
      <c r="B857">
        <v>1.8473292584531009</v>
      </c>
      <c r="D857">
        <v>0.85765486946942204</v>
      </c>
      <c r="E857">
        <v>-4.4828873376445699</v>
      </c>
      <c r="J857">
        <v>20</v>
      </c>
      <c r="K857">
        <v>-0.1241089080394886</v>
      </c>
      <c r="L857">
        <v>27.00421163988219</v>
      </c>
      <c r="M857">
        <v>10</v>
      </c>
      <c r="N857">
        <v>-1.0221524496500933</v>
      </c>
      <c r="O857">
        <v>45.587257317411733</v>
      </c>
      <c r="P857" s="1">
        <f t="shared" si="65"/>
        <v>2.5925524627604974</v>
      </c>
      <c r="Q857" s="1">
        <f t="shared" si="66"/>
        <v>0.38888286941407463</v>
      </c>
      <c r="R857" s="1">
        <f t="shared" si="67"/>
        <v>0.62360473812670369</v>
      </c>
      <c r="S857" s="1">
        <f t="shared" si="68"/>
        <v>1.44008453865875</v>
      </c>
      <c r="T857" s="56">
        <f t="shared" si="69"/>
        <v>0.91953405579517378</v>
      </c>
    </row>
    <row r="858" spans="1:20" x14ac:dyDescent="0.25">
      <c r="A858">
        <v>0.86539262942930306</v>
      </c>
      <c r="B858">
        <v>0.12875716492999345</v>
      </c>
      <c r="D858">
        <v>0.85797931219120793</v>
      </c>
      <c r="E858">
        <v>-0.52642849709627626</v>
      </c>
      <c r="J858">
        <v>20</v>
      </c>
      <c r="K858">
        <v>0.31310526082961587</v>
      </c>
      <c r="L858">
        <v>13.302305551555477</v>
      </c>
      <c r="M858">
        <v>10</v>
      </c>
      <c r="N858">
        <v>-0.40080090343508346</v>
      </c>
      <c r="O858">
        <v>32.078740670348026</v>
      </c>
      <c r="P858" s="1">
        <f t="shared" si="65"/>
        <v>1.6207516507822679</v>
      </c>
      <c r="Q858" s="1">
        <f t="shared" si="66"/>
        <v>0.24311274761734017</v>
      </c>
      <c r="R858" s="1">
        <f t="shared" si="67"/>
        <v>0.49306464851714948</v>
      </c>
      <c r="S858" s="1">
        <f t="shared" si="68"/>
        <v>1.4478956591426948</v>
      </c>
      <c r="T858" s="56">
        <f t="shared" si="69"/>
        <v>0.92062409360355568</v>
      </c>
    </row>
    <row r="859" spans="1:20" x14ac:dyDescent="0.25">
      <c r="A859">
        <v>0.86656589706212195</v>
      </c>
      <c r="B859">
        <v>-0.5123342816659715</v>
      </c>
      <c r="D859">
        <v>0.85834840744747709</v>
      </c>
      <c r="E859">
        <v>-8.1603927844753343</v>
      </c>
      <c r="J859">
        <v>20</v>
      </c>
      <c r="K859">
        <v>-4.5671072257391643E-2</v>
      </c>
      <c r="L859">
        <v>18.859991710737496</v>
      </c>
      <c r="M859">
        <v>10</v>
      </c>
      <c r="N859">
        <v>-0.9197906399549538</v>
      </c>
      <c r="O859">
        <v>48.822497282847976</v>
      </c>
      <c r="P859" s="1">
        <f t="shared" si="65"/>
        <v>2.4172317497709099</v>
      </c>
      <c r="Q859" s="1">
        <f t="shared" si="66"/>
        <v>0.36258476246563648</v>
      </c>
      <c r="R859" s="1">
        <f t="shared" si="67"/>
        <v>0.60215011622155856</v>
      </c>
      <c r="S859" s="1">
        <f t="shared" si="68"/>
        <v>1.4516638694393835</v>
      </c>
      <c r="T859" s="56">
        <f t="shared" si="69"/>
        <v>0.92114571637350373</v>
      </c>
    </row>
    <row r="860" spans="1:20" x14ac:dyDescent="0.25">
      <c r="A860">
        <v>0.86744548070622873</v>
      </c>
      <c r="B860">
        <v>0.61947957874508575</v>
      </c>
      <c r="D860">
        <v>0.85850821448457548</v>
      </c>
      <c r="E860">
        <v>-0.89424520751890668</v>
      </c>
      <c r="J860">
        <v>20</v>
      </c>
      <c r="K860">
        <v>0.21215191736700945</v>
      </c>
      <c r="L860">
        <v>11.435307964930045</v>
      </c>
      <c r="M860">
        <v>10</v>
      </c>
      <c r="N860">
        <v>-0.86973762222442019</v>
      </c>
      <c r="O860">
        <v>90.019841954820535</v>
      </c>
      <c r="P860" s="1">
        <f t="shared" si="65"/>
        <v>3.6233982114196635</v>
      </c>
      <c r="Q860" s="1">
        <f t="shared" si="66"/>
        <v>0.54350973171294947</v>
      </c>
      <c r="R860" s="1">
        <f t="shared" si="67"/>
        <v>0.73723112502996613</v>
      </c>
      <c r="S860" s="1">
        <f t="shared" si="68"/>
        <v>1.4675038842770702</v>
      </c>
      <c r="T860" s="56">
        <f t="shared" si="69"/>
        <v>0.92330852260330232</v>
      </c>
    </row>
    <row r="861" spans="1:20" x14ac:dyDescent="0.25">
      <c r="A861">
        <v>0.86779484492591608</v>
      </c>
      <c r="B861">
        <v>-0.94436927611241117</v>
      </c>
      <c r="D861">
        <v>0.8589428673113253</v>
      </c>
      <c r="E861">
        <v>-2.3229886244280351</v>
      </c>
      <c r="J861">
        <v>20</v>
      </c>
      <c r="K861">
        <v>5.1523727506719297E-2</v>
      </c>
      <c r="L861">
        <v>30.52638721675596</v>
      </c>
      <c r="M861">
        <v>10</v>
      </c>
      <c r="N861">
        <v>-1.1884845923759713</v>
      </c>
      <c r="O861">
        <v>101.2652336234145</v>
      </c>
      <c r="P861" s="1">
        <f t="shared" si="65"/>
        <v>4.7068436014346586</v>
      </c>
      <c r="Q861" s="1">
        <f t="shared" si="66"/>
        <v>0.70602654021519873</v>
      </c>
      <c r="R861" s="1">
        <f t="shared" si="67"/>
        <v>0.84025385462680191</v>
      </c>
      <c r="S861" s="1">
        <f t="shared" si="68"/>
        <v>1.4757543961918975</v>
      </c>
      <c r="T861" s="56">
        <f t="shared" si="69"/>
        <v>0.92441607492612043</v>
      </c>
    </row>
    <row r="862" spans="1:20" x14ac:dyDescent="0.25">
      <c r="A862">
        <v>0.86826822279413285</v>
      </c>
      <c r="B862">
        <v>-0.57621491578174755</v>
      </c>
      <c r="D862">
        <v>0.85924145182572653</v>
      </c>
      <c r="E862">
        <v>0.1657162977153348</v>
      </c>
      <c r="J862">
        <v>20</v>
      </c>
      <c r="K862">
        <v>0.17037717725543189</v>
      </c>
      <c r="L862">
        <v>32.484275901834778</v>
      </c>
      <c r="M862">
        <v>10</v>
      </c>
      <c r="N862">
        <v>-0.94804613922860881</v>
      </c>
      <c r="O862">
        <v>72.906629923829172</v>
      </c>
      <c r="P862" s="1">
        <f t="shared" si="65"/>
        <v>3.7639609223451411</v>
      </c>
      <c r="Q862" s="1">
        <f t="shared" si="66"/>
        <v>0.56459413835177119</v>
      </c>
      <c r="R862" s="1">
        <f t="shared" si="67"/>
        <v>0.75139479526529274</v>
      </c>
      <c r="S862" s="1">
        <f t="shared" si="68"/>
        <v>1.4884629538712233</v>
      </c>
      <c r="T862" s="56">
        <f t="shared" si="69"/>
        <v>0.92609690269094669</v>
      </c>
    </row>
    <row r="863" spans="1:20" x14ac:dyDescent="0.25">
      <c r="A863">
        <v>0.8690229901715204</v>
      </c>
      <c r="B863">
        <v>1.1197380445082672</v>
      </c>
      <c r="D863">
        <v>0.85925101114280622</v>
      </c>
      <c r="E863">
        <v>-1.8777716411477741</v>
      </c>
      <c r="J863">
        <v>20</v>
      </c>
      <c r="K863">
        <v>0.13347613503356115</v>
      </c>
      <c r="L863">
        <v>17.330850512113859</v>
      </c>
      <c r="M863">
        <v>10</v>
      </c>
      <c r="N863">
        <v>-0.7619740961217758</v>
      </c>
      <c r="O863">
        <v>50.15180395004019</v>
      </c>
      <c r="P863" s="1">
        <f t="shared" si="65"/>
        <v>2.4100948022197874</v>
      </c>
      <c r="Q863" s="1">
        <f t="shared" si="66"/>
        <v>0.36151422033296809</v>
      </c>
      <c r="R863" s="1">
        <f t="shared" si="67"/>
        <v>0.60126052617228087</v>
      </c>
      <c r="S863" s="1">
        <f t="shared" si="68"/>
        <v>1.4892882405833525</v>
      </c>
      <c r="T863" s="56">
        <f t="shared" si="69"/>
        <v>0.92620500552323337</v>
      </c>
    </row>
    <row r="864" spans="1:20" x14ac:dyDescent="0.25">
      <c r="A864">
        <v>0.86914257617168533</v>
      </c>
      <c r="B864">
        <v>-5.1697952585527673E-2</v>
      </c>
      <c r="D864">
        <v>0.85966198023156026</v>
      </c>
      <c r="E864">
        <v>-0.36999086091782374</v>
      </c>
      <c r="J864">
        <v>20</v>
      </c>
      <c r="K864">
        <v>6.2528840771847172E-2</v>
      </c>
      <c r="L864">
        <v>11.929819883002738</v>
      </c>
      <c r="M864">
        <v>10</v>
      </c>
      <c r="N864">
        <v>-0.6888019504458498</v>
      </c>
      <c r="O864">
        <v>34.930762641192842</v>
      </c>
      <c r="P864" s="1">
        <f t="shared" si="65"/>
        <v>1.673592233006985</v>
      </c>
      <c r="Q864" s="1">
        <f t="shared" si="66"/>
        <v>0.25103883495104773</v>
      </c>
      <c r="R864" s="1">
        <f t="shared" si="67"/>
        <v>0.50103775800936179</v>
      </c>
      <c r="S864" s="1">
        <f t="shared" si="68"/>
        <v>1.4995492439586928</v>
      </c>
      <c r="T864" s="56">
        <f t="shared" si="69"/>
        <v>0.92753846249112049</v>
      </c>
    </row>
    <row r="865" spans="1:20" x14ac:dyDescent="0.25">
      <c r="A865">
        <v>0.87156085111488202</v>
      </c>
      <c r="B865">
        <v>0.20206016415613703</v>
      </c>
      <c r="D865">
        <v>0.86261609563713992</v>
      </c>
      <c r="E865">
        <v>0.85314763623500767</v>
      </c>
      <c r="J865">
        <v>20</v>
      </c>
      <c r="K865">
        <v>-0.42866201965807704</v>
      </c>
      <c r="L865">
        <v>14.904615795713992</v>
      </c>
      <c r="M865">
        <v>10</v>
      </c>
      <c r="N865">
        <v>-1.487164244053929</v>
      </c>
      <c r="O865">
        <v>77.752373161752814</v>
      </c>
      <c r="P865" s="1">
        <f t="shared" si="65"/>
        <v>3.3091781770523858</v>
      </c>
      <c r="Q865" s="1">
        <f t="shared" si="66"/>
        <v>0.49637672655785786</v>
      </c>
      <c r="R865" s="1">
        <f t="shared" si="67"/>
        <v>0.7045400815836228</v>
      </c>
      <c r="S865" s="1">
        <f t="shared" si="68"/>
        <v>1.5024017115060571</v>
      </c>
      <c r="T865" s="56">
        <f t="shared" si="69"/>
        <v>0.92790567565295223</v>
      </c>
    </row>
    <row r="866" spans="1:20" x14ac:dyDescent="0.25">
      <c r="A866">
        <v>0.87157713513227342</v>
      </c>
      <c r="B866">
        <v>1.4266151993069798</v>
      </c>
      <c r="D866">
        <v>0.86272572148368176</v>
      </c>
      <c r="E866">
        <v>-0.53223334703034197</v>
      </c>
      <c r="J866">
        <v>20</v>
      </c>
      <c r="K866">
        <v>3.7511370010179235E-2</v>
      </c>
      <c r="L866">
        <v>23.516578537911002</v>
      </c>
      <c r="M866">
        <v>10</v>
      </c>
      <c r="N866">
        <v>-1.1387705887955235</v>
      </c>
      <c r="O866">
        <v>90.891732648023549</v>
      </c>
      <c r="P866" s="1">
        <f t="shared" si="65"/>
        <v>4.0860111137833766</v>
      </c>
      <c r="Q866" s="1">
        <f t="shared" si="66"/>
        <v>0.61290166706750648</v>
      </c>
      <c r="R866" s="1">
        <f t="shared" si="67"/>
        <v>0.78288036574403019</v>
      </c>
      <c r="S866" s="1">
        <f t="shared" si="68"/>
        <v>1.5025053766520169</v>
      </c>
      <c r="T866" s="56">
        <f t="shared" si="69"/>
        <v>0.92791899264444022</v>
      </c>
    </row>
    <row r="867" spans="1:20" x14ac:dyDescent="0.25">
      <c r="A867">
        <v>0.87180817663104804</v>
      </c>
      <c r="B867">
        <v>-1.1597217053349596</v>
      </c>
      <c r="D867">
        <v>0.86293426688884156</v>
      </c>
      <c r="E867">
        <v>-2.1388671063959919</v>
      </c>
      <c r="J867">
        <v>20</v>
      </c>
      <c r="K867">
        <v>0.11783055242631235</v>
      </c>
      <c r="L867">
        <v>11.33174548655488</v>
      </c>
      <c r="M867">
        <v>10</v>
      </c>
      <c r="N867">
        <v>-1.1435867043019243</v>
      </c>
      <c r="O867">
        <v>119.37419960549542</v>
      </c>
      <c r="P867" s="1">
        <f t="shared" si="65"/>
        <v>4.6680694675732246</v>
      </c>
      <c r="Q867" s="1">
        <f t="shared" si="66"/>
        <v>0.70021042013598367</v>
      </c>
      <c r="R867" s="1">
        <f t="shared" si="67"/>
        <v>0.83678576716862463</v>
      </c>
      <c r="S867" s="1">
        <f t="shared" si="68"/>
        <v>1.5074554398749023</v>
      </c>
      <c r="T867" s="56">
        <f t="shared" si="69"/>
        <v>0.92855257526290425</v>
      </c>
    </row>
    <row r="868" spans="1:20" x14ac:dyDescent="0.25">
      <c r="A868">
        <v>0.8720417006329223</v>
      </c>
      <c r="B868">
        <v>-2.0317747839726508</v>
      </c>
      <c r="D868">
        <v>0.86332119110271477</v>
      </c>
      <c r="E868">
        <v>0.77242884458428307</v>
      </c>
      <c r="J868">
        <v>20</v>
      </c>
      <c r="K868">
        <v>0.11310635272820946</v>
      </c>
      <c r="L868">
        <v>14.371489846975972</v>
      </c>
      <c r="M868">
        <v>10</v>
      </c>
      <c r="N868">
        <v>-0.8734749633276806</v>
      </c>
      <c r="O868">
        <v>65.429517405337805</v>
      </c>
      <c r="P868" s="1">
        <f t="shared" si="65"/>
        <v>2.8500359732969209</v>
      </c>
      <c r="Q868" s="1">
        <f t="shared" si="66"/>
        <v>0.42750539599453813</v>
      </c>
      <c r="R868" s="1">
        <f t="shared" si="67"/>
        <v>0.65383896793823637</v>
      </c>
      <c r="S868" s="1">
        <f t="shared" si="68"/>
        <v>1.5089056548080897</v>
      </c>
      <c r="T868" s="56">
        <f t="shared" si="69"/>
        <v>0.92873733968768113</v>
      </c>
    </row>
    <row r="869" spans="1:20" x14ac:dyDescent="0.25">
      <c r="A869">
        <v>0.87651617407187243</v>
      </c>
      <c r="B869">
        <v>4.1359271563123912E-2</v>
      </c>
      <c r="D869">
        <v>0.86374515487203907</v>
      </c>
      <c r="E869">
        <v>-3.9971762396362465</v>
      </c>
      <c r="J869">
        <v>20</v>
      </c>
      <c r="K869">
        <v>-7.2219165758724557E-2</v>
      </c>
      <c r="L869">
        <v>14.014937420771556</v>
      </c>
      <c r="M869">
        <v>10</v>
      </c>
      <c r="N869">
        <v>-1.3847751495177363</v>
      </c>
      <c r="O869">
        <v>126.46933716139858</v>
      </c>
      <c r="P869" s="1">
        <f t="shared" si="65"/>
        <v>5.0172955207917909</v>
      </c>
      <c r="Q869" s="1">
        <f t="shared" si="66"/>
        <v>0.75259432811876859</v>
      </c>
      <c r="R869" s="1">
        <f t="shared" si="67"/>
        <v>0.8675219467649038</v>
      </c>
      <c r="S869" s="1">
        <f t="shared" si="68"/>
        <v>1.51299455726013</v>
      </c>
      <c r="T869" s="56">
        <f t="shared" si="69"/>
        <v>0.92925620428974864</v>
      </c>
    </row>
    <row r="870" spans="1:20" x14ac:dyDescent="0.25">
      <c r="A870">
        <v>0.87701886973756504</v>
      </c>
      <c r="B870">
        <v>-0.37589870771626011</v>
      </c>
      <c r="D870">
        <v>0.86518832006242963</v>
      </c>
      <c r="E870">
        <v>4.0836523533016589</v>
      </c>
      <c r="J870">
        <v>20</v>
      </c>
      <c r="K870">
        <v>0.24730445602472173</v>
      </c>
      <c r="L870">
        <v>16.054712917417014</v>
      </c>
      <c r="M870">
        <v>10</v>
      </c>
      <c r="N870">
        <v>-1.0232359989004181</v>
      </c>
      <c r="O870">
        <v>114.6536338816269</v>
      </c>
      <c r="P870" s="1">
        <f t="shared" si="65"/>
        <v>4.6681552428229969</v>
      </c>
      <c r="Q870" s="1">
        <f t="shared" si="66"/>
        <v>0.70022328642344955</v>
      </c>
      <c r="R870" s="1">
        <f t="shared" si="67"/>
        <v>0.83679345505533775</v>
      </c>
      <c r="S870" s="1">
        <f t="shared" si="68"/>
        <v>1.51834415918217</v>
      </c>
      <c r="T870" s="56">
        <f t="shared" si="69"/>
        <v>0.92993042105532386</v>
      </c>
    </row>
    <row r="871" spans="1:20" x14ac:dyDescent="0.25">
      <c r="A871">
        <v>0.88025256880344016</v>
      </c>
      <c r="B871">
        <v>0.14907186596246902</v>
      </c>
      <c r="D871">
        <v>0.86559046194098554</v>
      </c>
      <c r="E871">
        <v>0.56127828088392562</v>
      </c>
      <c r="J871">
        <v>20</v>
      </c>
      <c r="K871">
        <v>0.10180946219406906</v>
      </c>
      <c r="L871">
        <v>13.425552074022976</v>
      </c>
      <c r="M871">
        <v>10</v>
      </c>
      <c r="N871">
        <v>-0.9797306609016232</v>
      </c>
      <c r="O871">
        <v>80.12051789584045</v>
      </c>
      <c r="P871" s="1">
        <f t="shared" si="65"/>
        <v>3.3409310703522652</v>
      </c>
      <c r="Q871" s="1">
        <f t="shared" si="66"/>
        <v>0.50113966055283976</v>
      </c>
      <c r="R871" s="1">
        <f t="shared" si="67"/>
        <v>0.70791218420990587</v>
      </c>
      <c r="S871" s="1">
        <f t="shared" si="68"/>
        <v>1.5277885410360452</v>
      </c>
      <c r="T871" s="56">
        <f t="shared" si="69"/>
        <v>0.9311079805583512</v>
      </c>
    </row>
    <row r="872" spans="1:20" x14ac:dyDescent="0.25">
      <c r="A872">
        <v>0.88089006425320926</v>
      </c>
      <c r="B872">
        <v>-2.1333107724785805</v>
      </c>
      <c r="D872">
        <v>0.86649345373373021</v>
      </c>
      <c r="E872">
        <v>-6.3419126979624707</v>
      </c>
      <c r="J872">
        <v>20</v>
      </c>
      <c r="K872">
        <v>-8.34907609714719E-2</v>
      </c>
      <c r="L872">
        <v>15.50517019416603</v>
      </c>
      <c r="M872">
        <v>10</v>
      </c>
      <c r="N872">
        <v>-0.98808016332441184</v>
      </c>
      <c r="O872">
        <v>49.831500105103657</v>
      </c>
      <c r="P872" s="1">
        <f t="shared" si="65"/>
        <v>2.3334525106882031</v>
      </c>
      <c r="Q872" s="1">
        <f t="shared" si="66"/>
        <v>0.35001787660323047</v>
      </c>
      <c r="R872" s="1">
        <f t="shared" si="67"/>
        <v>0.5916230866043265</v>
      </c>
      <c r="S872" s="1">
        <f t="shared" si="68"/>
        <v>1.5289961173505104</v>
      </c>
      <c r="T872" s="56">
        <f t="shared" si="69"/>
        <v>0.93125737941155906</v>
      </c>
    </row>
    <row r="873" spans="1:20" x14ac:dyDescent="0.25">
      <c r="A873">
        <v>0.88135794935027312</v>
      </c>
      <c r="B873">
        <v>-0.56621729527250864</v>
      </c>
      <c r="D873">
        <v>0.86697121170941782</v>
      </c>
      <c r="E873">
        <v>-3.0250378165419534</v>
      </c>
      <c r="J873">
        <v>20</v>
      </c>
      <c r="K873">
        <v>0.14363257605509716</v>
      </c>
      <c r="L873">
        <v>13.218381599929216</v>
      </c>
      <c r="M873">
        <v>10</v>
      </c>
      <c r="N873">
        <v>-0.69295504431465815</v>
      </c>
      <c r="O873">
        <v>42.286876215161442</v>
      </c>
      <c r="P873" s="1">
        <f t="shared" si="65"/>
        <v>1.9823306362532378</v>
      </c>
      <c r="Q873" s="1">
        <f t="shared" si="66"/>
        <v>0.29734959543798567</v>
      </c>
      <c r="R873" s="1">
        <f t="shared" si="67"/>
        <v>0.54529771266527949</v>
      </c>
      <c r="S873" s="1">
        <f t="shared" si="68"/>
        <v>1.5341850899772222</v>
      </c>
      <c r="T873" s="56">
        <f t="shared" si="69"/>
        <v>0.93189635378875924</v>
      </c>
    </row>
    <row r="874" spans="1:20" x14ac:dyDescent="0.25">
      <c r="A874">
        <v>0.88268298800812239</v>
      </c>
      <c r="B874">
        <v>-1.1054908100049943E-2</v>
      </c>
      <c r="D874">
        <v>0.86793432811522109</v>
      </c>
      <c r="E874">
        <v>6.9629943448035192</v>
      </c>
      <c r="J874">
        <v>20</v>
      </c>
      <c r="K874">
        <v>-3.0303567655209918E-2</v>
      </c>
      <c r="L874">
        <v>16.494189518181994</v>
      </c>
      <c r="M874">
        <v>10</v>
      </c>
      <c r="N874">
        <v>-1.2308061093335709</v>
      </c>
      <c r="O874">
        <v>95.054854174237306</v>
      </c>
      <c r="P874" s="1">
        <f t="shared" si="65"/>
        <v>3.9838944175864035</v>
      </c>
      <c r="Q874" s="1">
        <f t="shared" si="66"/>
        <v>0.59758416263796055</v>
      </c>
      <c r="R874" s="1">
        <f t="shared" si="67"/>
        <v>0.77303568005491219</v>
      </c>
      <c r="S874" s="1">
        <f t="shared" si="68"/>
        <v>1.5529717096539244</v>
      </c>
      <c r="T874" s="56">
        <f t="shared" si="69"/>
        <v>0.93416942690006011</v>
      </c>
    </row>
    <row r="875" spans="1:20" x14ac:dyDescent="0.25">
      <c r="A875">
        <v>0.88279786834270946</v>
      </c>
      <c r="B875">
        <v>-0.24110590857162606</v>
      </c>
      <c r="D875">
        <v>0.86890422696696545</v>
      </c>
      <c r="E875">
        <v>-1.8714347368131712</v>
      </c>
      <c r="J875">
        <v>20</v>
      </c>
      <c r="K875">
        <v>-5.3016719903098419E-2</v>
      </c>
      <c r="L875">
        <v>15.487362622675951</v>
      </c>
      <c r="M875">
        <v>10</v>
      </c>
      <c r="N875">
        <v>-1.1916561140878912</v>
      </c>
      <c r="O875">
        <v>84.621834778445219</v>
      </c>
      <c r="P875" s="1">
        <f t="shared" si="65"/>
        <v>3.5753284786114703</v>
      </c>
      <c r="Q875" s="1">
        <f t="shared" si="66"/>
        <v>0.53629927179172054</v>
      </c>
      <c r="R875" s="1">
        <f t="shared" si="67"/>
        <v>0.7323245672457811</v>
      </c>
      <c r="S875" s="1">
        <f t="shared" si="68"/>
        <v>1.5548288902380154</v>
      </c>
      <c r="T875" s="56">
        <f t="shared" si="69"/>
        <v>0.93439072978773929</v>
      </c>
    </row>
    <row r="876" spans="1:20" x14ac:dyDescent="0.25">
      <c r="A876">
        <v>0.88304541376328105</v>
      </c>
      <c r="B876">
        <v>-0.49808022595243528</v>
      </c>
      <c r="D876">
        <v>0.86987064269395276</v>
      </c>
      <c r="E876">
        <v>-1.6027233903059823</v>
      </c>
      <c r="J876">
        <v>20</v>
      </c>
      <c r="K876">
        <v>8.3485758750612149E-2</v>
      </c>
      <c r="L876">
        <v>17.809959378552321</v>
      </c>
      <c r="M876">
        <v>10</v>
      </c>
      <c r="N876">
        <v>-0.7805165330410091</v>
      </c>
      <c r="O876">
        <v>38.459196097732701</v>
      </c>
      <c r="P876" s="1">
        <f t="shared" si="65"/>
        <v>2.009612695581608</v>
      </c>
      <c r="Q876" s="1">
        <f t="shared" si="66"/>
        <v>0.30144190433724122</v>
      </c>
      <c r="R876" s="1">
        <f t="shared" si="67"/>
        <v>0.54903725223088573</v>
      </c>
      <c r="S876" s="1">
        <f t="shared" si="68"/>
        <v>1.5736678855231554</v>
      </c>
      <c r="T876" s="56">
        <f t="shared" si="69"/>
        <v>0.9366013924807316</v>
      </c>
    </row>
    <row r="877" spans="1:20" x14ac:dyDescent="0.25">
      <c r="A877">
        <v>0.88361786423038602</v>
      </c>
      <c r="B877">
        <v>1.9013714336324483</v>
      </c>
      <c r="D877">
        <v>0.87049443184981357</v>
      </c>
      <c r="E877">
        <v>-1.414062356843715</v>
      </c>
      <c r="J877">
        <v>20</v>
      </c>
      <c r="K877">
        <v>0.40272738033308997</v>
      </c>
      <c r="L877">
        <v>16.321690105858924</v>
      </c>
      <c r="M877">
        <v>10</v>
      </c>
      <c r="N877">
        <v>-0.82128554254268238</v>
      </c>
      <c r="O877">
        <v>96.347292000891798</v>
      </c>
      <c r="P877" s="1">
        <f t="shared" si="65"/>
        <v>4.0238922180982399</v>
      </c>
      <c r="Q877" s="1">
        <f t="shared" si="66"/>
        <v>0.60358383271473592</v>
      </c>
      <c r="R877" s="1">
        <f t="shared" si="67"/>
        <v>0.77690657914239336</v>
      </c>
      <c r="S877" s="1">
        <f t="shared" si="68"/>
        <v>1.5754956332419374</v>
      </c>
      <c r="T877" s="56">
        <f t="shared" si="69"/>
        <v>0.93681257945259533</v>
      </c>
    </row>
    <row r="878" spans="1:20" x14ac:dyDescent="0.25">
      <c r="A878">
        <v>0.88459038176774285</v>
      </c>
      <c r="B878">
        <v>1.2636201063287444</v>
      </c>
      <c r="D878">
        <v>0.87073380164732672</v>
      </c>
      <c r="E878">
        <v>3.4926412126878859E-2</v>
      </c>
      <c r="J878">
        <v>20</v>
      </c>
      <c r="K878">
        <v>2.6930308649752988E-2</v>
      </c>
      <c r="L878">
        <v>21.375214471480245</v>
      </c>
      <c r="M878">
        <v>10</v>
      </c>
      <c r="N878">
        <v>-0.94147322101889586</v>
      </c>
      <c r="O878">
        <v>47.144611984245891</v>
      </c>
      <c r="P878" s="1">
        <f t="shared" si="65"/>
        <v>2.4471366591330761</v>
      </c>
      <c r="Q878" s="1">
        <f t="shared" si="66"/>
        <v>0.3670704988699614</v>
      </c>
      <c r="R878" s="1">
        <f t="shared" si="67"/>
        <v>0.6058634325241633</v>
      </c>
      <c r="S878" s="1">
        <f t="shared" si="68"/>
        <v>1.5983858369435864</v>
      </c>
      <c r="T878" s="56">
        <f t="shared" si="69"/>
        <v>0.93940883129175967</v>
      </c>
    </row>
    <row r="879" spans="1:20" x14ac:dyDescent="0.25">
      <c r="A879">
        <v>0.88533922597569237</v>
      </c>
      <c r="B879">
        <v>-6.6794427766581066E-2</v>
      </c>
      <c r="D879">
        <v>0.87086964299470015</v>
      </c>
      <c r="E879">
        <v>4.8375461540217657</v>
      </c>
      <c r="J879">
        <v>20</v>
      </c>
      <c r="K879">
        <v>0.13738088000536663</v>
      </c>
      <c r="L879">
        <v>26.039110462598547</v>
      </c>
      <c r="M879">
        <v>10</v>
      </c>
      <c r="N879">
        <v>-0.97480779345460178</v>
      </c>
      <c r="O879">
        <v>63.502284217279396</v>
      </c>
      <c r="P879" s="1">
        <f t="shared" si="65"/>
        <v>3.1979069528527835</v>
      </c>
      <c r="Q879" s="1">
        <f t="shared" si="66"/>
        <v>0.4796860429279175</v>
      </c>
      <c r="R879" s="1">
        <f t="shared" si="67"/>
        <v>0.69259370696528677</v>
      </c>
      <c r="S879" s="1">
        <f t="shared" si="68"/>
        <v>1.6058313297895905</v>
      </c>
      <c r="T879" s="56">
        <f t="shared" si="69"/>
        <v>0.94023411819742386</v>
      </c>
    </row>
    <row r="880" spans="1:20" x14ac:dyDescent="0.25">
      <c r="A880">
        <v>0.88558652539651583</v>
      </c>
      <c r="B880">
        <v>-2.1469168132171035</v>
      </c>
      <c r="D880">
        <v>0.871069965975793</v>
      </c>
      <c r="E880">
        <v>-2.2859835587496491</v>
      </c>
      <c r="J880">
        <v>20</v>
      </c>
      <c r="K880">
        <v>-5.0516348437668057E-2</v>
      </c>
      <c r="L880">
        <v>11.724223628858825</v>
      </c>
      <c r="M880">
        <v>10</v>
      </c>
      <c r="N880">
        <v>-1.1933116218187934</v>
      </c>
      <c r="O880">
        <v>82.769271576489274</v>
      </c>
      <c r="P880" s="1">
        <f t="shared" si="65"/>
        <v>3.3747676859052893</v>
      </c>
      <c r="Q880" s="1">
        <f t="shared" si="66"/>
        <v>0.50621515288579333</v>
      </c>
      <c r="R880" s="1">
        <f t="shared" si="67"/>
        <v>0.71148798506074107</v>
      </c>
      <c r="S880" s="1">
        <f t="shared" si="68"/>
        <v>1.6062045984986839</v>
      </c>
      <c r="T880" s="56">
        <f t="shared" si="69"/>
        <v>0.9402752472092597</v>
      </c>
    </row>
    <row r="881" spans="1:20" x14ac:dyDescent="0.25">
      <c r="A881">
        <v>0.88605328025729591</v>
      </c>
      <c r="B881">
        <v>1.6828198567964137</v>
      </c>
      <c r="D881">
        <v>0.87395728104517723</v>
      </c>
      <c r="E881">
        <v>-3.0370158617643028</v>
      </c>
      <c r="J881">
        <v>20</v>
      </c>
      <c r="K881">
        <v>0.29301503445822163</v>
      </c>
      <c r="L881">
        <v>32.826489899639775</v>
      </c>
      <c r="M881">
        <v>10</v>
      </c>
      <c r="N881">
        <v>-0.98562555081116443</v>
      </c>
      <c r="O881">
        <v>84.951208404134832</v>
      </c>
      <c r="P881" s="1">
        <f t="shared" si="65"/>
        <v>4.2063463679919497</v>
      </c>
      <c r="Q881" s="1">
        <f t="shared" si="66"/>
        <v>0.63095195519879244</v>
      </c>
      <c r="R881" s="1">
        <f t="shared" si="67"/>
        <v>0.79432484236538414</v>
      </c>
      <c r="S881" s="1">
        <f t="shared" si="68"/>
        <v>1.6097200000213765</v>
      </c>
      <c r="T881" s="56">
        <f t="shared" si="69"/>
        <v>0.94066144982851063</v>
      </c>
    </row>
    <row r="882" spans="1:20" x14ac:dyDescent="0.25">
      <c r="A882">
        <v>0.88615405055075758</v>
      </c>
      <c r="B882">
        <v>0.74584022513590753</v>
      </c>
      <c r="D882">
        <v>0.87427195564590454</v>
      </c>
      <c r="E882">
        <v>-0.35131097661178501</v>
      </c>
      <c r="J882">
        <v>20</v>
      </c>
      <c r="K882">
        <v>-0.23817858618713217</v>
      </c>
      <c r="L882">
        <v>17.104248610289968</v>
      </c>
      <c r="M882">
        <v>10</v>
      </c>
      <c r="N882">
        <v>-1.325596716696964</v>
      </c>
      <c r="O882">
        <v>67.794398922965755</v>
      </c>
      <c r="P882" s="1">
        <f t="shared" si="65"/>
        <v>3.0320945547591331</v>
      </c>
      <c r="Q882" s="1">
        <f t="shared" si="66"/>
        <v>0.45481418321386996</v>
      </c>
      <c r="R882" s="1">
        <f t="shared" si="67"/>
        <v>0.67439912753047804</v>
      </c>
      <c r="S882" s="1">
        <f t="shared" si="68"/>
        <v>1.6124251739348348</v>
      </c>
      <c r="T882" s="56">
        <f t="shared" si="69"/>
        <v>0.94095723354871608</v>
      </c>
    </row>
    <row r="883" spans="1:20" x14ac:dyDescent="0.25">
      <c r="A883">
        <v>0.88686244782577395</v>
      </c>
      <c r="B883">
        <v>0.61605533119291067</v>
      </c>
      <c r="D883">
        <v>0.8751039806527694</v>
      </c>
      <c r="E883">
        <v>-3.0060475671689346</v>
      </c>
      <c r="J883">
        <v>20</v>
      </c>
      <c r="K883">
        <v>0.25229587663488928</v>
      </c>
      <c r="L883">
        <v>17.360783596888492</v>
      </c>
      <c r="M883">
        <v>10</v>
      </c>
      <c r="N883">
        <v>-0.81759083400356758</v>
      </c>
      <c r="O883">
        <v>64.665866121576727</v>
      </c>
      <c r="P883" s="1">
        <f t="shared" si="65"/>
        <v>2.9295232042309007</v>
      </c>
      <c r="Q883" s="1">
        <f t="shared" si="66"/>
        <v>0.43942848063463508</v>
      </c>
      <c r="R883" s="1">
        <f t="shared" si="67"/>
        <v>0.66289401915738766</v>
      </c>
      <c r="S883" s="1">
        <f t="shared" si="68"/>
        <v>1.6139634386781803</v>
      </c>
      <c r="T883" s="56">
        <f t="shared" si="69"/>
        <v>0.94112488300466612</v>
      </c>
    </row>
    <row r="884" spans="1:20" x14ac:dyDescent="0.25">
      <c r="A884">
        <v>0.88851425914306581</v>
      </c>
      <c r="B884">
        <v>0.67802375269820914</v>
      </c>
      <c r="D884">
        <v>0.87529171585863197</v>
      </c>
      <c r="E884">
        <v>-3.0953303883052286</v>
      </c>
      <c r="J884">
        <v>20</v>
      </c>
      <c r="K884">
        <v>0.17512496697236202</v>
      </c>
      <c r="L884">
        <v>22.194133871773214</v>
      </c>
      <c r="M884">
        <v>10</v>
      </c>
      <c r="N884">
        <v>-0.92475477572406817</v>
      </c>
      <c r="O884">
        <v>64.388844462148214</v>
      </c>
      <c r="P884" s="1">
        <f t="shared" si="65"/>
        <v>3.0922492262114796</v>
      </c>
      <c r="Q884" s="1">
        <f t="shared" si="66"/>
        <v>0.46383738393172191</v>
      </c>
      <c r="R884" s="1">
        <f t="shared" si="67"/>
        <v>0.68105607987281191</v>
      </c>
      <c r="S884" s="1">
        <f t="shared" si="68"/>
        <v>1.6149620790432326</v>
      </c>
      <c r="T884" s="56">
        <f t="shared" si="69"/>
        <v>0.94123350998790245</v>
      </c>
    </row>
    <row r="885" spans="1:20" x14ac:dyDescent="0.25">
      <c r="A885">
        <v>0.88913617009788803</v>
      </c>
      <c r="B885">
        <v>-0.27416263037594035</v>
      </c>
      <c r="D885">
        <v>0.87548954549156466</v>
      </c>
      <c r="E885">
        <v>-4.1894593357483245</v>
      </c>
      <c r="J885">
        <v>20</v>
      </c>
      <c r="K885">
        <v>8.116921890177764E-2</v>
      </c>
      <c r="L885">
        <v>28.26480619391462</v>
      </c>
      <c r="M885">
        <v>10</v>
      </c>
      <c r="N885">
        <v>-1.0153639811960602</v>
      </c>
      <c r="O885">
        <v>57.428841320638398</v>
      </c>
      <c r="P885" s="1">
        <f t="shared" si="65"/>
        <v>3.0604874112340363</v>
      </c>
      <c r="Q885" s="1">
        <f t="shared" si="66"/>
        <v>0.45907311168510545</v>
      </c>
      <c r="R885" s="1">
        <f t="shared" si="67"/>
        <v>0.6775493426202297</v>
      </c>
      <c r="S885" s="1">
        <f t="shared" si="68"/>
        <v>1.6183813209194582</v>
      </c>
      <c r="T885" s="56">
        <f t="shared" si="69"/>
        <v>0.94160418250372202</v>
      </c>
    </row>
    <row r="886" spans="1:20" x14ac:dyDescent="0.25">
      <c r="A886">
        <v>0.88923741553821922</v>
      </c>
      <c r="B886">
        <v>0.61892478697700426</v>
      </c>
      <c r="D886">
        <v>0.87580966187697129</v>
      </c>
      <c r="E886">
        <v>-0.78342782558138424</v>
      </c>
      <c r="J886">
        <v>20</v>
      </c>
      <c r="K886">
        <v>-0.14619342891819542</v>
      </c>
      <c r="L886">
        <v>13.320604229188714</v>
      </c>
      <c r="M886">
        <v>10</v>
      </c>
      <c r="N886">
        <v>-1.2473751701236324</v>
      </c>
      <c r="O886">
        <v>71.789955798632661</v>
      </c>
      <c r="P886" s="1">
        <f t="shared" si="65"/>
        <v>3.0396628581364777</v>
      </c>
      <c r="Q886" s="1">
        <f t="shared" si="66"/>
        <v>0.45594942872047162</v>
      </c>
      <c r="R886" s="1">
        <f t="shared" si="67"/>
        <v>0.67524027480628823</v>
      </c>
      <c r="S886" s="1">
        <f t="shared" si="68"/>
        <v>1.630799853461558</v>
      </c>
      <c r="T886" s="56">
        <f t="shared" si="69"/>
        <v>0.94293420000402062</v>
      </c>
    </row>
    <row r="887" spans="1:20" x14ac:dyDescent="0.25">
      <c r="A887">
        <v>0.89098869942817671</v>
      </c>
      <c r="B887">
        <v>-0.15998807612049859</v>
      </c>
      <c r="D887">
        <v>0.8779004412634418</v>
      </c>
      <c r="E887">
        <v>1.9953797584548738</v>
      </c>
      <c r="J887">
        <v>20</v>
      </c>
      <c r="K887">
        <v>-1.4680779258924304E-2</v>
      </c>
      <c r="L887">
        <v>16.540792248744179</v>
      </c>
      <c r="M887">
        <v>10</v>
      </c>
      <c r="N887">
        <v>-1.7829980868100392</v>
      </c>
      <c r="O887">
        <v>202.44547113493843</v>
      </c>
      <c r="P887" s="1">
        <f t="shared" si="65"/>
        <v>7.8209379779886641</v>
      </c>
      <c r="Q887" s="1">
        <f t="shared" si="66"/>
        <v>1.1731406966982996</v>
      </c>
      <c r="R887" s="1">
        <f t="shared" si="67"/>
        <v>1.0831161972283028</v>
      </c>
      <c r="S887" s="1">
        <f t="shared" si="68"/>
        <v>1.6326201307636647</v>
      </c>
      <c r="T887" s="56">
        <f t="shared" si="69"/>
        <v>0.94312702234329893</v>
      </c>
    </row>
    <row r="888" spans="1:20" x14ac:dyDescent="0.25">
      <c r="A888">
        <v>0.89252969304232754</v>
      </c>
      <c r="B888">
        <v>-0.23292386686080135</v>
      </c>
      <c r="D888">
        <v>0.87795367825119752</v>
      </c>
      <c r="E888">
        <v>-0.82625479421949422</v>
      </c>
      <c r="J888">
        <v>20</v>
      </c>
      <c r="K888">
        <v>-0.29846370352970553</v>
      </c>
      <c r="L888">
        <v>8.0986445949677588</v>
      </c>
      <c r="M888">
        <v>10</v>
      </c>
      <c r="N888">
        <v>-1.2520650932401622</v>
      </c>
      <c r="O888">
        <v>54.15744873811218</v>
      </c>
      <c r="P888" s="1">
        <f t="shared" si="65"/>
        <v>2.223431904752855</v>
      </c>
      <c r="Q888" s="1">
        <f t="shared" si="66"/>
        <v>0.33351478571292825</v>
      </c>
      <c r="R888" s="1">
        <f t="shared" si="67"/>
        <v>0.57750739018035802</v>
      </c>
      <c r="S888" s="1">
        <f t="shared" si="68"/>
        <v>1.6512366870537241</v>
      </c>
      <c r="T888" s="56">
        <f t="shared" si="69"/>
        <v>0.9450681895890054</v>
      </c>
    </row>
    <row r="889" spans="1:20" x14ac:dyDescent="0.25">
      <c r="A889">
        <v>0.89268178315641544</v>
      </c>
      <c r="B889">
        <v>0.26947986953018699</v>
      </c>
      <c r="D889">
        <v>0.8803884134362655</v>
      </c>
      <c r="E889">
        <v>0.39052292436281277</v>
      </c>
      <c r="J889">
        <v>20</v>
      </c>
      <c r="K889">
        <v>0.19077953083979082</v>
      </c>
      <c r="L889">
        <v>16.171313468176908</v>
      </c>
      <c r="M889">
        <v>10</v>
      </c>
      <c r="N889">
        <v>-0.96904762244776066</v>
      </c>
      <c r="O889">
        <v>75.840888036571812</v>
      </c>
      <c r="P889" s="1">
        <f t="shared" si="65"/>
        <v>3.2861500537410255</v>
      </c>
      <c r="Q889" s="1">
        <f t="shared" si="66"/>
        <v>0.49292250806115379</v>
      </c>
      <c r="R889" s="1">
        <f t="shared" si="67"/>
        <v>0.70208440237706016</v>
      </c>
      <c r="S889" s="1">
        <f t="shared" si="68"/>
        <v>1.6519768127032921</v>
      </c>
      <c r="T889" s="56">
        <f t="shared" si="69"/>
        <v>0.94514420872206439</v>
      </c>
    </row>
    <row r="890" spans="1:20" x14ac:dyDescent="0.25">
      <c r="A890">
        <v>0.8934086596548203</v>
      </c>
      <c r="B890">
        <v>-0.40188979255617596</v>
      </c>
      <c r="D890">
        <v>0.88089751161525376</v>
      </c>
      <c r="E890">
        <v>-1.0868420793030964</v>
      </c>
      <c r="J890">
        <v>20</v>
      </c>
      <c r="K890">
        <v>-0.10322958132746862</v>
      </c>
      <c r="L890">
        <v>14.915486898966789</v>
      </c>
      <c r="M890">
        <v>10</v>
      </c>
      <c r="N890">
        <v>-1.0520689136228611</v>
      </c>
      <c r="O890">
        <v>46.546299914171492</v>
      </c>
      <c r="P890" s="1">
        <f t="shared" si="65"/>
        <v>2.1950638147549388</v>
      </c>
      <c r="Q890" s="1">
        <f t="shared" si="66"/>
        <v>0.32925957221324081</v>
      </c>
      <c r="R890" s="1">
        <f t="shared" si="67"/>
        <v>0.57381144308321419</v>
      </c>
      <c r="S890" s="1">
        <f t="shared" si="68"/>
        <v>1.6535733884933901</v>
      </c>
      <c r="T890" s="56">
        <f t="shared" si="69"/>
        <v>0.94530789637072343</v>
      </c>
    </row>
    <row r="891" spans="1:20" x14ac:dyDescent="0.25">
      <c r="A891">
        <v>0.8942438282154237</v>
      </c>
      <c r="B891">
        <v>-3.116438165307045</v>
      </c>
      <c r="D891">
        <v>0.88215263293481105</v>
      </c>
      <c r="E891">
        <v>0.93841276452621969</v>
      </c>
      <c r="J891">
        <v>20</v>
      </c>
      <c r="K891">
        <v>-0.20780464637937257</v>
      </c>
      <c r="L891">
        <v>29.977038191140391</v>
      </c>
      <c r="M891">
        <v>10</v>
      </c>
      <c r="N891">
        <v>-1.4544913290137629</v>
      </c>
      <c r="O891">
        <v>74.586297033466195</v>
      </c>
      <c r="P891" s="1">
        <f t="shared" si="65"/>
        <v>3.7344048294502352</v>
      </c>
      <c r="Q891" s="1">
        <f t="shared" si="66"/>
        <v>0.56016072441753528</v>
      </c>
      <c r="R891" s="1">
        <f t="shared" si="67"/>
        <v>0.74843885816914613</v>
      </c>
      <c r="S891" s="1">
        <f t="shared" si="68"/>
        <v>1.6657161356962051</v>
      </c>
      <c r="T891" s="56">
        <f t="shared" si="69"/>
        <v>0.94653954447023181</v>
      </c>
    </row>
    <row r="892" spans="1:20" x14ac:dyDescent="0.25">
      <c r="A892">
        <v>0.89498692026415638</v>
      </c>
      <c r="B892">
        <v>-0.475773731523077</v>
      </c>
      <c r="D892">
        <v>0.88253196847827309</v>
      </c>
      <c r="E892">
        <v>5.1099443646762666</v>
      </c>
      <c r="J892">
        <v>20</v>
      </c>
      <c r="K892">
        <v>0.21219966583885252</v>
      </c>
      <c r="L892">
        <v>19.87568160837311</v>
      </c>
      <c r="M892">
        <v>10</v>
      </c>
      <c r="N892">
        <v>-1.001118906742704</v>
      </c>
      <c r="O892">
        <v>78.583934131759619</v>
      </c>
      <c r="P892" s="1">
        <f t="shared" si="65"/>
        <v>3.5164148478618835</v>
      </c>
      <c r="Q892" s="1">
        <f t="shared" si="66"/>
        <v>0.52746222717928248</v>
      </c>
      <c r="R892" s="1">
        <f t="shared" si="67"/>
        <v>0.72626594796898092</v>
      </c>
      <c r="S892" s="1">
        <f t="shared" si="68"/>
        <v>1.6706257204741999</v>
      </c>
      <c r="T892" s="56">
        <f t="shared" si="69"/>
        <v>0.94703090882262708</v>
      </c>
    </row>
    <row r="893" spans="1:20" x14ac:dyDescent="0.25">
      <c r="A893">
        <v>0.89686580134653104</v>
      </c>
      <c r="B893">
        <v>-0.13539420251618139</v>
      </c>
      <c r="D893">
        <v>0.88418756810484123</v>
      </c>
      <c r="E893">
        <v>-3.8773002904690657</v>
      </c>
      <c r="J893">
        <v>20</v>
      </c>
      <c r="K893">
        <v>-0.23243529767569271</v>
      </c>
      <c r="L893">
        <v>14.882456117210733</v>
      </c>
      <c r="M893">
        <v>10</v>
      </c>
      <c r="N893">
        <v>-1.9593812828588852</v>
      </c>
      <c r="O893">
        <v>184.28953788933299</v>
      </c>
      <c r="P893" s="1">
        <f t="shared" si="65"/>
        <v>7.1132855002337037</v>
      </c>
      <c r="Q893" s="1">
        <f t="shared" si="66"/>
        <v>1.0669928250350555</v>
      </c>
      <c r="R893" s="1">
        <f t="shared" si="67"/>
        <v>1.0329534476611497</v>
      </c>
      <c r="S893" s="1">
        <f t="shared" si="68"/>
        <v>1.671852675542548</v>
      </c>
      <c r="T893" s="56">
        <f t="shared" si="69"/>
        <v>0.94715311442526917</v>
      </c>
    </row>
    <row r="894" spans="1:20" x14ac:dyDescent="0.25">
      <c r="A894">
        <v>0.89710782288853974</v>
      </c>
      <c r="B894">
        <v>0.8589040589868091</v>
      </c>
      <c r="D894">
        <v>0.88695796880468791</v>
      </c>
      <c r="E894">
        <v>0.9260459103188623</v>
      </c>
      <c r="J894">
        <v>20</v>
      </c>
      <c r="K894">
        <v>0.1222854848492716</v>
      </c>
      <c r="L894">
        <v>20.898749402340503</v>
      </c>
      <c r="M894">
        <v>10</v>
      </c>
      <c r="N894">
        <v>-1.5325798619869602</v>
      </c>
      <c r="O894">
        <v>159.23221440778403</v>
      </c>
      <c r="P894" s="1">
        <f t="shared" si="65"/>
        <v>6.4332487075044478</v>
      </c>
      <c r="Q894" s="1">
        <f t="shared" si="66"/>
        <v>0.96498730612566708</v>
      </c>
      <c r="R894" s="1">
        <f t="shared" si="67"/>
        <v>0.98233767418625817</v>
      </c>
      <c r="S894" s="1">
        <f t="shared" si="68"/>
        <v>1.684619647930206</v>
      </c>
      <c r="T894" s="56">
        <f t="shared" si="69"/>
        <v>0.94841077798280138</v>
      </c>
    </row>
    <row r="895" spans="1:20" x14ac:dyDescent="0.25">
      <c r="A895">
        <v>0.89769318155967881</v>
      </c>
      <c r="B895">
        <v>0.34861614039982669</v>
      </c>
      <c r="D895">
        <v>0.89184022623154213</v>
      </c>
      <c r="E895">
        <v>2.6693426173096668</v>
      </c>
      <c r="J895">
        <v>20</v>
      </c>
      <c r="K895">
        <v>0.19540630091796629</v>
      </c>
      <c r="L895">
        <v>18.685710976630418</v>
      </c>
      <c r="M895">
        <v>10</v>
      </c>
      <c r="N895">
        <v>-1.4818085708157014</v>
      </c>
      <c r="O895">
        <v>165.14097039531538</v>
      </c>
      <c r="P895" s="1">
        <f t="shared" si="65"/>
        <v>6.5652386204266353</v>
      </c>
      <c r="Q895" s="1">
        <f t="shared" si="66"/>
        <v>0.98478579306399527</v>
      </c>
      <c r="R895" s="1">
        <f t="shared" si="67"/>
        <v>0.99236374030090158</v>
      </c>
      <c r="S895" s="1">
        <f t="shared" si="68"/>
        <v>1.6901210751867128</v>
      </c>
      <c r="T895" s="56">
        <f t="shared" si="69"/>
        <v>0.94894493490149023</v>
      </c>
    </row>
    <row r="896" spans="1:20" x14ac:dyDescent="0.25">
      <c r="A896">
        <v>0.89799168045539879</v>
      </c>
      <c r="B896">
        <v>-0.71408749136026017</v>
      </c>
      <c r="D896">
        <v>0.89264125583815923</v>
      </c>
      <c r="E896">
        <v>2.8281949619213265</v>
      </c>
      <c r="J896">
        <v>20</v>
      </c>
      <c r="K896">
        <v>0.14382351309905061</v>
      </c>
      <c r="L896">
        <v>19.032995986282948</v>
      </c>
      <c r="M896">
        <v>10</v>
      </c>
      <c r="N896">
        <v>-0.99259068861101696</v>
      </c>
      <c r="O896">
        <v>65.038117408373154</v>
      </c>
      <c r="P896" s="1">
        <f t="shared" si="65"/>
        <v>3.0025397640948603</v>
      </c>
      <c r="Q896" s="1">
        <f t="shared" si="66"/>
        <v>0.45038096461422905</v>
      </c>
      <c r="R896" s="1">
        <f t="shared" si="67"/>
        <v>0.67110428743543948</v>
      </c>
      <c r="S896" s="1">
        <f t="shared" si="68"/>
        <v>1.6933496372862782</v>
      </c>
      <c r="T896" s="56">
        <f t="shared" si="69"/>
        <v>0.94925624387857765</v>
      </c>
    </row>
    <row r="897" spans="1:20" x14ac:dyDescent="0.25">
      <c r="A897">
        <v>0.89808299346963105</v>
      </c>
      <c r="B897">
        <v>0.68584085965994745</v>
      </c>
      <c r="D897">
        <v>0.89327449889644217</v>
      </c>
      <c r="E897">
        <v>3.6880289792406984</v>
      </c>
      <c r="J897">
        <v>20</v>
      </c>
      <c r="K897">
        <v>0.11658710263873218</v>
      </c>
      <c r="L897">
        <v>13.67282307629516</v>
      </c>
      <c r="M897">
        <v>10</v>
      </c>
      <c r="N897">
        <v>-1.4291611057615228</v>
      </c>
      <c r="O897">
        <v>135.39458316515206</v>
      </c>
      <c r="P897" s="1">
        <f t="shared" si="65"/>
        <v>5.3238359371945432</v>
      </c>
      <c r="Q897" s="1">
        <f t="shared" si="66"/>
        <v>0.79857539057918148</v>
      </c>
      <c r="R897" s="1">
        <f t="shared" si="67"/>
        <v>0.89363045526614715</v>
      </c>
      <c r="S897" s="1">
        <f t="shared" si="68"/>
        <v>1.7297398486042976</v>
      </c>
      <c r="T897" s="56">
        <f t="shared" si="69"/>
        <v>0.95265616685412913</v>
      </c>
    </row>
    <row r="898" spans="1:20" x14ac:dyDescent="0.25">
      <c r="A898">
        <v>0.89878621617825472</v>
      </c>
      <c r="B898">
        <v>-0.69282577896956354</v>
      </c>
      <c r="D898">
        <v>0.89371949127914063</v>
      </c>
      <c r="E898">
        <v>-8.8974109110040445</v>
      </c>
      <c r="J898">
        <v>20</v>
      </c>
      <c r="K898">
        <v>1.8350817754253512E-2</v>
      </c>
      <c r="L898">
        <v>15.59747895111995</v>
      </c>
      <c r="M898">
        <v>10</v>
      </c>
      <c r="N898">
        <v>-1.3031996138579416</v>
      </c>
      <c r="O898">
        <v>93.320693475271582</v>
      </c>
      <c r="P898" s="1">
        <f t="shared" ref="P898:P961" si="70">(L898+O898)/(J898+M898-2)</f>
        <v>3.8899347295139832</v>
      </c>
      <c r="Q898" s="1">
        <f t="shared" ref="Q898:Q961" si="71">P898*0.15</f>
        <v>0.58349020942709751</v>
      </c>
      <c r="R898" s="1">
        <f t="shared" ref="R898:R961" si="72">SQRT(Q898)</f>
        <v>0.76386530843277434</v>
      </c>
      <c r="S898" s="1">
        <f t="shared" ref="S898:S961" si="73">(K898-N898)/R898</f>
        <v>1.7300830617947891</v>
      </c>
      <c r="T898" s="56">
        <f t="shared" ref="T898:T961" si="74">_xlfn.T.DIST(S898,28,TRUE)</f>
        <v>0.95268729468214675</v>
      </c>
    </row>
    <row r="899" spans="1:20" x14ac:dyDescent="0.25">
      <c r="A899">
        <v>0.89977763464165972</v>
      </c>
      <c r="B899">
        <v>-3.9292444853344932E-2</v>
      </c>
      <c r="D899">
        <v>0.89521688693727108</v>
      </c>
      <c r="E899">
        <v>-5.9629808254157979</v>
      </c>
      <c r="J899">
        <v>20</v>
      </c>
      <c r="K899">
        <v>-0.15678551790188067</v>
      </c>
      <c r="L899">
        <v>17.573177247028326</v>
      </c>
      <c r="M899">
        <v>10</v>
      </c>
      <c r="N899">
        <v>-1.1205920634438371</v>
      </c>
      <c r="O899">
        <v>38.445120045741312</v>
      </c>
      <c r="P899" s="1">
        <f t="shared" si="70"/>
        <v>2.0006534747417728</v>
      </c>
      <c r="Q899" s="1">
        <f t="shared" si="71"/>
        <v>0.30009802121126589</v>
      </c>
      <c r="R899" s="1">
        <f t="shared" si="72"/>
        <v>0.54781203091139385</v>
      </c>
      <c r="S899" s="1">
        <f t="shared" si="73"/>
        <v>1.7593745503151388</v>
      </c>
      <c r="T899" s="56">
        <f t="shared" si="74"/>
        <v>0.95528089773427116</v>
      </c>
    </row>
    <row r="900" spans="1:20" x14ac:dyDescent="0.25">
      <c r="A900">
        <v>0.90236239759219661</v>
      </c>
      <c r="B900">
        <v>0.52801169658778235</v>
      </c>
      <c r="D900">
        <v>0.89561531771623026</v>
      </c>
      <c r="E900">
        <v>-1.1682225283493608</v>
      </c>
      <c r="J900">
        <v>20</v>
      </c>
      <c r="K900">
        <v>0.35554637634049868</v>
      </c>
      <c r="L900">
        <v>22.310671929971118</v>
      </c>
      <c r="M900">
        <v>10</v>
      </c>
      <c r="N900">
        <v>-0.83186558072156913</v>
      </c>
      <c r="O900">
        <v>62.562897809944367</v>
      </c>
      <c r="P900" s="1">
        <f t="shared" si="70"/>
        <v>3.0311989192826956</v>
      </c>
      <c r="Q900" s="1">
        <f t="shared" si="71"/>
        <v>0.45467983789240429</v>
      </c>
      <c r="R900" s="1">
        <f t="shared" si="72"/>
        <v>0.67429951645570996</v>
      </c>
      <c r="S900" s="1">
        <f t="shared" si="73"/>
        <v>1.7609562636251137</v>
      </c>
      <c r="T900" s="56">
        <f t="shared" si="74"/>
        <v>0.95541744877220391</v>
      </c>
    </row>
    <row r="901" spans="1:20" x14ac:dyDescent="0.25">
      <c r="A901">
        <v>0.90259594323842718</v>
      </c>
      <c r="B901">
        <v>-0.61994342104298994</v>
      </c>
      <c r="D901">
        <v>0.89570729464908294</v>
      </c>
      <c r="E901">
        <v>1.6552810359371506</v>
      </c>
      <c r="J901">
        <v>20</v>
      </c>
      <c r="K901">
        <v>0.13135405652064946</v>
      </c>
      <c r="L901">
        <v>20.300523300814756</v>
      </c>
      <c r="M901">
        <v>10</v>
      </c>
      <c r="N901">
        <v>-1.2421869575973687</v>
      </c>
      <c r="O901">
        <v>89.944336807358908</v>
      </c>
      <c r="P901" s="1">
        <f t="shared" si="70"/>
        <v>3.9373164324347738</v>
      </c>
      <c r="Q901" s="1">
        <f t="shared" si="71"/>
        <v>0.59059746486521603</v>
      </c>
      <c r="R901" s="1">
        <f t="shared" si="72"/>
        <v>0.76850339287814207</v>
      </c>
      <c r="S901" s="1">
        <f t="shared" si="73"/>
        <v>1.7872933637598321</v>
      </c>
      <c r="T901" s="56">
        <f t="shared" si="74"/>
        <v>0.95763961968341149</v>
      </c>
    </row>
    <row r="902" spans="1:20" x14ac:dyDescent="0.25">
      <c r="A902">
        <v>0.90372272023856959</v>
      </c>
      <c r="B902">
        <v>-1.0406370165583212</v>
      </c>
      <c r="D902">
        <v>0.89695640089368245</v>
      </c>
      <c r="E902">
        <v>5.3388096114304062</v>
      </c>
      <c r="J902">
        <v>20</v>
      </c>
      <c r="K902">
        <v>-0.16866613350430271</v>
      </c>
      <c r="L902">
        <v>14.147043071245093</v>
      </c>
      <c r="M902">
        <v>10</v>
      </c>
      <c r="N902">
        <v>-1.8559915167770669</v>
      </c>
      <c r="O902">
        <v>147.99619231699347</v>
      </c>
      <c r="P902" s="1">
        <f t="shared" si="70"/>
        <v>5.7908298352942342</v>
      </c>
      <c r="Q902" s="1">
        <f t="shared" si="71"/>
        <v>0.86862447529413511</v>
      </c>
      <c r="R902" s="1">
        <f t="shared" si="72"/>
        <v>0.93200025498608907</v>
      </c>
      <c r="S902" s="1">
        <f t="shared" si="73"/>
        <v>1.810434465275923</v>
      </c>
      <c r="T902" s="56">
        <f t="shared" si="74"/>
        <v>0.95951350495201337</v>
      </c>
    </row>
    <row r="903" spans="1:20" x14ac:dyDescent="0.25">
      <c r="A903">
        <v>0.9049977429857855</v>
      </c>
      <c r="B903">
        <v>-0.76681772043230012</v>
      </c>
      <c r="D903">
        <v>0.89780588989089638</v>
      </c>
      <c r="E903">
        <v>3.8607488443176408</v>
      </c>
      <c r="J903">
        <v>20</v>
      </c>
      <c r="K903">
        <v>-0.14760951216885587</v>
      </c>
      <c r="L903">
        <v>24.504415407511704</v>
      </c>
      <c r="M903">
        <v>10</v>
      </c>
      <c r="N903">
        <v>-1.2821722100397892</v>
      </c>
      <c r="O903">
        <v>47.401602332045648</v>
      </c>
      <c r="P903" s="1">
        <f t="shared" si="70"/>
        <v>2.5680720621270483</v>
      </c>
      <c r="Q903" s="1">
        <f t="shared" si="71"/>
        <v>0.38521080931905721</v>
      </c>
      <c r="R903" s="1">
        <f t="shared" si="72"/>
        <v>0.62065353404218782</v>
      </c>
      <c r="S903" s="1">
        <f t="shared" si="73"/>
        <v>1.8280129502876776</v>
      </c>
      <c r="T903" s="56">
        <f t="shared" si="74"/>
        <v>0.96088912649382741</v>
      </c>
    </row>
    <row r="904" spans="1:20" x14ac:dyDescent="0.25">
      <c r="A904">
        <v>0.90724950822260986</v>
      </c>
      <c r="B904">
        <v>0.2259344000776764</v>
      </c>
      <c r="D904">
        <v>0.8990746914242701</v>
      </c>
      <c r="E904">
        <v>-5.6875403549838666</v>
      </c>
      <c r="J904">
        <v>20</v>
      </c>
      <c r="K904">
        <v>0.20160121039225487</v>
      </c>
      <c r="L904">
        <v>9.6269714721368445</v>
      </c>
      <c r="M904">
        <v>10</v>
      </c>
      <c r="N904">
        <v>-0.99625095003830211</v>
      </c>
      <c r="O904">
        <v>69.678011992224626</v>
      </c>
      <c r="P904" s="1">
        <f t="shared" si="70"/>
        <v>2.8323208380129095</v>
      </c>
      <c r="Q904" s="1">
        <f t="shared" si="71"/>
        <v>0.42484812570193642</v>
      </c>
      <c r="R904" s="1">
        <f t="shared" si="72"/>
        <v>0.65180374784281225</v>
      </c>
      <c r="S904" s="1">
        <f t="shared" si="73"/>
        <v>1.8377497281887809</v>
      </c>
      <c r="T904" s="56">
        <f t="shared" si="74"/>
        <v>0.96163368789273107</v>
      </c>
    </row>
    <row r="905" spans="1:20" x14ac:dyDescent="0.25">
      <c r="A905">
        <v>0.90884757747143208</v>
      </c>
      <c r="B905">
        <v>-1.8258469935972244</v>
      </c>
      <c r="D905">
        <v>0.90003387893005382</v>
      </c>
      <c r="E905">
        <v>-3.4611791795668978</v>
      </c>
      <c r="J905">
        <v>20</v>
      </c>
      <c r="K905">
        <v>0.14496322364720982</v>
      </c>
      <c r="L905">
        <v>16.090567896078262</v>
      </c>
      <c r="M905">
        <v>10</v>
      </c>
      <c r="N905">
        <v>-1.1510538831771555</v>
      </c>
      <c r="O905">
        <v>76.556098270562316</v>
      </c>
      <c r="P905" s="1">
        <f t="shared" si="70"/>
        <v>3.3088095059514493</v>
      </c>
      <c r="Q905" s="1">
        <f t="shared" si="71"/>
        <v>0.49632142589271738</v>
      </c>
      <c r="R905" s="1">
        <f t="shared" si="72"/>
        <v>0.70450083455785728</v>
      </c>
      <c r="S905" s="1">
        <f t="shared" si="73"/>
        <v>1.839624657986022</v>
      </c>
      <c r="T905" s="56">
        <f t="shared" si="74"/>
        <v>0.9617756549578802</v>
      </c>
    </row>
    <row r="906" spans="1:20" x14ac:dyDescent="0.25">
      <c r="A906">
        <v>0.91124953540383224</v>
      </c>
      <c r="B906">
        <v>0.31683953238825779</v>
      </c>
      <c r="D906">
        <v>0.90267004102453574</v>
      </c>
      <c r="E906">
        <v>-4.7343853600523289</v>
      </c>
      <c r="J906">
        <v>20</v>
      </c>
      <c r="K906">
        <v>5.3900066632195376E-2</v>
      </c>
      <c r="L906">
        <v>21.676916707667001</v>
      </c>
      <c r="M906">
        <v>10</v>
      </c>
      <c r="N906">
        <v>-1.3724076131893526</v>
      </c>
      <c r="O906">
        <v>87.916368061211941</v>
      </c>
      <c r="P906" s="1">
        <f t="shared" si="70"/>
        <v>3.9140458846028197</v>
      </c>
      <c r="Q906" s="1">
        <f t="shared" si="71"/>
        <v>0.58710688269042288</v>
      </c>
      <c r="R906" s="1">
        <f t="shared" si="72"/>
        <v>0.76622900146785289</v>
      </c>
      <c r="S906" s="1">
        <f t="shared" si="73"/>
        <v>1.8614639710702579</v>
      </c>
      <c r="T906" s="56">
        <f t="shared" si="74"/>
        <v>0.9633963015356467</v>
      </c>
    </row>
    <row r="907" spans="1:20" x14ac:dyDescent="0.25">
      <c r="A907">
        <v>0.91280406960814753</v>
      </c>
      <c r="B907">
        <v>-4.8939909902401268E-2</v>
      </c>
      <c r="D907">
        <v>0.90334141647048971</v>
      </c>
      <c r="E907">
        <v>1.8238331415432185</v>
      </c>
      <c r="J907">
        <v>20</v>
      </c>
      <c r="K907">
        <v>0.17347235825582175</v>
      </c>
      <c r="L907">
        <v>19.287466533591793</v>
      </c>
      <c r="M907">
        <v>10</v>
      </c>
      <c r="N907">
        <v>-1.268560143898867</v>
      </c>
      <c r="O907">
        <v>92.52501674221962</v>
      </c>
      <c r="P907" s="1">
        <f t="shared" si="70"/>
        <v>3.9933029741361219</v>
      </c>
      <c r="Q907" s="1">
        <f t="shared" si="71"/>
        <v>0.59899544612041822</v>
      </c>
      <c r="R907" s="1">
        <f t="shared" si="72"/>
        <v>0.77394796086068873</v>
      </c>
      <c r="S907" s="1">
        <f t="shared" si="73"/>
        <v>1.8632163595999909</v>
      </c>
      <c r="T907" s="56">
        <f t="shared" si="74"/>
        <v>0.96352373704927385</v>
      </c>
    </row>
    <row r="908" spans="1:20" x14ac:dyDescent="0.25">
      <c r="A908">
        <v>0.91295230954073059</v>
      </c>
      <c r="B908">
        <v>0.71497652243124321</v>
      </c>
      <c r="D908">
        <v>0.90663044183001273</v>
      </c>
      <c r="E908">
        <v>4.5586268663555529</v>
      </c>
      <c r="J908">
        <v>20</v>
      </c>
      <c r="K908">
        <v>-4.1966359276557341E-3</v>
      </c>
      <c r="L908">
        <v>27.223347376634187</v>
      </c>
      <c r="M908">
        <v>10</v>
      </c>
      <c r="N908">
        <v>-1.3532846912767127</v>
      </c>
      <c r="O908">
        <v>70.142778630611915</v>
      </c>
      <c r="P908" s="1">
        <f t="shared" si="70"/>
        <v>3.4773616431159318</v>
      </c>
      <c r="Q908" s="1">
        <f t="shared" si="71"/>
        <v>0.52160424646738979</v>
      </c>
      <c r="R908" s="1">
        <f t="shared" si="72"/>
        <v>0.72222174328068367</v>
      </c>
      <c r="S908" s="1">
        <f t="shared" si="73"/>
        <v>1.867969315380676</v>
      </c>
      <c r="T908" s="56">
        <f t="shared" si="74"/>
        <v>0.96386745211173708</v>
      </c>
    </row>
    <row r="909" spans="1:20" x14ac:dyDescent="0.25">
      <c r="A909">
        <v>0.91316010701366712</v>
      </c>
      <c r="B909">
        <v>0.31041054171510041</v>
      </c>
      <c r="D909">
        <v>0.90731166682278797</v>
      </c>
      <c r="E909">
        <v>1.533617929680986</v>
      </c>
      <c r="J909">
        <v>20</v>
      </c>
      <c r="K909">
        <v>-6.4476296302018454E-2</v>
      </c>
      <c r="L909">
        <v>31.711309331951686</v>
      </c>
      <c r="M909">
        <v>10</v>
      </c>
      <c r="N909">
        <v>-1.5748918292501912</v>
      </c>
      <c r="O909">
        <v>89.810734994201795</v>
      </c>
      <c r="P909" s="1">
        <f t="shared" si="70"/>
        <v>4.3400730116483386</v>
      </c>
      <c r="Q909" s="1">
        <f t="shared" si="71"/>
        <v>0.65101095174725077</v>
      </c>
      <c r="R909" s="1">
        <f t="shared" si="72"/>
        <v>0.8068524968959635</v>
      </c>
      <c r="S909" s="1">
        <f t="shared" si="73"/>
        <v>1.871984704464424</v>
      </c>
      <c r="T909" s="56">
        <f t="shared" si="74"/>
        <v>0.96415564743341198</v>
      </c>
    </row>
    <row r="910" spans="1:20" x14ac:dyDescent="0.25">
      <c r="A910">
        <v>0.91374934148408216</v>
      </c>
      <c r="B910">
        <v>-0.34666527426452376</v>
      </c>
      <c r="D910">
        <v>0.90850974066477708</v>
      </c>
      <c r="E910">
        <v>0.18966215634463879</v>
      </c>
      <c r="J910">
        <v>20</v>
      </c>
      <c r="K910">
        <v>-0.12092766610294348</v>
      </c>
      <c r="L910">
        <v>15.789584123123792</v>
      </c>
      <c r="M910">
        <v>10</v>
      </c>
      <c r="N910">
        <v>-1.9012758264125296</v>
      </c>
      <c r="O910">
        <v>152.25241629358931</v>
      </c>
      <c r="P910" s="1">
        <f t="shared" si="70"/>
        <v>6.0015000148826108</v>
      </c>
      <c r="Q910" s="1">
        <f t="shared" si="71"/>
        <v>0.90022500223239155</v>
      </c>
      <c r="R910" s="1">
        <f t="shared" si="72"/>
        <v>0.94880187722853471</v>
      </c>
      <c r="S910" s="1">
        <f t="shared" si="73"/>
        <v>1.876417198403961</v>
      </c>
      <c r="T910" s="56">
        <f t="shared" si="74"/>
        <v>0.96447147235515407</v>
      </c>
    </row>
    <row r="911" spans="1:20" x14ac:dyDescent="0.25">
      <c r="A911">
        <v>0.91420610104099698</v>
      </c>
      <c r="B911">
        <v>-1.8086984709952958</v>
      </c>
      <c r="D911">
        <v>0.91056090200482342</v>
      </c>
      <c r="E911">
        <v>-2.4527996663437079</v>
      </c>
      <c r="J911">
        <v>20</v>
      </c>
      <c r="K911">
        <v>3.9576889321324416E-2</v>
      </c>
      <c r="L911">
        <v>17.744416049367327</v>
      </c>
      <c r="M911">
        <v>10</v>
      </c>
      <c r="N911">
        <v>-1.3885486430353922</v>
      </c>
      <c r="O911">
        <v>89.945735371826927</v>
      </c>
      <c r="P911" s="1">
        <f t="shared" si="70"/>
        <v>3.8460768364712234</v>
      </c>
      <c r="Q911" s="1">
        <f t="shared" si="71"/>
        <v>0.57691152547068347</v>
      </c>
      <c r="R911" s="1">
        <f t="shared" si="72"/>
        <v>0.75954692117780553</v>
      </c>
      <c r="S911" s="1">
        <f t="shared" si="73"/>
        <v>1.8802334556792979</v>
      </c>
      <c r="T911" s="56">
        <f t="shared" si="74"/>
        <v>0.9647414598580234</v>
      </c>
    </row>
    <row r="912" spans="1:20" x14ac:dyDescent="0.25">
      <c r="A912">
        <v>0.91445291719417277</v>
      </c>
      <c r="B912">
        <v>0.42078909245901741</v>
      </c>
      <c r="D912">
        <v>0.91103154882461579</v>
      </c>
      <c r="E912">
        <v>1.0374976648108714</v>
      </c>
      <c r="J912">
        <v>20</v>
      </c>
      <c r="K912">
        <v>-6.0740546814486152E-2</v>
      </c>
      <c r="L912">
        <v>13.171930202076055</v>
      </c>
      <c r="M912">
        <v>10</v>
      </c>
      <c r="N912">
        <v>-1.7204056382524868</v>
      </c>
      <c r="O912">
        <v>131.91537267688761</v>
      </c>
      <c r="P912" s="1">
        <f t="shared" si="70"/>
        <v>5.1816893885344166</v>
      </c>
      <c r="Q912" s="1">
        <f t="shared" si="71"/>
        <v>0.77725340828016243</v>
      </c>
      <c r="R912" s="1">
        <f t="shared" si="72"/>
        <v>0.88161976400269204</v>
      </c>
      <c r="S912" s="1">
        <f t="shared" si="73"/>
        <v>1.8825180187690675</v>
      </c>
      <c r="T912" s="56">
        <f t="shared" si="74"/>
        <v>0.96490223485784632</v>
      </c>
    </row>
    <row r="913" spans="1:20" x14ac:dyDescent="0.25">
      <c r="A913">
        <v>0.91756653515069775</v>
      </c>
      <c r="B913">
        <v>-0.45353090172284283</v>
      </c>
      <c r="D913">
        <v>0.91176296639117493</v>
      </c>
      <c r="E913">
        <v>-1.001143804160165</v>
      </c>
      <c r="J913">
        <v>20</v>
      </c>
      <c r="K913">
        <v>-0.10896377489189035</v>
      </c>
      <c r="L913">
        <v>14.606752495706168</v>
      </c>
      <c r="M913">
        <v>10</v>
      </c>
      <c r="N913">
        <v>-1.575317472770621</v>
      </c>
      <c r="O913">
        <v>98.584290577268249</v>
      </c>
      <c r="P913" s="1">
        <f t="shared" si="70"/>
        <v>4.0425372526062295</v>
      </c>
      <c r="Q913" s="1">
        <f t="shared" si="71"/>
        <v>0.60638058789093441</v>
      </c>
      <c r="R913" s="1">
        <f t="shared" si="72"/>
        <v>0.77870442909420667</v>
      </c>
      <c r="S913" s="1">
        <f t="shared" si="73"/>
        <v>1.8830683929516125</v>
      </c>
      <c r="T913" s="56">
        <f t="shared" si="74"/>
        <v>0.96494087226595371</v>
      </c>
    </row>
    <row r="914" spans="1:20" x14ac:dyDescent="0.25">
      <c r="A914">
        <v>0.91767974668355468</v>
      </c>
      <c r="B914">
        <v>0.45081947064318229</v>
      </c>
      <c r="D914">
        <v>0.91356721100667559</v>
      </c>
      <c r="E914">
        <v>5.972936602347545</v>
      </c>
      <c r="J914">
        <v>20</v>
      </c>
      <c r="K914">
        <v>0.25434025019421824</v>
      </c>
      <c r="L914">
        <v>17.860091438424025</v>
      </c>
      <c r="M914">
        <v>10</v>
      </c>
      <c r="N914">
        <v>-1.1450993076778104</v>
      </c>
      <c r="O914">
        <v>85.080081790329473</v>
      </c>
      <c r="P914" s="1">
        <f t="shared" si="70"/>
        <v>3.6764347581697678</v>
      </c>
      <c r="Q914" s="1">
        <f t="shared" si="71"/>
        <v>0.5514652137254652</v>
      </c>
      <c r="R914" s="1">
        <f t="shared" si="72"/>
        <v>0.74260703856445176</v>
      </c>
      <c r="S914" s="1">
        <f t="shared" si="73"/>
        <v>1.8844954130482157</v>
      </c>
      <c r="T914" s="56">
        <f t="shared" si="74"/>
        <v>0.96504088072114902</v>
      </c>
    </row>
    <row r="915" spans="1:20" x14ac:dyDescent="0.25">
      <c r="A915">
        <v>0.91788512891536334</v>
      </c>
      <c r="B915">
        <v>3.4447111829649657E-4</v>
      </c>
      <c r="D915">
        <v>0.91514681676439669</v>
      </c>
      <c r="E915">
        <v>-3.9151784710611537</v>
      </c>
      <c r="J915">
        <v>20</v>
      </c>
      <c r="K915">
        <v>0.33354251627315534</v>
      </c>
      <c r="L915">
        <v>15.344592358252527</v>
      </c>
      <c r="M915">
        <v>10</v>
      </c>
      <c r="N915">
        <v>-1.0957423944546463</v>
      </c>
      <c r="O915">
        <v>91.690155933163737</v>
      </c>
      <c r="P915" s="1">
        <f t="shared" si="70"/>
        <v>3.822669581836295</v>
      </c>
      <c r="Q915" s="1">
        <f t="shared" si="71"/>
        <v>0.57340043727544421</v>
      </c>
      <c r="R915" s="1">
        <f t="shared" si="72"/>
        <v>0.75723208943853149</v>
      </c>
      <c r="S915" s="1">
        <f t="shared" si="73"/>
        <v>1.8875123369211417</v>
      </c>
      <c r="T915" s="56">
        <f t="shared" si="74"/>
        <v>0.96525150068413645</v>
      </c>
    </row>
    <row r="916" spans="1:20" x14ac:dyDescent="0.25">
      <c r="A916">
        <v>0.91814952414093487</v>
      </c>
      <c r="B916">
        <v>-0.81088501246995293</v>
      </c>
      <c r="D916">
        <v>0.9151801283027392</v>
      </c>
      <c r="E916">
        <v>-0.87804142253844475</v>
      </c>
      <c r="J916">
        <v>20</v>
      </c>
      <c r="K916">
        <v>-6.4960033796523931E-2</v>
      </c>
      <c r="L916">
        <v>11.425008728726199</v>
      </c>
      <c r="M916">
        <v>10</v>
      </c>
      <c r="N916">
        <v>-1.1300844596462412</v>
      </c>
      <c r="O916">
        <v>47.764294165450814</v>
      </c>
      <c r="P916" s="1">
        <f t="shared" si="70"/>
        <v>2.1139036747920361</v>
      </c>
      <c r="Q916" s="1">
        <f t="shared" si="71"/>
        <v>0.31708555121880538</v>
      </c>
      <c r="R916" s="1">
        <f t="shared" si="72"/>
        <v>0.56310349956185268</v>
      </c>
      <c r="S916" s="1">
        <f t="shared" si="73"/>
        <v>1.8915251400115323</v>
      </c>
      <c r="T916" s="56">
        <f t="shared" si="74"/>
        <v>0.96552994331798214</v>
      </c>
    </row>
    <row r="917" spans="1:20" x14ac:dyDescent="0.25">
      <c r="A917">
        <v>0.91885406073644005</v>
      </c>
      <c r="B917">
        <v>1.4986062524258159</v>
      </c>
      <c r="D917">
        <v>0.91635124153696734</v>
      </c>
      <c r="E917">
        <v>-3.3581652621705871</v>
      </c>
      <c r="J917">
        <v>20</v>
      </c>
      <c r="K917">
        <v>0.34217703159811208</v>
      </c>
      <c r="L917">
        <v>41.893883400650871</v>
      </c>
      <c r="M917">
        <v>10</v>
      </c>
      <c r="N917">
        <v>-1.1894712804405572</v>
      </c>
      <c r="O917">
        <v>79.290202268898739</v>
      </c>
      <c r="P917" s="1">
        <f t="shared" si="70"/>
        <v>4.3280030596267718</v>
      </c>
      <c r="Q917" s="1">
        <f t="shared" si="71"/>
        <v>0.64920045894401579</v>
      </c>
      <c r="R917" s="1">
        <f t="shared" si="72"/>
        <v>0.80572976793960871</v>
      </c>
      <c r="S917" s="1">
        <f t="shared" si="73"/>
        <v>1.9009454198960039</v>
      </c>
      <c r="T917" s="56">
        <f t="shared" si="74"/>
        <v>0.96617602119743018</v>
      </c>
    </row>
    <row r="918" spans="1:20" x14ac:dyDescent="0.25">
      <c r="A918">
        <v>0.91912911024716915</v>
      </c>
      <c r="B918">
        <v>0.58345449360786006</v>
      </c>
      <c r="D918">
        <v>0.91781771306047799</v>
      </c>
      <c r="E918">
        <v>-1.8085431781855732</v>
      </c>
      <c r="J918">
        <v>20</v>
      </c>
      <c r="K918">
        <v>0.11843758329632692</v>
      </c>
      <c r="L918">
        <v>14.199491644278634</v>
      </c>
      <c r="M918">
        <v>10</v>
      </c>
      <c r="N918">
        <v>-1.2891086987565359</v>
      </c>
      <c r="O918">
        <v>88.033800030027393</v>
      </c>
      <c r="P918" s="1">
        <f t="shared" si="70"/>
        <v>3.6511889883680726</v>
      </c>
      <c r="Q918" s="1">
        <f t="shared" si="71"/>
        <v>0.54767834825521089</v>
      </c>
      <c r="R918" s="1">
        <f t="shared" si="72"/>
        <v>0.74005293611687728</v>
      </c>
      <c r="S918" s="1">
        <f t="shared" si="73"/>
        <v>1.9019535135396959</v>
      </c>
      <c r="T918" s="56">
        <f t="shared" si="74"/>
        <v>0.96624453417388478</v>
      </c>
    </row>
    <row r="919" spans="1:20" x14ac:dyDescent="0.25">
      <c r="A919">
        <v>0.92112701893505111</v>
      </c>
      <c r="B919">
        <v>-0.25080453269765712</v>
      </c>
      <c r="D919">
        <v>0.91854469348129353</v>
      </c>
      <c r="E919">
        <v>-2.1017119740918133</v>
      </c>
      <c r="J919">
        <v>20</v>
      </c>
      <c r="K919">
        <v>4.2928434140776517E-2</v>
      </c>
      <c r="L919">
        <v>9.9564042588203581</v>
      </c>
      <c r="M919">
        <v>10</v>
      </c>
      <c r="N919">
        <v>-1.249420510021082</v>
      </c>
      <c r="O919">
        <v>74.938079903189674</v>
      </c>
      <c r="P919" s="1">
        <f t="shared" si="70"/>
        <v>3.0319458629289295</v>
      </c>
      <c r="Q919" s="1">
        <f t="shared" si="71"/>
        <v>0.45479187943933941</v>
      </c>
      <c r="R919" s="1">
        <f t="shared" si="72"/>
        <v>0.6743825912932061</v>
      </c>
      <c r="S919" s="1">
        <f t="shared" si="73"/>
        <v>1.9163438689655836</v>
      </c>
      <c r="T919" s="56">
        <f t="shared" si="74"/>
        <v>0.96720949840485615</v>
      </c>
    </row>
    <row r="920" spans="1:20" x14ac:dyDescent="0.25">
      <c r="A920">
        <v>0.92120201162143689</v>
      </c>
      <c r="B920">
        <v>-1.0176427167607471</v>
      </c>
      <c r="D920">
        <v>0.91861136478407868</v>
      </c>
      <c r="E920">
        <v>-1.7863060327272251</v>
      </c>
      <c r="J920">
        <v>20</v>
      </c>
      <c r="K920">
        <v>-0.26703366984293098</v>
      </c>
      <c r="L920">
        <v>16.35069960160336</v>
      </c>
      <c r="M920">
        <v>10</v>
      </c>
      <c r="N920">
        <v>-1.5529479958331649</v>
      </c>
      <c r="O920">
        <v>67.662247359732717</v>
      </c>
      <c r="P920" s="1">
        <f t="shared" si="70"/>
        <v>3.000462391476288</v>
      </c>
      <c r="Q920" s="1">
        <f t="shared" si="71"/>
        <v>0.45006935872144316</v>
      </c>
      <c r="R920" s="1">
        <f t="shared" si="72"/>
        <v>0.6708720881967315</v>
      </c>
      <c r="S920" s="1">
        <f t="shared" si="73"/>
        <v>1.9167801859914955</v>
      </c>
      <c r="T920" s="56">
        <f t="shared" si="74"/>
        <v>0.96723837804104018</v>
      </c>
    </row>
    <row r="921" spans="1:20" x14ac:dyDescent="0.25">
      <c r="A921">
        <v>0.92335966848258033</v>
      </c>
      <c r="B921">
        <v>-0.35365928852115758</v>
      </c>
      <c r="D921">
        <v>0.91886678061620575</v>
      </c>
      <c r="E921">
        <v>4.2064477804615308</v>
      </c>
      <c r="J921">
        <v>20</v>
      </c>
      <c r="K921">
        <v>0.1579853687871946</v>
      </c>
      <c r="L921">
        <v>21.898958330529403</v>
      </c>
      <c r="M921">
        <v>10</v>
      </c>
      <c r="N921">
        <v>-1.6104334042665869</v>
      </c>
      <c r="O921">
        <v>134.06755775083928</v>
      </c>
      <c r="P921" s="1">
        <f t="shared" si="70"/>
        <v>5.5702327171917387</v>
      </c>
      <c r="Q921" s="1">
        <f t="shared" si="71"/>
        <v>0.83553490757876081</v>
      </c>
      <c r="R921" s="1">
        <f t="shared" si="72"/>
        <v>0.91407598567009773</v>
      </c>
      <c r="S921" s="1">
        <f t="shared" si="73"/>
        <v>1.9346518241121669</v>
      </c>
      <c r="T921" s="56">
        <f t="shared" si="74"/>
        <v>0.96840244709624523</v>
      </c>
    </row>
    <row r="922" spans="1:20" x14ac:dyDescent="0.25">
      <c r="A922">
        <v>0.92569523171996348</v>
      </c>
      <c r="B922">
        <v>-0.5142544523550896</v>
      </c>
      <c r="D922">
        <v>0.92016434526366575</v>
      </c>
      <c r="E922">
        <v>-0.87304147541544808</v>
      </c>
      <c r="J922">
        <v>20</v>
      </c>
      <c r="K922">
        <v>-0.25991369057010161</v>
      </c>
      <c r="L922">
        <v>18.531678923636321</v>
      </c>
      <c r="M922">
        <v>10</v>
      </c>
      <c r="N922">
        <v>-1.6778191172761581</v>
      </c>
      <c r="O922">
        <v>80.283084318308426</v>
      </c>
      <c r="P922" s="1">
        <f t="shared" si="70"/>
        <v>3.5290986872123122</v>
      </c>
      <c r="Q922" s="1">
        <f t="shared" si="71"/>
        <v>0.52936480308184686</v>
      </c>
      <c r="R922" s="1">
        <f t="shared" si="72"/>
        <v>0.72757460310393385</v>
      </c>
      <c r="S922" s="1">
        <f t="shared" si="73"/>
        <v>1.9488110506566281</v>
      </c>
      <c r="T922" s="56">
        <f t="shared" si="74"/>
        <v>0.96929896688290118</v>
      </c>
    </row>
    <row r="923" spans="1:20" x14ac:dyDescent="0.25">
      <c r="A923">
        <v>0.92620730199432244</v>
      </c>
      <c r="B923">
        <v>-0.16146032066899352</v>
      </c>
      <c r="D923">
        <v>0.92039424562533612</v>
      </c>
      <c r="E923">
        <v>1.1228958067022177</v>
      </c>
      <c r="J923">
        <v>20</v>
      </c>
      <c r="K923">
        <v>0.34590078712426475</v>
      </c>
      <c r="L923">
        <v>18.841827181665973</v>
      </c>
      <c r="M923">
        <v>10</v>
      </c>
      <c r="N923">
        <v>-1.2791568940428988</v>
      </c>
      <c r="O923">
        <v>108.52345439887964</v>
      </c>
      <c r="P923" s="1">
        <f t="shared" si="70"/>
        <v>4.5487600564480575</v>
      </c>
      <c r="Q923" s="1">
        <f t="shared" si="71"/>
        <v>0.68231400846720858</v>
      </c>
      <c r="R923" s="1">
        <f t="shared" si="72"/>
        <v>0.82602300722631727</v>
      </c>
      <c r="S923" s="1">
        <f t="shared" si="73"/>
        <v>1.9673273830760545</v>
      </c>
      <c r="T923" s="56">
        <f t="shared" si="74"/>
        <v>0.97043781451785971</v>
      </c>
    </row>
    <row r="924" spans="1:20" x14ac:dyDescent="0.25">
      <c r="A924">
        <v>0.92655190600437598</v>
      </c>
      <c r="B924">
        <v>1.6965304894256406</v>
      </c>
      <c r="D924">
        <v>0.92094836534393654</v>
      </c>
      <c r="E924">
        <v>2.1380249074809399</v>
      </c>
      <c r="J924">
        <v>20</v>
      </c>
      <c r="K924">
        <v>0.44126056764071109</v>
      </c>
      <c r="L924">
        <v>20.079052536232179</v>
      </c>
      <c r="M924">
        <v>10</v>
      </c>
      <c r="N924">
        <v>-0.91472145754778467</v>
      </c>
      <c r="O924">
        <v>68.381252773860055</v>
      </c>
      <c r="P924" s="1">
        <f t="shared" si="70"/>
        <v>3.1592966182175801</v>
      </c>
      <c r="Q924" s="1">
        <f t="shared" si="71"/>
        <v>0.47389449273263701</v>
      </c>
      <c r="R924" s="1">
        <f t="shared" si="72"/>
        <v>0.68839995114223895</v>
      </c>
      <c r="S924" s="1">
        <f t="shared" si="73"/>
        <v>1.9697590375167231</v>
      </c>
      <c r="T924" s="56">
        <f t="shared" si="74"/>
        <v>0.97058459454325219</v>
      </c>
    </row>
    <row r="925" spans="1:20" x14ac:dyDescent="0.25">
      <c r="A925">
        <v>0.9267855122558859</v>
      </c>
      <c r="B925">
        <v>-3.6995970731368288E-2</v>
      </c>
      <c r="D925">
        <v>0.92281181000273982</v>
      </c>
      <c r="E925">
        <v>1.7499935404430289</v>
      </c>
      <c r="J925">
        <v>20</v>
      </c>
      <c r="K925">
        <v>-5.949806336502661E-2</v>
      </c>
      <c r="L925">
        <v>12.843659542008071</v>
      </c>
      <c r="M925">
        <v>10</v>
      </c>
      <c r="N925">
        <v>-1.2021611189538817</v>
      </c>
      <c r="O925">
        <v>49.327880014903172</v>
      </c>
      <c r="P925" s="1">
        <f t="shared" si="70"/>
        <v>2.2204121270325445</v>
      </c>
      <c r="Q925" s="1">
        <f t="shared" si="71"/>
        <v>0.33306181905488169</v>
      </c>
      <c r="R925" s="1">
        <f t="shared" si="72"/>
        <v>0.57711508302493852</v>
      </c>
      <c r="S925" s="1">
        <f t="shared" si="73"/>
        <v>1.9799570123858257</v>
      </c>
      <c r="T925" s="56">
        <f t="shared" si="74"/>
        <v>0.97119324204417234</v>
      </c>
    </row>
    <row r="926" spans="1:20" x14ac:dyDescent="0.25">
      <c r="A926">
        <v>0.9283333975723137</v>
      </c>
      <c r="B926">
        <v>-0.63531388150295243</v>
      </c>
      <c r="D926">
        <v>0.92430785574669372</v>
      </c>
      <c r="E926">
        <v>-9.7739306283983751E-2</v>
      </c>
      <c r="J926">
        <v>20</v>
      </c>
      <c r="K926">
        <v>-0.21218158963165479</v>
      </c>
      <c r="L926">
        <v>16.027210124189409</v>
      </c>
      <c r="M926">
        <v>10</v>
      </c>
      <c r="N926">
        <v>-1.7007421354264807</v>
      </c>
      <c r="O926">
        <v>88.914789712856546</v>
      </c>
      <c r="P926" s="1">
        <f t="shared" si="70"/>
        <v>3.7479285656087842</v>
      </c>
      <c r="Q926" s="1">
        <f t="shared" si="71"/>
        <v>0.56218928484131758</v>
      </c>
      <c r="R926" s="1">
        <f t="shared" si="72"/>
        <v>0.74979282794737212</v>
      </c>
      <c r="S926" s="1">
        <f t="shared" si="73"/>
        <v>1.9852957914653564</v>
      </c>
      <c r="T926" s="56">
        <f t="shared" si="74"/>
        <v>0.97150745524030013</v>
      </c>
    </row>
    <row r="927" spans="1:20" x14ac:dyDescent="0.25">
      <c r="A927">
        <v>0.92928804267015597</v>
      </c>
      <c r="B927">
        <v>0.78761559052509256</v>
      </c>
      <c r="D927">
        <v>0.92529242404267842</v>
      </c>
      <c r="E927">
        <v>3.6071226043077331</v>
      </c>
      <c r="J927">
        <v>20</v>
      </c>
      <c r="K927">
        <v>-0.16330591279256623</v>
      </c>
      <c r="L927">
        <v>23.653542153772623</v>
      </c>
      <c r="M927">
        <v>10</v>
      </c>
      <c r="N927">
        <v>-1.2800937872725626</v>
      </c>
      <c r="O927">
        <v>35.065005154982259</v>
      </c>
      <c r="P927" s="1">
        <f t="shared" si="70"/>
        <v>2.0970909753126743</v>
      </c>
      <c r="Q927" s="1">
        <f t="shared" si="71"/>
        <v>0.31456364629690114</v>
      </c>
      <c r="R927" s="1">
        <f t="shared" si="72"/>
        <v>0.56085973852372495</v>
      </c>
      <c r="S927" s="1">
        <f t="shared" si="73"/>
        <v>1.991207066172312</v>
      </c>
      <c r="T927" s="56">
        <f t="shared" si="74"/>
        <v>0.9718518530518111</v>
      </c>
    </row>
    <row r="928" spans="1:20" x14ac:dyDescent="0.25">
      <c r="A928">
        <v>0.93044506981472141</v>
      </c>
      <c r="B928">
        <v>-1.8579703464638442</v>
      </c>
      <c r="D928">
        <v>0.92904862136369271</v>
      </c>
      <c r="E928">
        <v>-3.9874423725905217</v>
      </c>
      <c r="J928">
        <v>20</v>
      </c>
      <c r="K928">
        <v>-0.1406709770890302</v>
      </c>
      <c r="L928">
        <v>16.690661909462655</v>
      </c>
      <c r="M928">
        <v>10</v>
      </c>
      <c r="N928">
        <v>-1.6971545198884996</v>
      </c>
      <c r="O928">
        <v>96.760003783393756</v>
      </c>
      <c r="P928" s="1">
        <f t="shared" si="70"/>
        <v>4.0518094890305862</v>
      </c>
      <c r="Q928" s="1">
        <f t="shared" si="71"/>
        <v>0.60777142335458789</v>
      </c>
      <c r="R928" s="1">
        <f t="shared" si="72"/>
        <v>0.77959696212503793</v>
      </c>
      <c r="S928" s="1">
        <f t="shared" si="73"/>
        <v>1.9965233555512858</v>
      </c>
      <c r="T928" s="56">
        <f t="shared" si="74"/>
        <v>0.97215846103500292</v>
      </c>
    </row>
    <row r="929" spans="1:20" x14ac:dyDescent="0.25">
      <c r="A929">
        <v>0.93301678668073484</v>
      </c>
      <c r="B929">
        <v>-1.6853482520673424</v>
      </c>
      <c r="D929">
        <v>0.9292402101823819</v>
      </c>
      <c r="E929">
        <v>-1.3207379686264176</v>
      </c>
      <c r="J929">
        <v>20</v>
      </c>
      <c r="K929">
        <v>-2.399059439994744E-2</v>
      </c>
      <c r="L929">
        <v>12.412511090928042</v>
      </c>
      <c r="M929">
        <v>10</v>
      </c>
      <c r="N929">
        <v>-1.5669679703478323</v>
      </c>
      <c r="O929">
        <v>95.937763142587059</v>
      </c>
      <c r="P929" s="1">
        <f t="shared" si="70"/>
        <v>3.8696526511969682</v>
      </c>
      <c r="Q929" s="1">
        <f t="shared" si="71"/>
        <v>0.58044789767954519</v>
      </c>
      <c r="R929" s="1">
        <f t="shared" si="72"/>
        <v>0.76187131307035394</v>
      </c>
      <c r="S929" s="1">
        <f t="shared" si="73"/>
        <v>2.0252467174930904</v>
      </c>
      <c r="T929" s="56">
        <f t="shared" si="74"/>
        <v>0.97376480641614416</v>
      </c>
    </row>
    <row r="930" spans="1:20" x14ac:dyDescent="0.25">
      <c r="A930">
        <v>0.93426394708472404</v>
      </c>
      <c r="B930">
        <v>0.13400494935922325</v>
      </c>
      <c r="D930">
        <v>0.93013158019216324</v>
      </c>
      <c r="E930">
        <v>-2.2826650399565551</v>
      </c>
      <c r="J930">
        <v>20</v>
      </c>
      <c r="K930">
        <v>0.12835158713642159</v>
      </c>
      <c r="L930">
        <v>21.963891071676326</v>
      </c>
      <c r="M930">
        <v>10</v>
      </c>
      <c r="N930">
        <v>-1.1862468943490967</v>
      </c>
      <c r="O930">
        <v>55.419940828634019</v>
      </c>
      <c r="P930" s="1">
        <f t="shared" si="70"/>
        <v>2.7637082821539409</v>
      </c>
      <c r="Q930" s="1">
        <f t="shared" si="71"/>
        <v>0.41455624232309113</v>
      </c>
      <c r="R930" s="1">
        <f t="shared" si="72"/>
        <v>0.6438604214603435</v>
      </c>
      <c r="S930" s="1">
        <f t="shared" si="73"/>
        <v>2.0417445111843806</v>
      </c>
      <c r="T930" s="56">
        <f t="shared" si="74"/>
        <v>0.97465004023046087</v>
      </c>
    </row>
    <row r="931" spans="1:20" x14ac:dyDescent="0.25">
      <c r="A931">
        <v>0.93477570264274767</v>
      </c>
      <c r="B931">
        <v>1.0258963811793365</v>
      </c>
      <c r="D931">
        <v>0.93250238238949923</v>
      </c>
      <c r="E931">
        <v>3.2850386980953772</v>
      </c>
      <c r="J931">
        <v>20</v>
      </c>
      <c r="K931">
        <v>-3.928664682462113E-2</v>
      </c>
      <c r="L931">
        <v>25.768064271190102</v>
      </c>
      <c r="M931">
        <v>10</v>
      </c>
      <c r="N931">
        <v>-1.4822287573679205</v>
      </c>
      <c r="O931">
        <v>66.840234153961703</v>
      </c>
      <c r="P931" s="1">
        <f t="shared" si="70"/>
        <v>3.3074392294697073</v>
      </c>
      <c r="Q931" s="1">
        <f t="shared" si="71"/>
        <v>0.49611588442045607</v>
      </c>
      <c r="R931" s="1">
        <f t="shared" si="72"/>
        <v>0.70435494207143612</v>
      </c>
      <c r="S931" s="1">
        <f t="shared" si="73"/>
        <v>2.0486008180758319</v>
      </c>
      <c r="T931" s="56">
        <f t="shared" si="74"/>
        <v>0.97501010883818295</v>
      </c>
    </row>
    <row r="932" spans="1:20" x14ac:dyDescent="0.25">
      <c r="A932">
        <v>0.93500763018490884</v>
      </c>
      <c r="B932">
        <v>-0.70170358412724454</v>
      </c>
      <c r="D932">
        <v>0.93318239950911508</v>
      </c>
      <c r="E932">
        <v>-0.59157105511076225</v>
      </c>
      <c r="J932">
        <v>20</v>
      </c>
      <c r="K932">
        <v>-0.14900325595590402</v>
      </c>
      <c r="L932">
        <v>20.179094340610924</v>
      </c>
      <c r="M932">
        <v>10</v>
      </c>
      <c r="N932">
        <v>-1.6837286727877654</v>
      </c>
      <c r="O932">
        <v>82.522225080248631</v>
      </c>
      <c r="P932" s="1">
        <f t="shared" si="70"/>
        <v>3.6679042650306988</v>
      </c>
      <c r="Q932" s="1">
        <f t="shared" si="71"/>
        <v>0.55018563975460477</v>
      </c>
      <c r="R932" s="1">
        <f t="shared" si="72"/>
        <v>0.74174499644729974</v>
      </c>
      <c r="S932" s="1">
        <f t="shared" si="73"/>
        <v>2.0690741753333852</v>
      </c>
      <c r="T932" s="56">
        <f t="shared" si="74"/>
        <v>0.97605853745496507</v>
      </c>
    </row>
    <row r="933" spans="1:20" x14ac:dyDescent="0.25">
      <c r="A933">
        <v>0.93673583181200926</v>
      </c>
      <c r="B933">
        <v>-0.60968659454374574</v>
      </c>
      <c r="D933">
        <v>0.93329953364804008</v>
      </c>
      <c r="E933">
        <v>-0.95162863885889237</v>
      </c>
      <c r="J933">
        <v>20</v>
      </c>
      <c r="K933">
        <v>5.8996761254093144E-2</v>
      </c>
      <c r="L933">
        <v>16.754263451290104</v>
      </c>
      <c r="M933">
        <v>10</v>
      </c>
      <c r="N933">
        <v>-1.4129904036508378</v>
      </c>
      <c r="O933">
        <v>77.223180812102868</v>
      </c>
      <c r="P933" s="1">
        <f t="shared" si="70"/>
        <v>3.3563372951211776</v>
      </c>
      <c r="Q933" s="1">
        <f t="shared" si="71"/>
        <v>0.50345059426817662</v>
      </c>
      <c r="R933" s="1">
        <f t="shared" si="72"/>
        <v>0.70954252463694989</v>
      </c>
      <c r="S933" s="1">
        <f t="shared" si="73"/>
        <v>2.0745580621233373</v>
      </c>
      <c r="T933" s="56">
        <f t="shared" si="74"/>
        <v>0.97633266693027998</v>
      </c>
    </row>
    <row r="934" spans="1:20" x14ac:dyDescent="0.25">
      <c r="A934">
        <v>0.9415050773101461</v>
      </c>
      <c r="B934">
        <v>-0.81375674199080095</v>
      </c>
      <c r="D934">
        <v>0.93347973142074026</v>
      </c>
      <c r="E934">
        <v>-1.0543083169523015</v>
      </c>
      <c r="J934">
        <v>20</v>
      </c>
      <c r="K934">
        <v>-3.1575268621963914E-2</v>
      </c>
      <c r="L934">
        <v>19.699646197267381</v>
      </c>
      <c r="M934">
        <v>10</v>
      </c>
      <c r="N934">
        <v>-1.2340342470906762</v>
      </c>
      <c r="O934">
        <v>41.649699630359102</v>
      </c>
      <c r="P934" s="1">
        <f t="shared" si="70"/>
        <v>2.1910480652723741</v>
      </c>
      <c r="Q934" s="1">
        <f t="shared" si="71"/>
        <v>0.32865720979085611</v>
      </c>
      <c r="R934" s="1">
        <f t="shared" si="72"/>
        <v>0.57328632444081218</v>
      </c>
      <c r="S934" s="1">
        <f t="shared" si="73"/>
        <v>2.0974841492017098</v>
      </c>
      <c r="T934" s="56">
        <f t="shared" si="74"/>
        <v>0.97744879919413086</v>
      </c>
    </row>
    <row r="935" spans="1:20" x14ac:dyDescent="0.25">
      <c r="A935">
        <v>0.94242319786847029</v>
      </c>
      <c r="B935">
        <v>0.61587002164742444</v>
      </c>
      <c r="D935">
        <v>0.93635175783345792</v>
      </c>
      <c r="E935">
        <v>-1.004520303240497</v>
      </c>
      <c r="J935">
        <v>20</v>
      </c>
      <c r="K935">
        <v>3.0058515676500974E-2</v>
      </c>
      <c r="L935">
        <v>26.000112322261252</v>
      </c>
      <c r="M935">
        <v>10</v>
      </c>
      <c r="N935">
        <v>-1.4715453778535448</v>
      </c>
      <c r="O935">
        <v>68.736568783588865</v>
      </c>
      <c r="P935" s="1">
        <f t="shared" si="70"/>
        <v>3.3834528966375044</v>
      </c>
      <c r="Q935" s="1">
        <f t="shared" si="71"/>
        <v>0.50751793449562566</v>
      </c>
      <c r="R935" s="1">
        <f t="shared" si="72"/>
        <v>0.71240292987580112</v>
      </c>
      <c r="S935" s="1">
        <f t="shared" si="73"/>
        <v>2.1078014008053452</v>
      </c>
      <c r="T935" s="56">
        <f t="shared" si="74"/>
        <v>0.97793564417105439</v>
      </c>
    </row>
    <row r="936" spans="1:20" x14ac:dyDescent="0.25">
      <c r="A936">
        <v>0.94368803610836305</v>
      </c>
      <c r="B936">
        <v>1.7792535800253972</v>
      </c>
      <c r="D936">
        <v>0.93853628454455307</v>
      </c>
      <c r="E936">
        <v>-4.1782657297062542</v>
      </c>
      <c r="J936">
        <v>20</v>
      </c>
      <c r="K936">
        <v>0.12876967048214283</v>
      </c>
      <c r="L936">
        <v>9.7793251188324906</v>
      </c>
      <c r="M936">
        <v>10</v>
      </c>
      <c r="N936">
        <v>-1.4436705021125817</v>
      </c>
      <c r="O936">
        <v>92.287940784109253</v>
      </c>
      <c r="P936" s="1">
        <f t="shared" si="70"/>
        <v>3.6452594965336336</v>
      </c>
      <c r="Q936" s="1">
        <f t="shared" si="71"/>
        <v>0.54678892448004501</v>
      </c>
      <c r="R936" s="1">
        <f t="shared" si="72"/>
        <v>0.73945177292372832</v>
      </c>
      <c r="S936" s="1">
        <f t="shared" si="73"/>
        <v>2.1264945601217944</v>
      </c>
      <c r="T936" s="56">
        <f t="shared" si="74"/>
        <v>0.9787939552067042</v>
      </c>
    </row>
    <row r="937" spans="1:20" x14ac:dyDescent="0.25">
      <c r="A937">
        <v>0.94437001632709494</v>
      </c>
      <c r="B937">
        <v>-6.0891807152074762E-2</v>
      </c>
      <c r="D937">
        <v>0.94113504568518203</v>
      </c>
      <c r="E937">
        <v>-2.192550031168139</v>
      </c>
      <c r="J937">
        <v>20</v>
      </c>
      <c r="K937">
        <v>-0.36980696904720389</v>
      </c>
      <c r="L937">
        <v>28.425542603152842</v>
      </c>
      <c r="M937">
        <v>10</v>
      </c>
      <c r="N937">
        <v>-1.533202297423486</v>
      </c>
      <c r="O937">
        <v>27.200103875078124</v>
      </c>
      <c r="P937" s="1">
        <f t="shared" si="70"/>
        <v>1.9866302313653914</v>
      </c>
      <c r="Q937" s="1">
        <f t="shared" si="71"/>
        <v>0.29799453470480869</v>
      </c>
      <c r="R937" s="1">
        <f t="shared" si="72"/>
        <v>0.54588875671221582</v>
      </c>
      <c r="S937" s="1">
        <f t="shared" si="73"/>
        <v>2.1311948891990209</v>
      </c>
      <c r="T937" s="56">
        <f t="shared" si="74"/>
        <v>0.97900503758896085</v>
      </c>
    </row>
    <row r="938" spans="1:20" x14ac:dyDescent="0.25">
      <c r="A938">
        <v>0.94447289533293444</v>
      </c>
      <c r="B938">
        <v>0.45276806304173078</v>
      </c>
      <c r="D938">
        <v>0.94397520391529122</v>
      </c>
      <c r="E938">
        <v>1.4264567164445907</v>
      </c>
      <c r="J938">
        <v>20</v>
      </c>
      <c r="K938">
        <v>-0.12739695876007318</v>
      </c>
      <c r="L938">
        <v>11.952002992976183</v>
      </c>
      <c r="M938">
        <v>10</v>
      </c>
      <c r="N938">
        <v>-1.8814868133176788</v>
      </c>
      <c r="O938">
        <v>107.29094392464832</v>
      </c>
      <c r="P938" s="1">
        <f t="shared" si="70"/>
        <v>4.2586766756294461</v>
      </c>
      <c r="Q938" s="1">
        <f t="shared" si="71"/>
        <v>0.63880150134441693</v>
      </c>
      <c r="R938" s="1">
        <f t="shared" si="72"/>
        <v>0.79925058732816512</v>
      </c>
      <c r="S938" s="1">
        <f t="shared" si="73"/>
        <v>2.194668208404321</v>
      </c>
      <c r="T938" s="56">
        <f t="shared" si="74"/>
        <v>0.98167731423727445</v>
      </c>
    </row>
    <row r="939" spans="1:20" x14ac:dyDescent="0.25">
      <c r="A939">
        <v>0.94544776261863261</v>
      </c>
      <c r="B939">
        <v>0.1425769369234331</v>
      </c>
      <c r="D939">
        <v>0.94407133842804924</v>
      </c>
      <c r="E939">
        <v>0.83008512433480064</v>
      </c>
      <c r="J939">
        <v>20</v>
      </c>
      <c r="K939">
        <v>-0.41882447021635016</v>
      </c>
      <c r="L939">
        <v>12.813924274679382</v>
      </c>
      <c r="M939">
        <v>10</v>
      </c>
      <c r="N939">
        <v>-2.3273006524959783</v>
      </c>
      <c r="O939">
        <v>128.32807091825353</v>
      </c>
      <c r="P939" s="1">
        <f t="shared" si="70"/>
        <v>5.0407855426047465</v>
      </c>
      <c r="Q939" s="1">
        <f t="shared" si="71"/>
        <v>0.75611783139071198</v>
      </c>
      <c r="R939" s="1">
        <f t="shared" si="72"/>
        <v>0.86955036161841248</v>
      </c>
      <c r="S939" s="1">
        <f t="shared" si="73"/>
        <v>2.1947851056350096</v>
      </c>
      <c r="T939" s="56">
        <f t="shared" si="74"/>
        <v>0.98168194048391</v>
      </c>
    </row>
    <row r="940" spans="1:20" x14ac:dyDescent="0.25">
      <c r="A940">
        <v>0.94554566822761565</v>
      </c>
      <c r="B940">
        <v>1.0621761248330586</v>
      </c>
      <c r="D940">
        <v>0.94578969200676655</v>
      </c>
      <c r="E940">
        <v>0.4253758982031286</v>
      </c>
      <c r="J940">
        <v>20</v>
      </c>
      <c r="K940">
        <v>-7.8197558650572319E-2</v>
      </c>
      <c r="L940">
        <v>12.991701141483755</v>
      </c>
      <c r="M940">
        <v>10</v>
      </c>
      <c r="N940">
        <v>-1.9443814414898952</v>
      </c>
      <c r="O940">
        <v>121.23592875205026</v>
      </c>
      <c r="P940" s="1">
        <f t="shared" si="70"/>
        <v>4.7938439247690718</v>
      </c>
      <c r="Q940" s="1">
        <f t="shared" si="71"/>
        <v>0.71907658871536073</v>
      </c>
      <c r="R940" s="1">
        <f t="shared" si="72"/>
        <v>0.84798383753191942</v>
      </c>
      <c r="S940" s="1">
        <f t="shared" si="73"/>
        <v>2.2007304859381556</v>
      </c>
      <c r="T940" s="56">
        <f t="shared" si="74"/>
        <v>0.98191585212782784</v>
      </c>
    </row>
    <row r="941" spans="1:20" x14ac:dyDescent="0.25">
      <c r="A941">
        <v>0.94573130900840952</v>
      </c>
      <c r="B941">
        <v>6.9171619543340057E-2</v>
      </c>
      <c r="D941">
        <v>0.94659276761817845</v>
      </c>
      <c r="E941">
        <v>-0.27140390898239275</v>
      </c>
      <c r="J941">
        <v>20</v>
      </c>
      <c r="K941">
        <v>0.36534549963107565</v>
      </c>
      <c r="L941">
        <v>36.842440400384376</v>
      </c>
      <c r="M941">
        <v>10</v>
      </c>
      <c r="N941">
        <v>-1.6151891520621575</v>
      </c>
      <c r="O941">
        <v>112.74531583415981</v>
      </c>
      <c r="P941" s="1">
        <f t="shared" si="70"/>
        <v>5.3424198655194362</v>
      </c>
      <c r="Q941" s="1">
        <f t="shared" si="71"/>
        <v>0.80136297982791538</v>
      </c>
      <c r="R941" s="1">
        <f t="shared" si="72"/>
        <v>0.89518879563358889</v>
      </c>
      <c r="S941" s="1">
        <f t="shared" si="73"/>
        <v>2.2124211801505713</v>
      </c>
      <c r="T941" s="56">
        <f t="shared" si="74"/>
        <v>0.98236799235933592</v>
      </c>
    </row>
    <row r="942" spans="1:20" x14ac:dyDescent="0.25">
      <c r="A942">
        <v>0.94600980949490598</v>
      </c>
      <c r="B942">
        <v>-1.2877853805548511</v>
      </c>
      <c r="D942">
        <v>0.94687385153573134</v>
      </c>
      <c r="E942">
        <v>4.1863252101848047</v>
      </c>
      <c r="J942">
        <v>20</v>
      </c>
      <c r="K942">
        <v>-5.431473937278497E-2</v>
      </c>
      <c r="L942">
        <v>14.490127512093176</v>
      </c>
      <c r="M942">
        <v>10</v>
      </c>
      <c r="N942">
        <v>-1.3211148404934647</v>
      </c>
      <c r="O942">
        <v>46.283259188379219</v>
      </c>
      <c r="P942" s="1">
        <f t="shared" si="70"/>
        <v>2.1704780964454424</v>
      </c>
      <c r="Q942" s="1">
        <f t="shared" si="71"/>
        <v>0.32557171446681638</v>
      </c>
      <c r="R942" s="1">
        <f t="shared" si="72"/>
        <v>0.57058891898355013</v>
      </c>
      <c r="S942" s="1">
        <f t="shared" si="73"/>
        <v>2.2201624654354726</v>
      </c>
      <c r="T942" s="56">
        <f t="shared" si="74"/>
        <v>0.9826617667587485</v>
      </c>
    </row>
    <row r="943" spans="1:20" x14ac:dyDescent="0.25">
      <c r="A943">
        <v>0.94697132926020955</v>
      </c>
      <c r="B943">
        <v>-0.14203692444425542</v>
      </c>
      <c r="D943">
        <v>0.94738730107547475</v>
      </c>
      <c r="E943">
        <v>1.7712552528337255</v>
      </c>
      <c r="J943">
        <v>20</v>
      </c>
      <c r="K943">
        <v>0.24922940156102413</v>
      </c>
      <c r="L943">
        <v>19.296631965340865</v>
      </c>
      <c r="M943">
        <v>10</v>
      </c>
      <c r="N943">
        <v>-1.3960352623598737</v>
      </c>
      <c r="O943">
        <v>82.351109953196996</v>
      </c>
      <c r="P943" s="1">
        <f t="shared" si="70"/>
        <v>3.6302764970906378</v>
      </c>
      <c r="Q943" s="1">
        <f t="shared" si="71"/>
        <v>0.5445414745635957</v>
      </c>
      <c r="R943" s="1">
        <f t="shared" si="72"/>
        <v>0.73793053505299244</v>
      </c>
      <c r="S943" s="1">
        <f t="shared" si="73"/>
        <v>2.2295657731560703</v>
      </c>
      <c r="T943" s="56">
        <f t="shared" si="74"/>
        <v>0.98301268266072739</v>
      </c>
    </row>
    <row r="944" spans="1:20" x14ac:dyDescent="0.25">
      <c r="A944">
        <v>0.94731128412624543</v>
      </c>
      <c r="B944">
        <v>0.82854626271000598</v>
      </c>
      <c r="D944">
        <v>0.94855744148923204</v>
      </c>
      <c r="E944">
        <v>2.3722720891328208</v>
      </c>
      <c r="J944">
        <v>20</v>
      </c>
      <c r="K944">
        <v>-0.14974131090639275</v>
      </c>
      <c r="L944">
        <v>8.8159142370844599</v>
      </c>
      <c r="M944">
        <v>10</v>
      </c>
      <c r="N944">
        <v>-1.3000621981973381</v>
      </c>
      <c r="O944">
        <v>40.514395072706932</v>
      </c>
      <c r="P944" s="1">
        <f t="shared" si="70"/>
        <v>1.7617967610639782</v>
      </c>
      <c r="Q944" s="1">
        <f t="shared" si="71"/>
        <v>0.26426951415959671</v>
      </c>
      <c r="R944" s="1">
        <f t="shared" si="72"/>
        <v>0.51407150685444214</v>
      </c>
      <c r="S944" s="1">
        <f t="shared" si="73"/>
        <v>2.2376670792934172</v>
      </c>
      <c r="T944" s="56">
        <f t="shared" si="74"/>
        <v>0.98330986489126937</v>
      </c>
    </row>
    <row r="945" spans="1:20" x14ac:dyDescent="0.25">
      <c r="A945">
        <v>0.94957593078763569</v>
      </c>
      <c r="B945">
        <v>-1.4573515727533959E-2</v>
      </c>
      <c r="D945">
        <v>0.95054784811338189</v>
      </c>
      <c r="E945">
        <v>-1.4252457310703903</v>
      </c>
      <c r="J945">
        <v>20</v>
      </c>
      <c r="K945">
        <v>0.18252933386975201</v>
      </c>
      <c r="L945">
        <v>19.573828203682499</v>
      </c>
      <c r="M945">
        <v>10</v>
      </c>
      <c r="N945">
        <v>-1.2207151519305626</v>
      </c>
      <c r="O945">
        <v>53.737822343436058</v>
      </c>
      <c r="P945" s="1">
        <f t="shared" si="70"/>
        <v>2.6182732338256627</v>
      </c>
      <c r="Q945" s="1">
        <f t="shared" si="71"/>
        <v>0.39274098507384941</v>
      </c>
      <c r="R945" s="1">
        <f t="shared" si="72"/>
        <v>0.62669050182195152</v>
      </c>
      <c r="S945" s="1">
        <f t="shared" si="73"/>
        <v>2.2391347590568542</v>
      </c>
      <c r="T945" s="56">
        <f t="shared" si="74"/>
        <v>0.98336319989864363</v>
      </c>
    </row>
    <row r="946" spans="1:20" x14ac:dyDescent="0.25">
      <c r="A946">
        <v>0.95183952289168905</v>
      </c>
      <c r="B946">
        <v>1.7645515981712379</v>
      </c>
      <c r="D946">
        <v>0.9516974392203934</v>
      </c>
      <c r="E946">
        <v>-2.9890150051414821</v>
      </c>
      <c r="J946">
        <v>20</v>
      </c>
      <c r="K946">
        <v>-0.14553819482898689</v>
      </c>
      <c r="L946">
        <v>9.0904945648616771</v>
      </c>
      <c r="M946">
        <v>10</v>
      </c>
      <c r="N946">
        <v>-1.6073031508767599</v>
      </c>
      <c r="O946">
        <v>70.257754620268216</v>
      </c>
      <c r="P946" s="1">
        <f t="shared" si="70"/>
        <v>2.8338660423260675</v>
      </c>
      <c r="Q946" s="1">
        <f t="shared" si="71"/>
        <v>0.42507990634891013</v>
      </c>
      <c r="R946" s="1">
        <f t="shared" si="72"/>
        <v>0.65198152301189494</v>
      </c>
      <c r="S946" s="1">
        <f t="shared" si="73"/>
        <v>2.2420343283579589</v>
      </c>
      <c r="T946" s="56">
        <f t="shared" si="74"/>
        <v>0.98346811775766085</v>
      </c>
    </row>
    <row r="947" spans="1:20" x14ac:dyDescent="0.25">
      <c r="A947">
        <v>0.95218797006158307</v>
      </c>
      <c r="B947">
        <v>0.16882722775335424</v>
      </c>
      <c r="D947">
        <v>0.95181834190087289</v>
      </c>
      <c r="E947">
        <v>-5.3305454946439568</v>
      </c>
      <c r="J947">
        <v>20</v>
      </c>
      <c r="K947">
        <v>-0.3890410766871355</v>
      </c>
      <c r="L947">
        <v>16.280211263649765</v>
      </c>
      <c r="M947">
        <v>10</v>
      </c>
      <c r="N947">
        <v>-1.7175867731111794</v>
      </c>
      <c r="O947">
        <v>48.788839858850437</v>
      </c>
      <c r="P947" s="1">
        <f t="shared" si="70"/>
        <v>2.3238946829464355</v>
      </c>
      <c r="Q947" s="1">
        <f t="shared" si="71"/>
        <v>0.34858420244196531</v>
      </c>
      <c r="R947" s="1">
        <f t="shared" si="72"/>
        <v>0.59041019845694176</v>
      </c>
      <c r="S947" s="1">
        <f t="shared" si="73"/>
        <v>2.2502079061239892</v>
      </c>
      <c r="T947" s="56">
        <f t="shared" si="74"/>
        <v>0.98376066496749037</v>
      </c>
    </row>
    <row r="948" spans="1:20" x14ac:dyDescent="0.25">
      <c r="A948">
        <v>0.95239844670868934</v>
      </c>
      <c r="B948">
        <v>0.25823283067438751</v>
      </c>
      <c r="D948">
        <v>0.95246318455044232</v>
      </c>
      <c r="E948">
        <v>3.2936061381860782</v>
      </c>
      <c r="J948">
        <v>20</v>
      </c>
      <c r="K948">
        <v>-0.19320208366480074</v>
      </c>
      <c r="L948">
        <v>24.235539182412804</v>
      </c>
      <c r="M948">
        <v>10</v>
      </c>
      <c r="N948">
        <v>-1.5172989867551223</v>
      </c>
      <c r="O948">
        <v>40.238188710139831</v>
      </c>
      <c r="P948" s="1">
        <f t="shared" si="70"/>
        <v>2.3026331390197368</v>
      </c>
      <c r="Q948" s="1">
        <f t="shared" si="71"/>
        <v>0.3453949708529605</v>
      </c>
      <c r="R948" s="1">
        <f t="shared" si="72"/>
        <v>0.58770313156640619</v>
      </c>
      <c r="S948" s="1">
        <f t="shared" si="73"/>
        <v>2.2530029737313186</v>
      </c>
      <c r="T948" s="56">
        <f t="shared" si="74"/>
        <v>0.98385962814809702</v>
      </c>
    </row>
    <row r="949" spans="1:20" x14ac:dyDescent="0.25">
      <c r="A949">
        <v>0.95263298444905886</v>
      </c>
      <c r="B949">
        <v>-0.27702299121301621</v>
      </c>
      <c r="D949">
        <v>0.95546140959058101</v>
      </c>
      <c r="E949">
        <v>3.7423189917262789</v>
      </c>
      <c r="J949">
        <v>20</v>
      </c>
      <c r="K949">
        <v>-0.29936444434497389</v>
      </c>
      <c r="L949">
        <v>17.559237070513188</v>
      </c>
      <c r="M949">
        <v>10</v>
      </c>
      <c r="N949">
        <v>-2.2514603904255637</v>
      </c>
      <c r="O949">
        <v>121.31148271404697</v>
      </c>
      <c r="P949" s="1">
        <f t="shared" si="70"/>
        <v>4.959668563734291</v>
      </c>
      <c r="Q949" s="1">
        <f t="shared" si="71"/>
        <v>0.74395028456014367</v>
      </c>
      <c r="R949" s="1">
        <f t="shared" si="72"/>
        <v>0.86252552690349038</v>
      </c>
      <c r="S949" s="1">
        <f t="shared" si="73"/>
        <v>2.2632326640681715</v>
      </c>
      <c r="T949" s="56">
        <f t="shared" si="74"/>
        <v>0.98421719687502662</v>
      </c>
    </row>
    <row r="950" spans="1:20" x14ac:dyDescent="0.25">
      <c r="A950">
        <v>0.95293721249013452</v>
      </c>
      <c r="B950">
        <v>0.30888600122125354</v>
      </c>
      <c r="D950">
        <v>0.95559160073279303</v>
      </c>
      <c r="E950">
        <v>0.40956774341793789</v>
      </c>
      <c r="J950">
        <v>20</v>
      </c>
      <c r="K950">
        <v>-6.4872210714383982E-2</v>
      </c>
      <c r="L950">
        <v>14.42641796363136</v>
      </c>
      <c r="M950">
        <v>10</v>
      </c>
      <c r="N950">
        <v>-1.7935296943960566</v>
      </c>
      <c r="O950">
        <v>93.98818212295663</v>
      </c>
      <c r="P950" s="1">
        <f t="shared" si="70"/>
        <v>3.8719500030924285</v>
      </c>
      <c r="Q950" s="1">
        <f t="shared" si="71"/>
        <v>0.58079250046386421</v>
      </c>
      <c r="R950" s="1">
        <f t="shared" si="72"/>
        <v>0.76209743501986948</v>
      </c>
      <c r="S950" s="1">
        <f t="shared" si="73"/>
        <v>2.2682893344688964</v>
      </c>
      <c r="T950" s="56">
        <f t="shared" si="74"/>
        <v>0.9843912901448808</v>
      </c>
    </row>
    <row r="951" spans="1:20" x14ac:dyDescent="0.25">
      <c r="A951">
        <v>0.95320019817274748</v>
      </c>
      <c r="B951">
        <v>0.5142544523550896</v>
      </c>
      <c r="D951">
        <v>0.95669845419038246</v>
      </c>
      <c r="E951">
        <v>3.7041338566723425</v>
      </c>
      <c r="J951">
        <v>20</v>
      </c>
      <c r="K951">
        <v>0.50056735290127108</v>
      </c>
      <c r="L951">
        <v>10.527788600439552</v>
      </c>
      <c r="M951">
        <v>10</v>
      </c>
      <c r="N951">
        <v>-0.66006078100144805</v>
      </c>
      <c r="O951">
        <v>37.977688366205328</v>
      </c>
      <c r="P951" s="1">
        <f t="shared" si="70"/>
        <v>1.7323384630944598</v>
      </c>
      <c r="Q951" s="1">
        <f t="shared" si="71"/>
        <v>0.25985076946416896</v>
      </c>
      <c r="R951" s="1">
        <f t="shared" si="72"/>
        <v>0.50975559777619806</v>
      </c>
      <c r="S951" s="1">
        <f t="shared" si="73"/>
        <v>2.2768325428223717</v>
      </c>
      <c r="T951" s="56">
        <f t="shared" si="74"/>
        <v>0.98468147767106062</v>
      </c>
    </row>
    <row r="952" spans="1:20" x14ac:dyDescent="0.25">
      <c r="A952">
        <v>0.95371348356900876</v>
      </c>
      <c r="B952">
        <v>0.63840616348898038</v>
      </c>
      <c r="D952">
        <v>0.95764039168164672</v>
      </c>
      <c r="E952">
        <v>1.1060371855364792</v>
      </c>
      <c r="J952">
        <v>20</v>
      </c>
      <c r="K952">
        <v>-6.5135679960803827E-2</v>
      </c>
      <c r="L952">
        <v>34.771460520659382</v>
      </c>
      <c r="M952">
        <v>10</v>
      </c>
      <c r="N952">
        <v>-1.8697444409099262</v>
      </c>
      <c r="O952">
        <v>82.104295327537116</v>
      </c>
      <c r="P952" s="1">
        <f t="shared" si="70"/>
        <v>4.1741341374355887</v>
      </c>
      <c r="Q952" s="1">
        <f t="shared" si="71"/>
        <v>0.62612012061533828</v>
      </c>
      <c r="R952" s="1">
        <f t="shared" si="72"/>
        <v>0.79127752439667987</v>
      </c>
      <c r="S952" s="1">
        <f t="shared" si="73"/>
        <v>2.2806268411643189</v>
      </c>
      <c r="T952" s="56">
        <f t="shared" si="74"/>
        <v>0.98480878602656186</v>
      </c>
    </row>
    <row r="953" spans="1:20" x14ac:dyDescent="0.25">
      <c r="A953">
        <v>0.95565695084272217</v>
      </c>
      <c r="B953">
        <v>0.65670860749378335</v>
      </c>
      <c r="D953">
        <v>0.95904078126035097</v>
      </c>
      <c r="E953">
        <v>-2.9403047426512785</v>
      </c>
      <c r="J953">
        <v>20</v>
      </c>
      <c r="K953">
        <v>0.61332690393101075</v>
      </c>
      <c r="L953">
        <v>21.794659631460995</v>
      </c>
      <c r="M953">
        <v>10</v>
      </c>
      <c r="N953">
        <v>-1.07271876345294</v>
      </c>
      <c r="O953">
        <v>80.03315178660938</v>
      </c>
      <c r="P953" s="1">
        <f t="shared" si="70"/>
        <v>3.636707550645371</v>
      </c>
      <c r="Q953" s="1">
        <f t="shared" si="71"/>
        <v>0.54550613259680558</v>
      </c>
      <c r="R953" s="1">
        <f t="shared" si="72"/>
        <v>0.73858386971068191</v>
      </c>
      <c r="S953" s="1">
        <f t="shared" si="73"/>
        <v>2.2828086782404395</v>
      </c>
      <c r="T953" s="56">
        <f t="shared" si="74"/>
        <v>0.98488155770756058</v>
      </c>
    </row>
    <row r="954" spans="1:20" x14ac:dyDescent="0.25">
      <c r="A954">
        <v>0.9558366484134988</v>
      </c>
      <c r="B954">
        <v>0.84603243521996774</v>
      </c>
      <c r="D954">
        <v>0.96108820032002829</v>
      </c>
      <c r="E954">
        <v>1.4990787315127818</v>
      </c>
      <c r="J954">
        <v>20</v>
      </c>
      <c r="K954">
        <v>0.48202497282545664</v>
      </c>
      <c r="L954">
        <v>26.686689101071256</v>
      </c>
      <c r="M954">
        <v>10</v>
      </c>
      <c r="N954">
        <v>-1.0421570129892643</v>
      </c>
      <c r="O954">
        <v>56.489658268343007</v>
      </c>
      <c r="P954" s="1">
        <f t="shared" si="70"/>
        <v>2.9705838346219378</v>
      </c>
      <c r="Q954" s="1">
        <f t="shared" si="71"/>
        <v>0.44558757519329067</v>
      </c>
      <c r="R954" s="1">
        <f t="shared" si="72"/>
        <v>0.66752346415185337</v>
      </c>
      <c r="S954" s="1">
        <f t="shared" si="73"/>
        <v>2.2833384407712569</v>
      </c>
      <c r="T954" s="56">
        <f t="shared" si="74"/>
        <v>0.98489917939465643</v>
      </c>
    </row>
    <row r="955" spans="1:20" x14ac:dyDescent="0.25">
      <c r="A955">
        <v>0.95588928943694473</v>
      </c>
      <c r="B955">
        <v>-1.5436035027960315</v>
      </c>
      <c r="D955">
        <v>0.96360344233484729</v>
      </c>
      <c r="E955">
        <v>-4.9618454374922294</v>
      </c>
      <c r="J955">
        <v>20</v>
      </c>
      <c r="K955">
        <v>0.36144672321825055</v>
      </c>
      <c r="L955">
        <v>19.28425097480342</v>
      </c>
      <c r="M955">
        <v>10</v>
      </c>
      <c r="N955">
        <v>-0.92465825559884252</v>
      </c>
      <c r="O955">
        <v>39.209533922815638</v>
      </c>
      <c r="P955" s="1">
        <f t="shared" si="70"/>
        <v>2.089063746343538</v>
      </c>
      <c r="Q955" s="1">
        <f t="shared" si="71"/>
        <v>0.3133595619515307</v>
      </c>
      <c r="R955" s="1">
        <f t="shared" si="72"/>
        <v>0.5597852820068876</v>
      </c>
      <c r="S955" s="1">
        <f t="shared" si="73"/>
        <v>2.2974969513422629</v>
      </c>
      <c r="T955" s="56">
        <f t="shared" si="74"/>
        <v>0.98536329993028438</v>
      </c>
    </row>
    <row r="956" spans="1:20" x14ac:dyDescent="0.25">
      <c r="A956">
        <v>0.95603227263575041</v>
      </c>
      <c r="B956">
        <v>-1.5446130419149995</v>
      </c>
      <c r="D956">
        <v>0.96582209841233502</v>
      </c>
      <c r="E956">
        <v>2.7627727342860453</v>
      </c>
      <c r="J956">
        <v>20</v>
      </c>
      <c r="K956">
        <v>0.19286409269625437</v>
      </c>
      <c r="L956">
        <v>10.189672747254592</v>
      </c>
      <c r="M956">
        <v>10</v>
      </c>
      <c r="N956">
        <v>-1.4485548297216155</v>
      </c>
      <c r="O956">
        <v>84.587378052556119</v>
      </c>
      <c r="P956" s="1">
        <f t="shared" si="70"/>
        <v>3.3848946714218111</v>
      </c>
      <c r="Q956" s="1">
        <f t="shared" si="71"/>
        <v>0.50773420071327169</v>
      </c>
      <c r="R956" s="1">
        <f t="shared" si="72"/>
        <v>0.71255470015520328</v>
      </c>
      <c r="S956" s="1">
        <f t="shared" si="73"/>
        <v>2.303569006085215</v>
      </c>
      <c r="T956" s="56">
        <f t="shared" si="74"/>
        <v>0.98555835122388347</v>
      </c>
    </row>
    <row r="957" spans="1:20" x14ac:dyDescent="0.25">
      <c r="A957">
        <v>0.95687535968731319</v>
      </c>
      <c r="B957">
        <v>-6.6027041611960158E-2</v>
      </c>
      <c r="D957">
        <v>0.96728605509614329</v>
      </c>
      <c r="E957">
        <v>-3.1462370805002138</v>
      </c>
      <c r="J957">
        <v>20</v>
      </c>
      <c r="K957">
        <v>-3.3838205126812682E-2</v>
      </c>
      <c r="L957">
        <v>24.0989710581308</v>
      </c>
      <c r="M957">
        <v>10</v>
      </c>
      <c r="N957">
        <v>-1.7644235902025684</v>
      </c>
      <c r="O957">
        <v>81.089068354044542</v>
      </c>
      <c r="P957" s="1">
        <f t="shared" si="70"/>
        <v>3.7567156932919765</v>
      </c>
      <c r="Q957" s="1">
        <f t="shared" si="71"/>
        <v>0.56350735399379648</v>
      </c>
      <c r="R957" s="1">
        <f t="shared" si="72"/>
        <v>0.75067126892788194</v>
      </c>
      <c r="S957" s="1">
        <f t="shared" si="73"/>
        <v>2.305383803415574</v>
      </c>
      <c r="T957" s="56">
        <f t="shared" si="74"/>
        <v>0.98561618815928809</v>
      </c>
    </row>
    <row r="958" spans="1:20" x14ac:dyDescent="0.25">
      <c r="A958">
        <v>0.95709263940840872</v>
      </c>
      <c r="B958">
        <v>-0.96500116342213005</v>
      </c>
      <c r="D958">
        <v>0.96798488994747311</v>
      </c>
      <c r="E958">
        <v>1.6585279320224799</v>
      </c>
      <c r="J958">
        <v>20</v>
      </c>
      <c r="K958">
        <v>-0.19999913547508186</v>
      </c>
      <c r="L958">
        <v>19.926578717062583</v>
      </c>
      <c r="M958">
        <v>10</v>
      </c>
      <c r="N958">
        <v>-1.7818896401422535</v>
      </c>
      <c r="O958">
        <v>65.397169875667856</v>
      </c>
      <c r="P958" s="1">
        <f t="shared" si="70"/>
        <v>3.0472767354546586</v>
      </c>
      <c r="Q958" s="1">
        <f t="shared" si="71"/>
        <v>0.45709151031819878</v>
      </c>
      <c r="R958" s="1">
        <f t="shared" si="72"/>
        <v>0.67608543122759179</v>
      </c>
      <c r="S958" s="1">
        <f t="shared" si="73"/>
        <v>2.3397790154934683</v>
      </c>
      <c r="T958" s="56">
        <f t="shared" si="74"/>
        <v>0.98667332764318816</v>
      </c>
    </row>
    <row r="959" spans="1:20" x14ac:dyDescent="0.25">
      <c r="A959">
        <v>0.958069452337727</v>
      </c>
      <c r="B959">
        <v>-1.3141743693267927</v>
      </c>
      <c r="D959">
        <v>0.96939876944388181</v>
      </c>
      <c r="E959">
        <v>0.30827277100797801</v>
      </c>
      <c r="J959">
        <v>20</v>
      </c>
      <c r="K959">
        <v>-6.3975846842367901E-2</v>
      </c>
      <c r="L959">
        <v>14.548581826822165</v>
      </c>
      <c r="M959">
        <v>10</v>
      </c>
      <c r="N959">
        <v>-1.3003152650981065</v>
      </c>
      <c r="O959">
        <v>37.339899864952294</v>
      </c>
      <c r="P959" s="1">
        <f t="shared" si="70"/>
        <v>1.8531600604205163</v>
      </c>
      <c r="Q959" s="1">
        <f t="shared" si="71"/>
        <v>0.27797400906307745</v>
      </c>
      <c r="R959" s="1">
        <f t="shared" si="72"/>
        <v>0.52723240517164482</v>
      </c>
      <c r="S959" s="1">
        <f t="shared" si="73"/>
        <v>2.3449609813972607</v>
      </c>
      <c r="T959" s="56">
        <f t="shared" si="74"/>
        <v>0.9868263209427538</v>
      </c>
    </row>
    <row r="960" spans="1:20" x14ac:dyDescent="0.25">
      <c r="A960">
        <v>0.95813911504864346</v>
      </c>
      <c r="B960">
        <v>-0.63625066104577854</v>
      </c>
      <c r="D960">
        <v>0.9702101393604442</v>
      </c>
      <c r="E960">
        <v>2.7810672202122078</v>
      </c>
      <c r="J960">
        <v>20</v>
      </c>
      <c r="K960">
        <v>6.1807554629922379E-3</v>
      </c>
      <c r="L960">
        <v>18.431480496633732</v>
      </c>
      <c r="M960">
        <v>10</v>
      </c>
      <c r="N960">
        <v>-1.2778816687841754</v>
      </c>
      <c r="O960">
        <v>37.265074830235648</v>
      </c>
      <c r="P960" s="1">
        <f t="shared" si="70"/>
        <v>1.989162690245335</v>
      </c>
      <c r="Q960" s="1">
        <f t="shared" si="71"/>
        <v>0.29837440353680023</v>
      </c>
      <c r="R960" s="1">
        <f t="shared" si="72"/>
        <v>0.54623658201991587</v>
      </c>
      <c r="S960" s="1">
        <f t="shared" si="73"/>
        <v>2.3507441034045402</v>
      </c>
      <c r="T960" s="56">
        <f t="shared" si="74"/>
        <v>0.98699517318908381</v>
      </c>
    </row>
    <row r="961" spans="1:20" x14ac:dyDescent="0.25">
      <c r="A961">
        <v>0.9590803311139493</v>
      </c>
      <c r="B961">
        <v>0.6644154382229317</v>
      </c>
      <c r="D961">
        <v>0.9703305616144019</v>
      </c>
      <c r="E961">
        <v>-2.4613193579625658</v>
      </c>
      <c r="J961">
        <v>20</v>
      </c>
      <c r="K961">
        <v>-8.9147192738892045E-2</v>
      </c>
      <c r="L961">
        <v>24.941894651916328</v>
      </c>
      <c r="M961">
        <v>10</v>
      </c>
      <c r="N961">
        <v>-1.7063948723716749</v>
      </c>
      <c r="O961">
        <v>63.306277151301572</v>
      </c>
      <c r="P961" s="1">
        <f t="shared" si="70"/>
        <v>3.1517204215434966</v>
      </c>
      <c r="Q961" s="1">
        <f t="shared" si="71"/>
        <v>0.47275806323152447</v>
      </c>
      <c r="R961" s="1">
        <f t="shared" si="72"/>
        <v>0.68757404199949579</v>
      </c>
      <c r="S961" s="1">
        <f t="shared" si="73"/>
        <v>2.3521069453549392</v>
      </c>
      <c r="T961" s="56">
        <f t="shared" si="74"/>
        <v>0.98703467651637988</v>
      </c>
    </row>
    <row r="962" spans="1:20" x14ac:dyDescent="0.25">
      <c r="A962">
        <v>0.95994709120208921</v>
      </c>
      <c r="B962">
        <v>-0.72101329351426102</v>
      </c>
      <c r="D962">
        <v>0.97166558727365604</v>
      </c>
      <c r="E962">
        <v>0.30758041816625337</v>
      </c>
      <c r="J962">
        <v>20</v>
      </c>
      <c r="K962">
        <v>0.57177612688974477</v>
      </c>
      <c r="L962">
        <v>19.605624654647286</v>
      </c>
      <c r="M962">
        <v>10</v>
      </c>
      <c r="N962">
        <v>-1.2587894423177204</v>
      </c>
      <c r="O962">
        <v>92.854373230800064</v>
      </c>
      <c r="P962" s="1">
        <f t="shared" ref="P962:P1001" si="75">(L962+O962)/(J962+M962-2)</f>
        <v>4.0164284959088343</v>
      </c>
      <c r="Q962" s="1">
        <f t="shared" ref="Q962:Q1001" si="76">P962*0.15</f>
        <v>0.6024642743863251</v>
      </c>
      <c r="R962" s="1">
        <f t="shared" ref="R962:R1001" si="77">SQRT(Q962)</f>
        <v>0.77618572158106924</v>
      </c>
      <c r="S962" s="1">
        <f t="shared" ref="S962:S1001" si="78">(K962-N962)/R962</f>
        <v>2.3584118057191943</v>
      </c>
      <c r="T962" s="56">
        <f t="shared" ref="T962:T1001" si="79">_xlfn.T.DIST(S962,28,TRUE)</f>
        <v>0.98721600997804215</v>
      </c>
    </row>
    <row r="963" spans="1:20" x14ac:dyDescent="0.25">
      <c r="A963">
        <v>0.96004379813262208</v>
      </c>
      <c r="B963">
        <v>0.13933231457485817</v>
      </c>
      <c r="D963">
        <v>0.9718374251081473</v>
      </c>
      <c r="E963">
        <v>-0.19531671910044679</v>
      </c>
      <c r="J963">
        <v>20</v>
      </c>
      <c r="K963">
        <v>7.6393121162254829E-2</v>
      </c>
      <c r="L963">
        <v>18.341327205995171</v>
      </c>
      <c r="M963">
        <v>10</v>
      </c>
      <c r="N963">
        <v>-1.8798923554186331</v>
      </c>
      <c r="O963">
        <v>102.71894742807288</v>
      </c>
      <c r="P963" s="1">
        <f t="shared" si="75"/>
        <v>4.3235812369310018</v>
      </c>
      <c r="Q963" s="1">
        <f t="shared" si="76"/>
        <v>0.64853718553965023</v>
      </c>
      <c r="R963" s="1">
        <f t="shared" si="77"/>
        <v>0.80531806482882917</v>
      </c>
      <c r="S963" s="1">
        <f t="shared" si="78"/>
        <v>2.4292084854655505</v>
      </c>
      <c r="T963" s="56">
        <f t="shared" si="79"/>
        <v>0.98909910478185803</v>
      </c>
    </row>
    <row r="964" spans="1:20" x14ac:dyDescent="0.25">
      <c r="A964">
        <v>0.96021342084614636</v>
      </c>
      <c r="B964">
        <v>0.59830199461430311</v>
      </c>
      <c r="D964">
        <v>0.97318482798768868</v>
      </c>
      <c r="E964">
        <v>-3.6458020565532934</v>
      </c>
      <c r="J964">
        <v>20</v>
      </c>
      <c r="K964">
        <v>0.31824401958147064</v>
      </c>
      <c r="L964">
        <v>15.320081311266508</v>
      </c>
      <c r="M964">
        <v>10</v>
      </c>
      <c r="N964">
        <v>-1.2778168672866741</v>
      </c>
      <c r="O964">
        <v>62.503877907717943</v>
      </c>
      <c r="P964" s="1">
        <f t="shared" si="75"/>
        <v>2.7794271149637306</v>
      </c>
      <c r="Q964" s="1">
        <f t="shared" si="76"/>
        <v>0.41691406724455959</v>
      </c>
      <c r="R964" s="1">
        <f t="shared" si="77"/>
        <v>0.64568883159348478</v>
      </c>
      <c r="S964" s="1">
        <f t="shared" si="78"/>
        <v>2.4718731512348642</v>
      </c>
      <c r="T964" s="56">
        <f t="shared" si="79"/>
        <v>0.99010747637958685</v>
      </c>
    </row>
    <row r="965" spans="1:20" x14ac:dyDescent="0.25">
      <c r="A965">
        <v>0.96069918740078442</v>
      </c>
      <c r="B965">
        <v>0.95989662440842949</v>
      </c>
      <c r="D965">
        <v>0.97450312995633182</v>
      </c>
      <c r="E965">
        <v>0.68639291953331849</v>
      </c>
      <c r="J965">
        <v>20</v>
      </c>
      <c r="K965">
        <v>0.16614791320535005</v>
      </c>
      <c r="L965">
        <v>14.17880383913978</v>
      </c>
      <c r="M965">
        <v>10</v>
      </c>
      <c r="N965">
        <v>-1.4273950944243552</v>
      </c>
      <c r="O965">
        <v>62.420843031424212</v>
      </c>
      <c r="P965" s="1">
        <f t="shared" si="75"/>
        <v>2.7357016739487139</v>
      </c>
      <c r="Q965" s="1">
        <f t="shared" si="76"/>
        <v>0.41035525109230708</v>
      </c>
      <c r="R965" s="1">
        <f t="shared" si="77"/>
        <v>0.64058976817641033</v>
      </c>
      <c r="S965" s="1">
        <f t="shared" si="78"/>
        <v>2.4876185771216748</v>
      </c>
      <c r="T965" s="56">
        <f t="shared" si="79"/>
        <v>0.99045741347711747</v>
      </c>
    </row>
    <row r="966" spans="1:20" x14ac:dyDescent="0.25">
      <c r="A966">
        <v>0.96178805124396261</v>
      </c>
      <c r="B966">
        <v>1.8194032236351632</v>
      </c>
      <c r="D966">
        <v>0.97532235891889085</v>
      </c>
      <c r="E966">
        <v>-0.76549145319404488</v>
      </c>
      <c r="J966">
        <v>20</v>
      </c>
      <c r="K966">
        <v>0.27051862616644939</v>
      </c>
      <c r="L966">
        <v>13.125854047042468</v>
      </c>
      <c r="M966">
        <v>10</v>
      </c>
      <c r="N966">
        <v>-1.8737038124072569</v>
      </c>
      <c r="O966">
        <v>125.38283011078508</v>
      </c>
      <c r="P966" s="1">
        <f t="shared" si="75"/>
        <v>4.9467387199224131</v>
      </c>
      <c r="Q966" s="1">
        <f t="shared" si="76"/>
        <v>0.74201080798836194</v>
      </c>
      <c r="R966" s="1">
        <f t="shared" si="77"/>
        <v>0.86140049221506831</v>
      </c>
      <c r="S966" s="1">
        <f t="shared" si="78"/>
        <v>2.4892282485930508</v>
      </c>
      <c r="T966" s="56">
        <f t="shared" si="79"/>
        <v>0.99049253801200998</v>
      </c>
    </row>
    <row r="967" spans="1:20" x14ac:dyDescent="0.25">
      <c r="A967">
        <v>0.96368213239170186</v>
      </c>
      <c r="B967">
        <v>-0.37631025406881236</v>
      </c>
      <c r="D967">
        <v>0.97575629519464924</v>
      </c>
      <c r="E967">
        <v>-2.5784327169731114</v>
      </c>
      <c r="J967">
        <v>20</v>
      </c>
      <c r="K967">
        <v>0.18692702496991842</v>
      </c>
      <c r="L967">
        <v>12.677385159512498</v>
      </c>
      <c r="M967">
        <v>10</v>
      </c>
      <c r="N967">
        <v>-1.2543205264137214</v>
      </c>
      <c r="O967">
        <v>48.618986316174031</v>
      </c>
      <c r="P967" s="1">
        <f t="shared" si="75"/>
        <v>2.1891561241316615</v>
      </c>
      <c r="Q967" s="1">
        <f t="shared" si="76"/>
        <v>0.32837341861974922</v>
      </c>
      <c r="R967" s="1">
        <f t="shared" si="77"/>
        <v>0.57303875839226548</v>
      </c>
      <c r="S967" s="1">
        <f t="shared" si="78"/>
        <v>2.5150961087296202</v>
      </c>
      <c r="T967" s="56">
        <f t="shared" si="79"/>
        <v>0.99104089883780433</v>
      </c>
    </row>
    <row r="968" spans="1:20" x14ac:dyDescent="0.25">
      <c r="A968">
        <v>0.9641593461863045</v>
      </c>
      <c r="B968">
        <v>-0.20823222257604357</v>
      </c>
      <c r="D968">
        <v>0.97657863523551958</v>
      </c>
      <c r="E968">
        <v>-0.66749453594638908</v>
      </c>
      <c r="J968">
        <v>20</v>
      </c>
      <c r="K968">
        <v>1.7739751001499826E-2</v>
      </c>
      <c r="L968">
        <v>19.392061586812456</v>
      </c>
      <c r="M968">
        <v>10</v>
      </c>
      <c r="N968">
        <v>-1.521765174175016</v>
      </c>
      <c r="O968">
        <v>49.683822362230792</v>
      </c>
      <c r="P968" s="1">
        <f t="shared" si="75"/>
        <v>2.4669958553229732</v>
      </c>
      <c r="Q968" s="1">
        <f t="shared" si="76"/>
        <v>0.37004937829844597</v>
      </c>
      <c r="R968" s="1">
        <f t="shared" si="77"/>
        <v>0.60831684038701905</v>
      </c>
      <c r="S968" s="1">
        <f t="shared" si="78"/>
        <v>2.5307616409190032</v>
      </c>
      <c r="T968" s="56">
        <f t="shared" si="79"/>
        <v>0.99135863702702287</v>
      </c>
    </row>
    <row r="969" spans="1:20" x14ac:dyDescent="0.25">
      <c r="A969">
        <v>0.96567479841832082</v>
      </c>
      <c r="B969">
        <v>0.13925500752520747</v>
      </c>
      <c r="D969">
        <v>0.97678573997389295</v>
      </c>
      <c r="E969">
        <v>5.1252511605071049</v>
      </c>
      <c r="J969">
        <v>20</v>
      </c>
      <c r="K969">
        <v>0.53056049864608212</v>
      </c>
      <c r="L969">
        <v>18.734995244129848</v>
      </c>
      <c r="M969">
        <v>10</v>
      </c>
      <c r="N969">
        <v>-1.142146064694316</v>
      </c>
      <c r="O969">
        <v>62.286074114563654</v>
      </c>
      <c r="P969" s="1">
        <f t="shared" si="75"/>
        <v>2.893609619953339</v>
      </c>
      <c r="Q969" s="1">
        <f t="shared" si="76"/>
        <v>0.43404144299300085</v>
      </c>
      <c r="R969" s="1">
        <f t="shared" si="77"/>
        <v>0.65881821695593756</v>
      </c>
      <c r="S969" s="1">
        <f t="shared" si="78"/>
        <v>2.5389500780186691</v>
      </c>
      <c r="T969" s="56">
        <f t="shared" si="79"/>
        <v>0.99152054489597186</v>
      </c>
    </row>
    <row r="970" spans="1:20" x14ac:dyDescent="0.25">
      <c r="A970">
        <v>0.96607732853089801</v>
      </c>
      <c r="B970">
        <v>0.70758687797933817</v>
      </c>
      <c r="D970">
        <v>0.97719598257619789</v>
      </c>
      <c r="E970">
        <v>5.8656253224853572</v>
      </c>
      <c r="J970">
        <v>20</v>
      </c>
      <c r="K970">
        <v>-0.24118594410538208</v>
      </c>
      <c r="L970">
        <v>27.248535766618243</v>
      </c>
      <c r="M970">
        <v>10</v>
      </c>
      <c r="N970">
        <v>-2.1759472053872742</v>
      </c>
      <c r="O970">
        <v>79.773019159463146</v>
      </c>
      <c r="P970" s="1">
        <f t="shared" si="75"/>
        <v>3.8221983902171925</v>
      </c>
      <c r="Q970" s="1">
        <f t="shared" si="76"/>
        <v>0.57332975853257884</v>
      </c>
      <c r="R970" s="1">
        <f t="shared" si="77"/>
        <v>0.75718541885893365</v>
      </c>
      <c r="S970" s="1">
        <f t="shared" si="78"/>
        <v>2.5552014250321227</v>
      </c>
      <c r="T970" s="56">
        <f t="shared" si="79"/>
        <v>0.9918336003850966</v>
      </c>
    </row>
    <row r="971" spans="1:20" x14ac:dyDescent="0.25">
      <c r="A971">
        <v>0.96680658206593606</v>
      </c>
      <c r="B971">
        <v>-0.74907802627421916</v>
      </c>
      <c r="D971">
        <v>0.97761288067425378</v>
      </c>
      <c r="E971">
        <v>2.7169546649474796</v>
      </c>
      <c r="J971">
        <v>20</v>
      </c>
      <c r="K971">
        <v>-1.2547388905659318E-2</v>
      </c>
      <c r="L971">
        <v>17.745694479730819</v>
      </c>
      <c r="M971">
        <v>10</v>
      </c>
      <c r="N971">
        <v>-2.35542109180642</v>
      </c>
      <c r="O971">
        <v>128.87850040135106</v>
      </c>
      <c r="P971" s="1">
        <f t="shared" si="75"/>
        <v>5.2365783886100674</v>
      </c>
      <c r="Q971" s="1">
        <f t="shared" si="76"/>
        <v>0.78548675829151005</v>
      </c>
      <c r="R971" s="1">
        <f t="shared" si="77"/>
        <v>0.88627690835963346</v>
      </c>
      <c r="S971" s="1">
        <f t="shared" si="78"/>
        <v>2.6435007849150338</v>
      </c>
      <c r="T971" s="56">
        <f t="shared" si="79"/>
        <v>0.99335529766321984</v>
      </c>
    </row>
    <row r="972" spans="1:20" x14ac:dyDescent="0.25">
      <c r="A972">
        <v>0.96716916845664114</v>
      </c>
      <c r="B972">
        <v>-1.3121825759299099</v>
      </c>
      <c r="D972">
        <v>0.97762582766672534</v>
      </c>
      <c r="E972">
        <v>0.95809195613583142</v>
      </c>
      <c r="J972">
        <v>20</v>
      </c>
      <c r="K972">
        <v>0.45858701014367398</v>
      </c>
      <c r="L972">
        <v>18.64760068945958</v>
      </c>
      <c r="M972">
        <v>10</v>
      </c>
      <c r="N972">
        <v>-1.3357739624098031</v>
      </c>
      <c r="O972">
        <v>66.043755526887978</v>
      </c>
      <c r="P972" s="1">
        <f t="shared" si="75"/>
        <v>3.0246912934409842</v>
      </c>
      <c r="Q972" s="1">
        <f t="shared" si="76"/>
        <v>0.45370369401614763</v>
      </c>
      <c r="R972" s="1">
        <f t="shared" si="77"/>
        <v>0.67357530686341793</v>
      </c>
      <c r="S972" s="1">
        <f t="shared" si="78"/>
        <v>2.6639352040815281</v>
      </c>
      <c r="T972" s="56">
        <f t="shared" si="79"/>
        <v>0.99366764764668392</v>
      </c>
    </row>
    <row r="973" spans="1:20" x14ac:dyDescent="0.25">
      <c r="A973">
        <v>0.96775643079960116</v>
      </c>
      <c r="B973">
        <v>-0.51242182053101715</v>
      </c>
      <c r="D973">
        <v>0.97832589247013335</v>
      </c>
      <c r="E973">
        <v>1.6172834841654549</v>
      </c>
      <c r="J973">
        <v>20</v>
      </c>
      <c r="K973">
        <v>0.18575059357317514</v>
      </c>
      <c r="L973">
        <v>11.637305313968653</v>
      </c>
      <c r="M973">
        <v>10</v>
      </c>
      <c r="N973">
        <v>-1.204063213435802</v>
      </c>
      <c r="O973">
        <v>36.883848860703537</v>
      </c>
      <c r="P973" s="1">
        <f t="shared" si="75"/>
        <v>1.7328983633811497</v>
      </c>
      <c r="Q973" s="1">
        <f t="shared" si="76"/>
        <v>0.25993475450717246</v>
      </c>
      <c r="R973" s="1">
        <f t="shared" si="77"/>
        <v>0.50983796887557564</v>
      </c>
      <c r="S973" s="1">
        <f t="shared" si="78"/>
        <v>2.725991181225965</v>
      </c>
      <c r="T973" s="56">
        <f t="shared" si="79"/>
        <v>0.99453424744676222</v>
      </c>
    </row>
    <row r="974" spans="1:20" x14ac:dyDescent="0.25">
      <c r="A974">
        <v>0.96881872636213384</v>
      </c>
      <c r="B974">
        <v>1.0046346687886398</v>
      </c>
      <c r="D974">
        <v>0.97845658956271775</v>
      </c>
      <c r="E974">
        <v>2.239026567849578</v>
      </c>
      <c r="J974">
        <v>20</v>
      </c>
      <c r="K974">
        <v>-0.12039134844599175</v>
      </c>
      <c r="L974">
        <v>10.53616114160023</v>
      </c>
      <c r="M974">
        <v>10</v>
      </c>
      <c r="N974">
        <v>-1.8375067190845584</v>
      </c>
      <c r="O974">
        <v>61.460814285681998</v>
      </c>
      <c r="P974" s="1">
        <f t="shared" si="75"/>
        <v>2.5713205509743653</v>
      </c>
      <c r="Q974" s="1">
        <f t="shared" si="76"/>
        <v>0.38569808264615479</v>
      </c>
      <c r="R974" s="1">
        <f t="shared" si="77"/>
        <v>0.62104595856196887</v>
      </c>
      <c r="S974" s="1">
        <f t="shared" si="78"/>
        <v>2.7648764909678265</v>
      </c>
      <c r="T974" s="56">
        <f t="shared" si="79"/>
        <v>0.9950193031100889</v>
      </c>
    </row>
    <row r="975" spans="1:20" x14ac:dyDescent="0.25">
      <c r="A975">
        <v>0.96972557823184913</v>
      </c>
      <c r="B975">
        <v>-0.43823774831253104</v>
      </c>
      <c r="D975">
        <v>0.97935339442954739</v>
      </c>
      <c r="E975">
        <v>-2.1199621221512643</v>
      </c>
      <c r="J975">
        <v>20</v>
      </c>
      <c r="K975">
        <v>0.19140031781716971</v>
      </c>
      <c r="L975">
        <v>14.095179621439419</v>
      </c>
      <c r="M975">
        <v>10</v>
      </c>
      <c r="N975">
        <v>-1.6322820818004402</v>
      </c>
      <c r="O975">
        <v>64.977585980615103</v>
      </c>
      <c r="P975" s="1">
        <f t="shared" si="75"/>
        <v>2.8240273429305183</v>
      </c>
      <c r="Q975" s="1">
        <f t="shared" si="76"/>
        <v>0.42360410143957772</v>
      </c>
      <c r="R975" s="1">
        <f t="shared" si="77"/>
        <v>0.65084875465777581</v>
      </c>
      <c r="S975" s="1">
        <f t="shared" si="78"/>
        <v>2.8020064363133401</v>
      </c>
      <c r="T975" s="56">
        <f t="shared" si="79"/>
        <v>0.99544450412470542</v>
      </c>
    </row>
    <row r="976" spans="1:20" x14ac:dyDescent="0.25">
      <c r="A976">
        <v>0.96999794584103249</v>
      </c>
      <c r="B976">
        <v>-0.12629016055143438</v>
      </c>
      <c r="D976">
        <v>0.98062088737294573</v>
      </c>
      <c r="E976">
        <v>1.7025520230617985</v>
      </c>
      <c r="J976">
        <v>20</v>
      </c>
      <c r="K976">
        <v>-0.23066218091116752</v>
      </c>
      <c r="L976">
        <v>13.192687574966101</v>
      </c>
      <c r="M976">
        <v>10</v>
      </c>
      <c r="N976">
        <v>-1.5711671073859179</v>
      </c>
      <c r="O976">
        <v>29.215743418301834</v>
      </c>
      <c r="P976" s="1">
        <f t="shared" si="75"/>
        <v>1.5145868211881406</v>
      </c>
      <c r="Q976" s="1">
        <f t="shared" si="76"/>
        <v>0.22718802317822107</v>
      </c>
      <c r="R976" s="1">
        <f t="shared" si="77"/>
        <v>0.47664244793998473</v>
      </c>
      <c r="S976" s="1">
        <f t="shared" si="78"/>
        <v>2.8123909909163962</v>
      </c>
      <c r="T976" s="56">
        <f t="shared" si="79"/>
        <v>0.99555717131334975</v>
      </c>
    </row>
    <row r="977" spans="1:20" x14ac:dyDescent="0.25">
      <c r="A977">
        <v>0.9707154795591264</v>
      </c>
      <c r="B977">
        <v>0.30447608878603205</v>
      </c>
      <c r="D977">
        <v>0.98131788875455916</v>
      </c>
      <c r="E977">
        <v>2.6662515892894589E-2</v>
      </c>
      <c r="J977">
        <v>20</v>
      </c>
      <c r="K977">
        <v>-2.6592715585138649E-2</v>
      </c>
      <c r="L977">
        <v>13.900785440716254</v>
      </c>
      <c r="M977">
        <v>10</v>
      </c>
      <c r="N977">
        <v>-2.2033057155113056</v>
      </c>
      <c r="O977">
        <v>96.248809664584286</v>
      </c>
      <c r="P977" s="1">
        <f t="shared" si="75"/>
        <v>3.9339141109035904</v>
      </c>
      <c r="Q977" s="1">
        <f t="shared" si="76"/>
        <v>0.59008711663553859</v>
      </c>
      <c r="R977" s="1">
        <f t="shared" si="77"/>
        <v>0.7681712807932477</v>
      </c>
      <c r="S977" s="1">
        <f t="shared" si="78"/>
        <v>2.8336297572572575</v>
      </c>
      <c r="T977" s="56">
        <f t="shared" si="79"/>
        <v>0.99577948361259183</v>
      </c>
    </row>
    <row r="978" spans="1:20" x14ac:dyDescent="0.25">
      <c r="A978">
        <v>0.97081582665384469</v>
      </c>
      <c r="B978">
        <v>2.0235120246070437E-2</v>
      </c>
      <c r="D978">
        <v>0.98158825121262028</v>
      </c>
      <c r="E978">
        <v>-3.4132397138364468</v>
      </c>
      <c r="J978">
        <v>20</v>
      </c>
      <c r="K978">
        <v>0.27994639140160871</v>
      </c>
      <c r="L978">
        <v>12.705555727840551</v>
      </c>
      <c r="M978">
        <v>10</v>
      </c>
      <c r="N978">
        <v>-1.6274594861442893</v>
      </c>
      <c r="O978">
        <v>70.776601953254371</v>
      </c>
      <c r="P978" s="1">
        <f t="shared" si="75"/>
        <v>2.9815056314676758</v>
      </c>
      <c r="Q978" s="1">
        <f t="shared" si="76"/>
        <v>0.44722584472015137</v>
      </c>
      <c r="R978" s="1">
        <f t="shared" si="77"/>
        <v>0.66874946334195395</v>
      </c>
      <c r="S978" s="1">
        <f t="shared" si="78"/>
        <v>2.8521979935714397</v>
      </c>
      <c r="T978" s="56">
        <f t="shared" si="79"/>
        <v>0.99596521428818796</v>
      </c>
    </row>
    <row r="979" spans="1:20" x14ac:dyDescent="0.25">
      <c r="A979">
        <v>0.97284777583825521</v>
      </c>
      <c r="B979">
        <v>-7.5997377280145884E-2</v>
      </c>
      <c r="D979">
        <v>0.98170471686727201</v>
      </c>
      <c r="E979">
        <v>-0.20174912037873582</v>
      </c>
      <c r="J979">
        <v>20</v>
      </c>
      <c r="K979">
        <v>0.26218083348794607</v>
      </c>
      <c r="L979">
        <v>10.122176467383854</v>
      </c>
      <c r="M979">
        <v>10</v>
      </c>
      <c r="N979">
        <v>-1.4847904628823017</v>
      </c>
      <c r="O979">
        <v>59.715614216879999</v>
      </c>
      <c r="P979" s="1">
        <f t="shared" si="75"/>
        <v>2.4942068101522805</v>
      </c>
      <c r="Q979" s="1">
        <f t="shared" si="76"/>
        <v>0.37413102152284206</v>
      </c>
      <c r="R979" s="1">
        <f t="shared" si="77"/>
        <v>0.61166250622613938</v>
      </c>
      <c r="S979" s="1">
        <f t="shared" si="78"/>
        <v>2.8561032899478889</v>
      </c>
      <c r="T979" s="56">
        <f t="shared" si="79"/>
        <v>0.99600328367257251</v>
      </c>
    </row>
    <row r="980" spans="1:20" x14ac:dyDescent="0.25">
      <c r="A980">
        <v>0.97519355256641582</v>
      </c>
      <c r="B980">
        <v>0.76108221946924459</v>
      </c>
      <c r="D980">
        <v>0.98185743367191147</v>
      </c>
      <c r="E980">
        <v>-3.0667904445635941</v>
      </c>
      <c r="J980">
        <v>20</v>
      </c>
      <c r="K980">
        <v>0.29908841270298581</v>
      </c>
      <c r="L980">
        <v>31.149772532550905</v>
      </c>
      <c r="M980">
        <v>10</v>
      </c>
      <c r="N980">
        <v>-1.6503565836956113</v>
      </c>
      <c r="O980">
        <v>51.314167747413961</v>
      </c>
      <c r="P980" s="1">
        <f t="shared" si="75"/>
        <v>2.9451407242844598</v>
      </c>
      <c r="Q980" s="1">
        <f t="shared" si="76"/>
        <v>0.44177110864266894</v>
      </c>
      <c r="R980" s="1">
        <f t="shared" si="77"/>
        <v>0.66465864068909009</v>
      </c>
      <c r="S980" s="1">
        <f t="shared" si="78"/>
        <v>2.9330018103390558</v>
      </c>
      <c r="T980" s="56">
        <f t="shared" si="79"/>
        <v>0.99668723963208183</v>
      </c>
    </row>
    <row r="981" spans="1:20" x14ac:dyDescent="0.25">
      <c r="A981">
        <v>0.97719369389193556</v>
      </c>
      <c r="B981">
        <v>1.6265903468593024</v>
      </c>
      <c r="D981">
        <v>0.98254932403136197</v>
      </c>
      <c r="E981">
        <v>3.055655039361227</v>
      </c>
      <c r="J981">
        <v>20</v>
      </c>
      <c r="K981">
        <v>0.11584472758841002</v>
      </c>
      <c r="L981">
        <v>30.010326886120311</v>
      </c>
      <c r="M981">
        <v>10</v>
      </c>
      <c r="N981">
        <v>-2.1002331357067305</v>
      </c>
      <c r="O981">
        <v>76.276261127479387</v>
      </c>
      <c r="P981" s="1">
        <f t="shared" si="75"/>
        <v>3.7959495719142748</v>
      </c>
      <c r="Q981" s="1">
        <f t="shared" si="76"/>
        <v>0.56939243578714116</v>
      </c>
      <c r="R981" s="1">
        <f t="shared" si="77"/>
        <v>0.75458096701887545</v>
      </c>
      <c r="S981" s="1">
        <f t="shared" si="78"/>
        <v>2.9368324409906652</v>
      </c>
      <c r="T981" s="56">
        <f t="shared" si="79"/>
        <v>0.99671823217543498</v>
      </c>
    </row>
    <row r="982" spans="1:20" x14ac:dyDescent="0.25">
      <c r="A982">
        <v>0.97803857747104272</v>
      </c>
      <c r="B982">
        <v>0.34025447348540183</v>
      </c>
      <c r="D982">
        <v>0.98334196341197855</v>
      </c>
      <c r="E982">
        <v>6.673338472182877</v>
      </c>
      <c r="J982">
        <v>20</v>
      </c>
      <c r="K982">
        <v>-0.15513325024585356</v>
      </c>
      <c r="L982">
        <v>11.808411726976537</v>
      </c>
      <c r="M982">
        <v>10</v>
      </c>
      <c r="N982">
        <v>-2.3666815457090706</v>
      </c>
      <c r="O982">
        <v>93.246100336224089</v>
      </c>
      <c r="P982" s="1">
        <f t="shared" si="75"/>
        <v>3.7519468594000225</v>
      </c>
      <c r="Q982" s="1">
        <f t="shared" si="76"/>
        <v>0.56279202891000335</v>
      </c>
      <c r="R982" s="1">
        <f t="shared" si="77"/>
        <v>0.75019466067814911</v>
      </c>
      <c r="S982" s="1">
        <f t="shared" si="78"/>
        <v>2.947965923223256</v>
      </c>
      <c r="T982" s="56">
        <f t="shared" si="79"/>
        <v>0.99680675782930672</v>
      </c>
    </row>
    <row r="983" spans="1:20" x14ac:dyDescent="0.25">
      <c r="A983">
        <v>0.98091838116993235</v>
      </c>
      <c r="B983">
        <v>-0.35830566957884002</v>
      </c>
      <c r="D983">
        <v>0.98363197376227796</v>
      </c>
      <c r="E983">
        <v>-5.1631802796237025</v>
      </c>
      <c r="J983">
        <v>20</v>
      </c>
      <c r="K983">
        <v>0.32768787150416756</v>
      </c>
      <c r="L983">
        <v>16.54055476192508</v>
      </c>
      <c r="M983">
        <v>10</v>
      </c>
      <c r="N983">
        <v>-2.3221475692025706</v>
      </c>
      <c r="O983">
        <v>122.98627744851858</v>
      </c>
      <c r="P983" s="1">
        <f t="shared" si="75"/>
        <v>4.9831011503729883</v>
      </c>
      <c r="Q983" s="1">
        <f t="shared" si="76"/>
        <v>0.74746517255594824</v>
      </c>
      <c r="R983" s="1">
        <f t="shared" si="77"/>
        <v>0.86456068182398182</v>
      </c>
      <c r="S983" s="1">
        <f t="shared" si="78"/>
        <v>3.0649502069841121</v>
      </c>
      <c r="T983" s="56">
        <f t="shared" si="79"/>
        <v>0.99760972999811359</v>
      </c>
    </row>
    <row r="984" spans="1:20" x14ac:dyDescent="0.25">
      <c r="A984">
        <v>0.9816897053939968</v>
      </c>
      <c r="B984">
        <v>-0.37902054828009568</v>
      </c>
      <c r="D984">
        <v>0.98376421741356124</v>
      </c>
      <c r="E984">
        <v>2.2310252882107307</v>
      </c>
      <c r="J984">
        <v>20</v>
      </c>
      <c r="K984">
        <v>-4.8551896725257393E-2</v>
      </c>
      <c r="L984">
        <v>24.560412729068581</v>
      </c>
      <c r="M984">
        <v>10</v>
      </c>
      <c r="N984">
        <v>-1.7564206052611553</v>
      </c>
      <c r="O984">
        <v>32.57788444956995</v>
      </c>
      <c r="P984" s="1">
        <f t="shared" si="75"/>
        <v>2.0406534706656618</v>
      </c>
      <c r="Q984" s="1">
        <f t="shared" si="76"/>
        <v>0.30609802059984925</v>
      </c>
      <c r="R984" s="1">
        <f t="shared" si="77"/>
        <v>0.55326125890021371</v>
      </c>
      <c r="S984" s="1">
        <f t="shared" si="78"/>
        <v>3.0869117999168081</v>
      </c>
      <c r="T984" s="56">
        <f t="shared" si="79"/>
        <v>0.99773724896487892</v>
      </c>
    </row>
    <row r="985" spans="1:20" x14ac:dyDescent="0.25">
      <c r="A985">
        <v>0.98205283671919608</v>
      </c>
      <c r="B985">
        <v>-0.55886971495056059</v>
      </c>
      <c r="D985">
        <v>0.98455018860493648</v>
      </c>
      <c r="E985">
        <v>2.2864612640205451</v>
      </c>
      <c r="J985">
        <v>20</v>
      </c>
      <c r="K985">
        <v>0.20314143966970732</v>
      </c>
      <c r="L985">
        <v>15.086765819651315</v>
      </c>
      <c r="M985">
        <v>10</v>
      </c>
      <c r="N985">
        <v>-2.0850409362083155</v>
      </c>
      <c r="O985">
        <v>87.066030217069255</v>
      </c>
      <c r="P985" s="1">
        <f t="shared" si="75"/>
        <v>3.6483141441685918</v>
      </c>
      <c r="Q985" s="1">
        <f t="shared" si="76"/>
        <v>0.54724712162528877</v>
      </c>
      <c r="R985" s="1">
        <f t="shared" si="77"/>
        <v>0.73976153024152913</v>
      </c>
      <c r="S985" s="1">
        <f t="shared" si="78"/>
        <v>3.0931351284662512</v>
      </c>
      <c r="T985" s="56">
        <f t="shared" si="79"/>
        <v>0.99777218723070726</v>
      </c>
    </row>
    <row r="986" spans="1:20" x14ac:dyDescent="0.25">
      <c r="A986">
        <v>0.98406963866113384</v>
      </c>
      <c r="B986">
        <v>-1.8299124349141493</v>
      </c>
      <c r="D986">
        <v>0.98514142531728677</v>
      </c>
      <c r="E986">
        <v>-4.1409673519865464</v>
      </c>
      <c r="J986">
        <v>20</v>
      </c>
      <c r="K986">
        <v>-4.3412740069470601E-2</v>
      </c>
      <c r="L986">
        <v>13.90759505136278</v>
      </c>
      <c r="M986">
        <v>10</v>
      </c>
      <c r="N986">
        <v>-2.1130402990365837</v>
      </c>
      <c r="O986">
        <v>67.849749457142025</v>
      </c>
      <c r="P986" s="1">
        <f t="shared" si="75"/>
        <v>2.9199051610180287</v>
      </c>
      <c r="Q986" s="1">
        <f t="shared" si="76"/>
        <v>0.43798577415270429</v>
      </c>
      <c r="R986" s="1">
        <f t="shared" si="77"/>
        <v>0.66180493663367634</v>
      </c>
      <c r="S986" s="1">
        <f t="shared" si="78"/>
        <v>3.1272470850617085</v>
      </c>
      <c r="T986" s="56">
        <f t="shared" si="79"/>
        <v>0.99795472717054157</v>
      </c>
    </row>
    <row r="987" spans="1:20" x14ac:dyDescent="0.25">
      <c r="A987">
        <v>0.98511780712785235</v>
      </c>
      <c r="B987">
        <v>0.75955085776513442</v>
      </c>
      <c r="D987">
        <v>0.98550629323176786</v>
      </c>
      <c r="E987">
        <v>0.36036635378877691</v>
      </c>
      <c r="J987">
        <v>20</v>
      </c>
      <c r="K987">
        <v>3.5987625324196415E-2</v>
      </c>
      <c r="L987">
        <v>14.364582768537588</v>
      </c>
      <c r="M987">
        <v>10</v>
      </c>
      <c r="N987">
        <v>-1.5532870099832508</v>
      </c>
      <c r="O987">
        <v>31.751334888695812</v>
      </c>
      <c r="P987" s="1">
        <f t="shared" si="75"/>
        <v>1.646997059186907</v>
      </c>
      <c r="Q987" s="1">
        <f t="shared" si="76"/>
        <v>0.24704955887803604</v>
      </c>
      <c r="R987" s="1">
        <f t="shared" si="77"/>
        <v>0.49704080202538303</v>
      </c>
      <c r="S987" s="1">
        <f t="shared" si="78"/>
        <v>3.1974731829486416</v>
      </c>
      <c r="T987" s="56">
        <f t="shared" si="79"/>
        <v>0.99828651618437547</v>
      </c>
    </row>
    <row r="988" spans="1:20" x14ac:dyDescent="0.25">
      <c r="A988">
        <v>0.98639687837243573</v>
      </c>
      <c r="B988">
        <v>0.91409447122714482</v>
      </c>
      <c r="D988">
        <v>0.98671111914994591</v>
      </c>
      <c r="E988">
        <v>-0.6745237931227166</v>
      </c>
      <c r="J988">
        <v>20</v>
      </c>
      <c r="K988">
        <v>-3.2992545584420441E-2</v>
      </c>
      <c r="L988">
        <v>28.895038214663199</v>
      </c>
      <c r="M988">
        <v>10</v>
      </c>
      <c r="N988">
        <v>-2.09114523727294</v>
      </c>
      <c r="O988">
        <v>45.187586080490114</v>
      </c>
      <c r="P988" s="1">
        <f t="shared" si="75"/>
        <v>2.6458080105411894</v>
      </c>
      <c r="Q988" s="1">
        <f t="shared" si="76"/>
        <v>0.39687120158117839</v>
      </c>
      <c r="R988" s="1">
        <f t="shared" si="77"/>
        <v>0.62997714369743474</v>
      </c>
      <c r="S988" s="1">
        <f t="shared" si="78"/>
        <v>3.2670275616808864</v>
      </c>
      <c r="T988" s="56">
        <f t="shared" si="79"/>
        <v>0.99856388722585476</v>
      </c>
    </row>
    <row r="989" spans="1:20" x14ac:dyDescent="0.25">
      <c r="A989">
        <v>0.98684118101106055</v>
      </c>
      <c r="B989">
        <v>-0.25254166757804342</v>
      </c>
      <c r="D989">
        <v>0.98916677630150063</v>
      </c>
      <c r="E989">
        <v>2.3732270585696824</v>
      </c>
      <c r="J989">
        <v>20</v>
      </c>
      <c r="K989">
        <v>-2.659839992702473E-2</v>
      </c>
      <c r="L989">
        <v>21.851814137827276</v>
      </c>
      <c r="M989">
        <v>10</v>
      </c>
      <c r="N989">
        <v>-2.1214372088707023</v>
      </c>
      <c r="O989">
        <v>52.718558056084952</v>
      </c>
      <c r="P989" s="1">
        <f t="shared" si="75"/>
        <v>2.6632275783540078</v>
      </c>
      <c r="Q989" s="1">
        <f t="shared" si="76"/>
        <v>0.39948413675310118</v>
      </c>
      <c r="R989" s="1">
        <f t="shared" si="77"/>
        <v>0.63204757475454421</v>
      </c>
      <c r="S989" s="1">
        <f t="shared" si="78"/>
        <v>3.3143688744588706</v>
      </c>
      <c r="T989" s="56">
        <f t="shared" si="79"/>
        <v>0.9987274110637796</v>
      </c>
    </row>
    <row r="990" spans="1:20" x14ac:dyDescent="0.25">
      <c r="A990">
        <v>0.98845746230997011</v>
      </c>
      <c r="B990">
        <v>1.0686540008464362</v>
      </c>
      <c r="D990">
        <v>0.9893155514940688</v>
      </c>
      <c r="E990">
        <v>0.61720879443782906</v>
      </c>
      <c r="J990">
        <v>20</v>
      </c>
      <c r="K990">
        <v>0.24112540586429532</v>
      </c>
      <c r="L990">
        <v>17.23630804950318</v>
      </c>
      <c r="M990">
        <v>10</v>
      </c>
      <c r="N990">
        <v>-1.9271991538971633</v>
      </c>
      <c r="O990">
        <v>57.912956243140805</v>
      </c>
      <c r="P990" s="1">
        <f t="shared" si="75"/>
        <v>2.6839022961658565</v>
      </c>
      <c r="Q990" s="1">
        <f t="shared" si="76"/>
        <v>0.40258534442487848</v>
      </c>
      <c r="R990" s="1">
        <f t="shared" si="77"/>
        <v>0.63449613428678864</v>
      </c>
      <c r="S990" s="1">
        <f t="shared" si="78"/>
        <v>3.4173960132929482</v>
      </c>
      <c r="T990" s="56">
        <f t="shared" si="79"/>
        <v>0.99902357704507883</v>
      </c>
    </row>
    <row r="991" spans="1:20" x14ac:dyDescent="0.25">
      <c r="A991">
        <v>0.98935924605922809</v>
      </c>
      <c r="B991">
        <v>-0.11950646694458555</v>
      </c>
      <c r="D991">
        <v>0.98941761831701835</v>
      </c>
      <c r="E991">
        <v>1.5864925410369324</v>
      </c>
      <c r="J991">
        <v>20</v>
      </c>
      <c r="K991">
        <v>0.41232988223782741</v>
      </c>
      <c r="L991">
        <v>13.188850705359631</v>
      </c>
      <c r="M991">
        <v>10</v>
      </c>
      <c r="N991">
        <v>-2.0778694567979983</v>
      </c>
      <c r="O991">
        <v>84.381631436416114</v>
      </c>
      <c r="P991" s="1">
        <f t="shared" si="75"/>
        <v>3.4846600764919908</v>
      </c>
      <c r="Q991" s="1">
        <f t="shared" si="76"/>
        <v>0.5226990114737986</v>
      </c>
      <c r="R991" s="1">
        <f t="shared" si="77"/>
        <v>0.72297926074943442</v>
      </c>
      <c r="S991" s="1">
        <f t="shared" si="78"/>
        <v>3.4443579148515342</v>
      </c>
      <c r="T991" s="56">
        <f t="shared" si="79"/>
        <v>0.99908933562354152</v>
      </c>
    </row>
    <row r="992" spans="1:20" x14ac:dyDescent="0.25">
      <c r="A992">
        <v>0.99111673253308064</v>
      </c>
      <c r="B992">
        <v>1.4564511729986407</v>
      </c>
      <c r="D992">
        <v>0.98953111513740544</v>
      </c>
      <c r="E992">
        <v>-2.5879005568185676</v>
      </c>
      <c r="J992">
        <v>20</v>
      </c>
      <c r="K992">
        <v>0.27210842290514847</v>
      </c>
      <c r="L992">
        <v>12.136158224309813</v>
      </c>
      <c r="M992">
        <v>10</v>
      </c>
      <c r="N992">
        <v>-1.5805943610303075</v>
      </c>
      <c r="O992">
        <v>37.462453438319393</v>
      </c>
      <c r="P992" s="1">
        <f t="shared" si="75"/>
        <v>1.7713789879510433</v>
      </c>
      <c r="Q992" s="1">
        <f t="shared" si="76"/>
        <v>0.2657068481926565</v>
      </c>
      <c r="R992" s="1">
        <f t="shared" si="77"/>
        <v>0.51546760149659887</v>
      </c>
      <c r="S992" s="1">
        <f t="shared" si="78"/>
        <v>3.5942177133079825</v>
      </c>
      <c r="T992" s="56">
        <f t="shared" si="79"/>
        <v>0.9993835995019833</v>
      </c>
    </row>
    <row r="993" spans="1:20" x14ac:dyDescent="0.25">
      <c r="A993">
        <v>0.99145483050833783</v>
      </c>
      <c r="B993">
        <v>1.1633255780907348</v>
      </c>
      <c r="D993">
        <v>0.98957311510748869</v>
      </c>
      <c r="E993">
        <v>1.5014422808690142</v>
      </c>
      <c r="J993">
        <v>20</v>
      </c>
      <c r="K993">
        <v>0.36384847135195741</v>
      </c>
      <c r="L993">
        <v>12.456219539835436</v>
      </c>
      <c r="M993">
        <v>10</v>
      </c>
      <c r="N993">
        <v>-2.1662699543867348</v>
      </c>
      <c r="O993">
        <v>75.711151171922708</v>
      </c>
      <c r="P993" s="1">
        <f t="shared" si="75"/>
        <v>3.1488346682770763</v>
      </c>
      <c r="Q993" s="1">
        <f t="shared" si="76"/>
        <v>0.47232520024156144</v>
      </c>
      <c r="R993" s="1">
        <f t="shared" si="77"/>
        <v>0.68725919436669702</v>
      </c>
      <c r="S993" s="1">
        <f t="shared" si="78"/>
        <v>3.6814617344918505</v>
      </c>
      <c r="T993" s="56">
        <f t="shared" si="79"/>
        <v>0.99950985236577916</v>
      </c>
    </row>
    <row r="994" spans="1:20" x14ac:dyDescent="0.25">
      <c r="A994">
        <v>0.99178396820415193</v>
      </c>
      <c r="B994">
        <v>-2.1348023437894881</v>
      </c>
      <c r="D994">
        <v>0.98974982043201243</v>
      </c>
      <c r="E994">
        <v>-1.2660762001814874</v>
      </c>
      <c r="J994">
        <v>20</v>
      </c>
      <c r="K994">
        <v>0.19762779857046553</v>
      </c>
      <c r="L994">
        <v>15.259815091404077</v>
      </c>
      <c r="M994">
        <v>10</v>
      </c>
      <c r="N994">
        <v>-1.8927946746316593</v>
      </c>
      <c r="O994">
        <v>42.943736869921651</v>
      </c>
      <c r="P994" s="1">
        <f t="shared" si="75"/>
        <v>2.0786982843330617</v>
      </c>
      <c r="Q994" s="1">
        <f t="shared" si="76"/>
        <v>0.31180474264995922</v>
      </c>
      <c r="R994" s="1">
        <f t="shared" si="77"/>
        <v>0.5583947910304673</v>
      </c>
      <c r="S994" s="1">
        <f t="shared" si="78"/>
        <v>3.7436281763023582</v>
      </c>
      <c r="T994" s="56">
        <f t="shared" si="79"/>
        <v>0.99958404066984485</v>
      </c>
    </row>
    <row r="995" spans="1:20" x14ac:dyDescent="0.25">
      <c r="A995">
        <v>0.9918427945914956</v>
      </c>
      <c r="B995">
        <v>0.91409447122714482</v>
      </c>
      <c r="D995">
        <v>0.99044755776566751</v>
      </c>
      <c r="E995">
        <v>1.1592153407491423</v>
      </c>
      <c r="J995">
        <v>20</v>
      </c>
      <c r="K995">
        <v>-0.18107579080606229</v>
      </c>
      <c r="L995">
        <v>10.318814347155252</v>
      </c>
      <c r="M995">
        <v>10</v>
      </c>
      <c r="N995">
        <v>-2.0954937588157918</v>
      </c>
      <c r="O995">
        <v>36.467707467411415</v>
      </c>
      <c r="P995" s="1">
        <f t="shared" si="75"/>
        <v>1.6709472076630953</v>
      </c>
      <c r="Q995" s="1">
        <f t="shared" si="76"/>
        <v>0.25064208114946429</v>
      </c>
      <c r="R995" s="1">
        <f t="shared" si="77"/>
        <v>0.50064166940983279</v>
      </c>
      <c r="S995" s="1">
        <f t="shared" si="78"/>
        <v>3.8239285400803467</v>
      </c>
      <c r="T995" s="56">
        <f t="shared" si="79"/>
        <v>0.99966381040118468</v>
      </c>
    </row>
    <row r="996" spans="1:20" x14ac:dyDescent="0.25">
      <c r="A996">
        <v>0.99296667879472733</v>
      </c>
      <c r="B996">
        <v>-0.58463456298341043</v>
      </c>
      <c r="D996">
        <v>0.99075311396632371</v>
      </c>
      <c r="E996">
        <v>0.75478578423826548</v>
      </c>
      <c r="J996">
        <v>20</v>
      </c>
      <c r="K996">
        <v>0.32124739846040029</v>
      </c>
      <c r="L996">
        <v>26.171182772888713</v>
      </c>
      <c r="M996">
        <v>10</v>
      </c>
      <c r="N996">
        <v>-1.8981036225795833</v>
      </c>
      <c r="O996">
        <v>35.241083951858712</v>
      </c>
      <c r="P996" s="1">
        <f t="shared" si="75"/>
        <v>2.1932952401695509</v>
      </c>
      <c r="Q996" s="1">
        <f t="shared" si="76"/>
        <v>0.32899428602543263</v>
      </c>
      <c r="R996" s="1">
        <f t="shared" si="77"/>
        <v>0.57358023503728983</v>
      </c>
      <c r="S996" s="1">
        <f t="shared" si="78"/>
        <v>3.8692948003964927</v>
      </c>
      <c r="T996" s="56">
        <f t="shared" si="79"/>
        <v>0.99970203956637427</v>
      </c>
    </row>
    <row r="997" spans="1:20" x14ac:dyDescent="0.25">
      <c r="A997">
        <v>0.99346583789166543</v>
      </c>
      <c r="B997">
        <v>-0.50120092964789364</v>
      </c>
      <c r="D997">
        <v>0.99114667830182734</v>
      </c>
      <c r="E997">
        <v>-3.9340936871212762</v>
      </c>
      <c r="J997">
        <v>20</v>
      </c>
      <c r="K997">
        <v>5.1545953283493873E-2</v>
      </c>
      <c r="L997">
        <v>16.33993549636569</v>
      </c>
      <c r="M997">
        <v>10</v>
      </c>
      <c r="N997">
        <v>-2.6402615310416877</v>
      </c>
      <c r="O997">
        <v>50.152768917959165</v>
      </c>
      <c r="P997" s="1">
        <f t="shared" si="75"/>
        <v>2.3747394433687452</v>
      </c>
      <c r="Q997" s="1">
        <f t="shared" si="76"/>
        <v>0.35621091650531178</v>
      </c>
      <c r="R997" s="1">
        <f t="shared" si="77"/>
        <v>0.59683407786864162</v>
      </c>
      <c r="S997" s="1">
        <f t="shared" si="78"/>
        <v>4.5101437470492876</v>
      </c>
      <c r="T997" s="56">
        <f t="shared" si="79"/>
        <v>0.9999471526119843</v>
      </c>
    </row>
    <row r="998" spans="1:20" x14ac:dyDescent="0.25">
      <c r="A998">
        <v>0.99369503725241137</v>
      </c>
      <c r="B998">
        <v>-2.0065181161044165</v>
      </c>
      <c r="D998">
        <v>0.99282052770219775</v>
      </c>
      <c r="E998">
        <v>3.4606302926931676</v>
      </c>
      <c r="J998">
        <v>20</v>
      </c>
      <c r="K998">
        <v>-1.8579157767817378E-2</v>
      </c>
      <c r="L998">
        <v>5.2756264731853619</v>
      </c>
      <c r="M998">
        <v>10</v>
      </c>
      <c r="N998">
        <v>-2.3982115669696213</v>
      </c>
      <c r="O998">
        <v>38.524915952208815</v>
      </c>
      <c r="P998" s="1">
        <f t="shared" si="75"/>
        <v>1.5643050866212207</v>
      </c>
      <c r="Q998" s="1">
        <f t="shared" si="76"/>
        <v>0.2346457629931831</v>
      </c>
      <c r="R998" s="1">
        <f t="shared" si="77"/>
        <v>0.48440248037472217</v>
      </c>
      <c r="S998" s="1">
        <f t="shared" si="78"/>
        <v>4.9125107851656278</v>
      </c>
      <c r="T998" s="56">
        <f t="shared" si="79"/>
        <v>0.99998238553541718</v>
      </c>
    </row>
    <row r="999" spans="1:20" x14ac:dyDescent="0.25">
      <c r="A999">
        <v>0.99397023287504005</v>
      </c>
      <c r="B999">
        <v>-0.44515331865113694</v>
      </c>
      <c r="D999">
        <v>0.99287969789595987</v>
      </c>
      <c r="E999">
        <v>-0.35546168305700121</v>
      </c>
      <c r="J999">
        <v>20</v>
      </c>
      <c r="K999">
        <v>0.22985318537394051</v>
      </c>
      <c r="L999">
        <v>11.940348448135831</v>
      </c>
      <c r="M999">
        <v>10</v>
      </c>
      <c r="N999">
        <v>-3.2482864787652943</v>
      </c>
      <c r="O999">
        <v>73.691314315078074</v>
      </c>
      <c r="P999" s="1">
        <f t="shared" si="75"/>
        <v>3.0582736701147826</v>
      </c>
      <c r="Q999" s="1">
        <f t="shared" si="76"/>
        <v>0.45874105051721736</v>
      </c>
      <c r="R999" s="1">
        <f t="shared" si="77"/>
        <v>0.67730425254623738</v>
      </c>
      <c r="S999" s="1">
        <f t="shared" si="78"/>
        <v>5.1352691955847325</v>
      </c>
      <c r="T999" s="56">
        <f t="shared" si="79"/>
        <v>0.99999041981627979</v>
      </c>
    </row>
    <row r="1000" spans="1:20" x14ac:dyDescent="0.25">
      <c r="A1000">
        <v>0.9940062834038137</v>
      </c>
      <c r="B1000">
        <v>-0.18553464542492293</v>
      </c>
      <c r="D1000">
        <v>0.99411925678871016</v>
      </c>
      <c r="E1000">
        <v>1.2067557656791905</v>
      </c>
      <c r="J1000">
        <v>20</v>
      </c>
      <c r="K1000">
        <v>-0.20039658465975663</v>
      </c>
      <c r="L1000">
        <v>9.8099300394958462</v>
      </c>
      <c r="M1000">
        <v>10</v>
      </c>
      <c r="N1000">
        <v>-3.3016041277278418</v>
      </c>
      <c r="O1000">
        <v>55.01567812836447</v>
      </c>
      <c r="P1000" s="1">
        <f t="shared" si="75"/>
        <v>2.3152002917092966</v>
      </c>
      <c r="Q1000" s="1">
        <f t="shared" si="76"/>
        <v>0.34728004375639449</v>
      </c>
      <c r="R1000" s="1">
        <f t="shared" si="77"/>
        <v>0.58930471214507907</v>
      </c>
      <c r="S1000" s="1">
        <f t="shared" si="78"/>
        <v>5.262485568424589</v>
      </c>
      <c r="T1000" s="56">
        <f t="shared" si="79"/>
        <v>0.99999323210363567</v>
      </c>
    </row>
    <row r="1001" spans="1:20" x14ac:dyDescent="0.25">
      <c r="A1001">
        <v>0.99453714912864521</v>
      </c>
      <c r="B1001">
        <v>-1.734510988171678</v>
      </c>
      <c r="D1001">
        <v>0.99753552465859996</v>
      </c>
      <c r="E1001">
        <v>-1.631853368735392</v>
      </c>
      <c r="J1001">
        <v>20</v>
      </c>
      <c r="K1001">
        <v>1.6067701835709158E-2</v>
      </c>
      <c r="L1001">
        <v>22.238992225678341</v>
      </c>
      <c r="M1001">
        <v>10</v>
      </c>
      <c r="N1001">
        <v>-3.5468007160943671</v>
      </c>
      <c r="O1001">
        <v>56.445404119987749</v>
      </c>
      <c r="P1001" s="1">
        <f t="shared" si="75"/>
        <v>2.8101570123452175</v>
      </c>
      <c r="Q1001" s="1">
        <f t="shared" si="76"/>
        <v>0.42152355185178264</v>
      </c>
      <c r="R1001" s="1">
        <f t="shared" si="77"/>
        <v>0.64924845155901811</v>
      </c>
      <c r="S1001" s="1">
        <f t="shared" si="78"/>
        <v>5.4876810400928679</v>
      </c>
      <c r="T1001" s="56">
        <f t="shared" si="79"/>
        <v>0.99999633715802794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1001"/>
  <sheetViews>
    <sheetView topLeftCell="S1" zoomScaleNormal="100" workbookViewId="0">
      <selection activeCell="T2" sqref="T2"/>
    </sheetView>
  </sheetViews>
  <sheetFormatPr defaultRowHeight="15" x14ac:dyDescent="0.25"/>
  <cols>
    <col min="3" max="3" width="3.28515625" customWidth="1"/>
    <col min="6" max="6" width="9.28515625" customWidth="1"/>
    <col min="7" max="8" width="11.28515625" bestFit="1" customWidth="1"/>
    <col min="9" max="9" width="2.85546875" customWidth="1"/>
    <col min="17" max="17" width="11.85546875" customWidth="1"/>
    <col min="18" max="18" width="11" customWidth="1"/>
    <col min="19" max="19" width="9.85546875" customWidth="1"/>
    <col min="22" max="22" width="13.140625" customWidth="1"/>
    <col min="23" max="23" width="16.7109375" bestFit="1" customWidth="1"/>
    <col min="24" max="24" width="4.7109375" customWidth="1"/>
  </cols>
  <sheetData>
    <row r="1" spans="1:25" s="53" customFormat="1" ht="45" x14ac:dyDescent="0.25">
      <c r="A1" s="17" t="s">
        <v>84</v>
      </c>
      <c r="B1" s="17" t="s">
        <v>85</v>
      </c>
      <c r="C1" s="17"/>
      <c r="D1" s="17" t="s">
        <v>86</v>
      </c>
      <c r="E1" s="17" t="s">
        <v>87</v>
      </c>
      <c r="G1" s="17" t="s">
        <v>85</v>
      </c>
      <c r="H1" s="17" t="s">
        <v>87</v>
      </c>
      <c r="J1" s="16" t="s">
        <v>88</v>
      </c>
      <c r="K1" s="16" t="s">
        <v>89</v>
      </c>
      <c r="L1" s="16" t="s">
        <v>90</v>
      </c>
      <c r="M1" s="16" t="s">
        <v>91</v>
      </c>
      <c r="N1" s="16" t="s">
        <v>92</v>
      </c>
      <c r="O1" s="16" t="s">
        <v>93</v>
      </c>
      <c r="P1" s="16" t="s">
        <v>56</v>
      </c>
      <c r="Q1" s="16" t="s">
        <v>94</v>
      </c>
      <c r="R1" s="16" t="s">
        <v>95</v>
      </c>
      <c r="S1" s="16" t="s">
        <v>5</v>
      </c>
      <c r="T1" s="53" t="s">
        <v>97</v>
      </c>
      <c r="V1" t="s">
        <v>143</v>
      </c>
      <c r="W1" s="53" t="s">
        <v>99</v>
      </c>
      <c r="X1"/>
    </row>
    <row r="2" spans="1:25" x14ac:dyDescent="0.25">
      <c r="A2">
        <v>3.8141823168380551E-4</v>
      </c>
      <c r="B2">
        <v>-1.4094712241785601</v>
      </c>
      <c r="D2">
        <v>7.2436978646517325E-4</v>
      </c>
      <c r="E2">
        <v>1.2027414834392403</v>
      </c>
      <c r="F2" s="53" t="s">
        <v>54</v>
      </c>
      <c r="G2">
        <v>2.2261549474933418E-2</v>
      </c>
      <c r="H2">
        <v>2.2261549474933418E-2</v>
      </c>
      <c r="I2">
        <v>0.64716110837408891</v>
      </c>
      <c r="J2">
        <v>15</v>
      </c>
      <c r="K2">
        <v>-0.22858929090337674</v>
      </c>
      <c r="L2">
        <v>10.422058193184625</v>
      </c>
      <c r="M2">
        <v>15</v>
      </c>
      <c r="N2">
        <v>1.568724425169421</v>
      </c>
      <c r="O2">
        <v>39.383497988310502</v>
      </c>
      <c r="P2" s="1">
        <f t="shared" ref="P2:P65" si="0">(L2+O2)/(J2+M2-2)</f>
        <v>1.7787698636248259</v>
      </c>
      <c r="Q2" s="1">
        <f t="shared" ref="Q2:Q65" si="1">P2*(2/15)</f>
        <v>0.23716931514997677</v>
      </c>
      <c r="R2" s="1">
        <f t="shared" ref="R2:R65" si="2">SQRT(Q2)</f>
        <v>0.48700032356249701</v>
      </c>
      <c r="S2" s="1">
        <f t="shared" ref="S2:S65" si="3">(K2-N2)/R2</f>
        <v>-3.690580127185783</v>
      </c>
      <c r="T2" s="56">
        <f t="shared" ref="T2:T65" si="4">_xlfn.T.DIST(S2,28,TRUE)</f>
        <v>4.7850891199658951E-4</v>
      </c>
      <c r="V2" s="57" t="s">
        <v>100</v>
      </c>
      <c r="W2" s="58">
        <v>25</v>
      </c>
    </row>
    <row r="3" spans="1:25" x14ac:dyDescent="0.25">
      <c r="A3">
        <v>4.1560524831452117E-4</v>
      </c>
      <c r="B3">
        <v>-0.72190687205875292</v>
      </c>
      <c r="D3">
        <v>2.6400976028989609E-3</v>
      </c>
      <c r="E3">
        <v>0.52075688131481002</v>
      </c>
      <c r="F3" s="53" t="s">
        <v>55</v>
      </c>
      <c r="G3">
        <v>0.94407969392186375</v>
      </c>
      <c r="H3">
        <v>9.9830411295785986</v>
      </c>
      <c r="I3">
        <v>3.4179283958670204E-2</v>
      </c>
      <c r="J3">
        <v>15</v>
      </c>
      <c r="K3">
        <v>-0.31863745183121256</v>
      </c>
      <c r="L3">
        <v>6.845602566784394</v>
      </c>
      <c r="M3">
        <v>15</v>
      </c>
      <c r="N3">
        <v>1.9706355908510886</v>
      </c>
      <c r="O3">
        <v>85.727021348691849</v>
      </c>
      <c r="P3" s="1">
        <f t="shared" si="0"/>
        <v>3.3061651398384373</v>
      </c>
      <c r="Q3" s="1">
        <f t="shared" si="1"/>
        <v>0.44082201864512499</v>
      </c>
      <c r="R3" s="1">
        <f t="shared" si="2"/>
        <v>0.66394428881128653</v>
      </c>
      <c r="S3" s="1">
        <f t="shared" si="3"/>
        <v>-3.447989660067674</v>
      </c>
      <c r="T3" s="56">
        <f t="shared" si="4"/>
        <v>9.0214112046164063E-4</v>
      </c>
      <c r="V3" s="57" t="s">
        <v>101</v>
      </c>
      <c r="W3" s="58">
        <v>30</v>
      </c>
    </row>
    <row r="4" spans="1:25" x14ac:dyDescent="0.25">
      <c r="A4">
        <v>6.5684740457871982E-4</v>
      </c>
      <c r="B4">
        <v>-0.85492956714006141</v>
      </c>
      <c r="D4">
        <v>3.6789428541751379E-3</v>
      </c>
      <c r="E4">
        <v>-2.4673220229942672</v>
      </c>
      <c r="I4">
        <v>0.68448144126557842</v>
      </c>
      <c r="J4">
        <v>15</v>
      </c>
      <c r="K4">
        <v>-4.162582930196853E-2</v>
      </c>
      <c r="L4">
        <v>8.8492019923215253</v>
      </c>
      <c r="M4">
        <v>15</v>
      </c>
      <c r="N4">
        <v>1.9698979906479508</v>
      </c>
      <c r="O4">
        <v>82.117380460869086</v>
      </c>
      <c r="P4" s="1">
        <f t="shared" si="0"/>
        <v>3.248806516185379</v>
      </c>
      <c r="Q4" s="1">
        <f t="shared" si="1"/>
        <v>0.43317420215805053</v>
      </c>
      <c r="R4" s="1">
        <f t="shared" si="2"/>
        <v>0.65815970870150542</v>
      </c>
      <c r="S4" s="1">
        <f t="shared" si="3"/>
        <v>-3.0562852653476607</v>
      </c>
      <c r="T4" s="56">
        <f t="shared" si="4"/>
        <v>2.4424439780800999E-3</v>
      </c>
      <c r="V4" s="57" t="s">
        <v>102</v>
      </c>
      <c r="W4" s="58">
        <v>23</v>
      </c>
    </row>
    <row r="5" spans="1:25" x14ac:dyDescent="0.25">
      <c r="A5">
        <v>1.4479656106218819E-3</v>
      </c>
      <c r="B5">
        <v>0.48332594815292396</v>
      </c>
      <c r="D5">
        <v>4.2540938547465101E-3</v>
      </c>
      <c r="E5">
        <v>-3.9971762396362465</v>
      </c>
      <c r="I5">
        <v>0.93658884874842785</v>
      </c>
      <c r="J5">
        <v>15</v>
      </c>
      <c r="K5">
        <v>0.32979846764646936</v>
      </c>
      <c r="L5">
        <v>10.289903241644245</v>
      </c>
      <c r="M5">
        <v>15</v>
      </c>
      <c r="N5">
        <v>2.3809095603155583</v>
      </c>
      <c r="O5">
        <v>88.504939778054123</v>
      </c>
      <c r="P5" s="1">
        <f t="shared" si="0"/>
        <v>3.528387250703513</v>
      </c>
      <c r="Q5" s="1">
        <f t="shared" si="1"/>
        <v>0.47045163342713509</v>
      </c>
      <c r="R5" s="1">
        <f t="shared" si="2"/>
        <v>0.68589476847919983</v>
      </c>
      <c r="S5" s="1">
        <f t="shared" si="3"/>
        <v>-2.9904165871055044</v>
      </c>
      <c r="T5" s="56">
        <f t="shared" si="4"/>
        <v>2.8760467482044551E-3</v>
      </c>
      <c r="V5" s="57" t="s">
        <v>103</v>
      </c>
      <c r="W5" s="58">
        <v>19</v>
      </c>
    </row>
    <row r="6" spans="1:25" x14ac:dyDescent="0.25">
      <c r="A6">
        <v>2.1934684104503166E-3</v>
      </c>
      <c r="B6">
        <v>0.87102534962468781</v>
      </c>
      <c r="D6">
        <v>6.1862469497050432E-3</v>
      </c>
      <c r="E6">
        <v>-0.13354724956116115</v>
      </c>
      <c r="I6">
        <v>0.76590357500273987</v>
      </c>
      <c r="J6">
        <v>15</v>
      </c>
      <c r="K6">
        <v>-4.5669442746050969E-2</v>
      </c>
      <c r="L6">
        <v>20.652317798878897</v>
      </c>
      <c r="M6">
        <v>15</v>
      </c>
      <c r="N6">
        <v>2.3635936906885036</v>
      </c>
      <c r="O6">
        <v>117.98138546244226</v>
      </c>
      <c r="P6" s="1">
        <f t="shared" si="0"/>
        <v>4.9512036879043269</v>
      </c>
      <c r="Q6" s="1">
        <f t="shared" si="1"/>
        <v>0.66016049172057689</v>
      </c>
      <c r="R6" s="1">
        <f t="shared" si="2"/>
        <v>0.81250261028539283</v>
      </c>
      <c r="S6" s="1">
        <f t="shared" si="3"/>
        <v>-2.9652374071614331</v>
      </c>
      <c r="T6" s="56">
        <f t="shared" si="4"/>
        <v>3.0603780063145078E-3</v>
      </c>
      <c r="V6" s="57" t="s">
        <v>104</v>
      </c>
      <c r="W6" s="58">
        <v>29</v>
      </c>
    </row>
    <row r="7" spans="1:25" x14ac:dyDescent="0.25">
      <c r="A7">
        <v>3.1191519667310708E-3</v>
      </c>
      <c r="B7">
        <v>-1.4611077858717181</v>
      </c>
      <c r="D7">
        <v>8.501616503096221E-3</v>
      </c>
      <c r="E7">
        <v>-0.11173984034940077</v>
      </c>
      <c r="I7">
        <v>0.95848462990210281</v>
      </c>
      <c r="J7">
        <v>15</v>
      </c>
      <c r="K7">
        <v>-6.3518352059569835E-2</v>
      </c>
      <c r="L7">
        <v>19.5233188495626</v>
      </c>
      <c r="M7">
        <v>15</v>
      </c>
      <c r="N7">
        <v>2.0645347797199065</v>
      </c>
      <c r="O7">
        <v>89.450715989977837</v>
      </c>
      <c r="P7" s="1">
        <f t="shared" si="0"/>
        <v>3.8919298156978726</v>
      </c>
      <c r="Q7" s="1">
        <f t="shared" si="1"/>
        <v>0.51892397542638302</v>
      </c>
      <c r="R7" s="1">
        <f t="shared" si="2"/>
        <v>0.72036377992399303</v>
      </c>
      <c r="S7" s="1">
        <f t="shared" si="3"/>
        <v>-2.9541367724013154</v>
      </c>
      <c r="T7" s="56">
        <f t="shared" si="4"/>
        <v>3.1451558176107922E-3</v>
      </c>
      <c r="V7" s="57" t="s">
        <v>105</v>
      </c>
      <c r="W7" s="58">
        <v>25</v>
      </c>
    </row>
    <row r="8" spans="1:25" x14ac:dyDescent="0.25">
      <c r="A8">
        <v>5.20537676742161E-3</v>
      </c>
      <c r="B8">
        <v>-5.1774122766801156E-2</v>
      </c>
      <c r="D8">
        <v>8.7962763205858829E-3</v>
      </c>
      <c r="E8">
        <v>-1.9189922147688776</v>
      </c>
      <c r="I8">
        <v>0.16668379468357863</v>
      </c>
      <c r="J8">
        <v>15</v>
      </c>
      <c r="K8">
        <v>0.21533075293215612</v>
      </c>
      <c r="L8">
        <v>8.2248786223132058</v>
      </c>
      <c r="M8">
        <v>15</v>
      </c>
      <c r="N8">
        <v>1.7566462668128224</v>
      </c>
      <c r="O8">
        <v>63.910954755911987</v>
      </c>
      <c r="P8" s="1">
        <f t="shared" si="0"/>
        <v>2.5762797635080426</v>
      </c>
      <c r="Q8" s="1">
        <f t="shared" si="1"/>
        <v>0.34350396846773901</v>
      </c>
      <c r="R8" s="1">
        <f t="shared" si="2"/>
        <v>0.58609211602591871</v>
      </c>
      <c r="S8" s="1">
        <f t="shared" si="3"/>
        <v>-2.6298178592330781</v>
      </c>
      <c r="T8" s="56">
        <f t="shared" si="4"/>
        <v>6.8618117830774967E-3</v>
      </c>
      <c r="V8" s="57" t="s">
        <v>106</v>
      </c>
      <c r="W8" s="58">
        <v>25</v>
      </c>
    </row>
    <row r="9" spans="1:25" x14ac:dyDescent="0.25">
      <c r="A9">
        <v>5.55249599641916E-3</v>
      </c>
      <c r="B9">
        <v>-0.44456214709498454</v>
      </c>
      <c r="D9">
        <v>9.9894857406319648E-3</v>
      </c>
      <c r="E9">
        <v>-0.78342782558138424</v>
      </c>
      <c r="I9">
        <v>0.80243151147384995</v>
      </c>
      <c r="J9">
        <v>15</v>
      </c>
      <c r="K9">
        <v>0.21144910533621442</v>
      </c>
      <c r="L9">
        <v>19.98445942004804</v>
      </c>
      <c r="M9">
        <v>15</v>
      </c>
      <c r="N9">
        <v>2.2838144070647104</v>
      </c>
      <c r="O9">
        <v>113.91245508022499</v>
      </c>
      <c r="P9" s="1">
        <f t="shared" si="0"/>
        <v>4.7820326607240364</v>
      </c>
      <c r="Q9" s="1">
        <f t="shared" si="1"/>
        <v>0.63760435476320487</v>
      </c>
      <c r="R9" s="1">
        <f t="shared" si="2"/>
        <v>0.79850131794706813</v>
      </c>
      <c r="S9" s="1">
        <f t="shared" si="3"/>
        <v>-2.5953185738709963</v>
      </c>
      <c r="T9" s="56">
        <f t="shared" si="4"/>
        <v>7.4388596195853881E-3</v>
      </c>
      <c r="V9" s="57" t="s">
        <v>107</v>
      </c>
      <c r="W9" s="58">
        <v>20</v>
      </c>
    </row>
    <row r="10" spans="1:25" x14ac:dyDescent="0.25">
      <c r="A10">
        <v>6.3153920958752829E-3</v>
      </c>
      <c r="B10">
        <v>0.58699470173451118</v>
      </c>
      <c r="D10">
        <v>1.0014701555909333E-2</v>
      </c>
      <c r="E10">
        <v>-4.3361221776194725</v>
      </c>
      <c r="I10">
        <v>0.27142444836522006</v>
      </c>
      <c r="J10">
        <v>15</v>
      </c>
      <c r="K10">
        <v>-1.222482145143052E-2</v>
      </c>
      <c r="L10">
        <v>16.13810865619477</v>
      </c>
      <c r="M10">
        <v>15</v>
      </c>
      <c r="N10">
        <v>1.364805708590211</v>
      </c>
      <c r="O10">
        <v>47.192728033614863</v>
      </c>
      <c r="P10" s="1">
        <f t="shared" si="0"/>
        <v>2.2618155960646296</v>
      </c>
      <c r="Q10" s="1">
        <f t="shared" si="1"/>
        <v>0.30157541280861727</v>
      </c>
      <c r="R10" s="1">
        <f t="shared" si="2"/>
        <v>0.54915882293614959</v>
      </c>
      <c r="S10" s="1">
        <f t="shared" si="3"/>
        <v>-2.5075269166744283</v>
      </c>
      <c r="T10" s="56">
        <f t="shared" si="4"/>
        <v>9.1164582524869853E-3</v>
      </c>
      <c r="V10" s="57" t="s">
        <v>108</v>
      </c>
      <c r="W10" s="58">
        <v>19</v>
      </c>
    </row>
    <row r="11" spans="1:25" x14ac:dyDescent="0.25">
      <c r="A11">
        <v>7.117407004786469E-3</v>
      </c>
      <c r="B11">
        <v>-0.43823774831253104</v>
      </c>
      <c r="D11">
        <v>1.1280473548908265E-2</v>
      </c>
      <c r="E11">
        <v>-0.27784313147094508</v>
      </c>
      <c r="I11">
        <v>0.50725615051057316</v>
      </c>
      <c r="J11">
        <v>15</v>
      </c>
      <c r="K11">
        <v>-0.38973833701068844</v>
      </c>
      <c r="L11">
        <v>8.3682807213794561</v>
      </c>
      <c r="M11">
        <v>15</v>
      </c>
      <c r="N11">
        <v>1.1711560966887191</v>
      </c>
      <c r="O11">
        <v>73.686231723178352</v>
      </c>
      <c r="P11" s="1">
        <f t="shared" si="0"/>
        <v>2.9305183015913507</v>
      </c>
      <c r="Q11" s="1">
        <f t="shared" si="1"/>
        <v>0.39073577354551342</v>
      </c>
      <c r="R11" s="1">
        <f t="shared" si="2"/>
        <v>0.62508861255466286</v>
      </c>
      <c r="S11" s="1">
        <f t="shared" si="3"/>
        <v>-2.4970770581153565</v>
      </c>
      <c r="T11" s="56">
        <f t="shared" si="4"/>
        <v>9.3378939949479798E-3</v>
      </c>
      <c r="V11" s="57" t="s">
        <v>109</v>
      </c>
      <c r="W11" s="58">
        <v>22</v>
      </c>
      <c r="Y11" s="53" t="s">
        <v>110</v>
      </c>
    </row>
    <row r="12" spans="1:25" hidden="1" x14ac:dyDescent="0.25">
      <c r="A12">
        <v>7.2197670145603965E-3</v>
      </c>
      <c r="B12">
        <v>2.4673454390722327E-2</v>
      </c>
      <c r="D12">
        <v>1.1486773588246679E-2</v>
      </c>
      <c r="E12">
        <v>4.4739892894085642</v>
      </c>
      <c r="I12">
        <v>0.45712842533151665</v>
      </c>
      <c r="J12">
        <v>15</v>
      </c>
      <c r="K12">
        <v>4.1120604995133668E-2</v>
      </c>
      <c r="L12">
        <v>29.661126272625218</v>
      </c>
      <c r="M12">
        <v>15</v>
      </c>
      <c r="N12">
        <v>2.0112665845317679</v>
      </c>
      <c r="O12">
        <v>109.26109651176253</v>
      </c>
      <c r="P12" s="1">
        <f t="shared" si="0"/>
        <v>4.9615079565852769</v>
      </c>
      <c r="Q12" s="1">
        <f t="shared" si="1"/>
        <v>0.66153439421137028</v>
      </c>
      <c r="R12" s="1">
        <f t="shared" si="2"/>
        <v>0.81334764658869596</v>
      </c>
      <c r="S12" s="1">
        <f t="shared" si="3"/>
        <v>-2.4222680028641221</v>
      </c>
      <c r="T12" s="56">
        <f t="shared" si="4"/>
        <v>1.1073581009241591E-2</v>
      </c>
      <c r="V12" s="57" t="s">
        <v>111</v>
      </c>
      <c r="W12" s="58">
        <v>24</v>
      </c>
      <c r="Y12" s="53"/>
    </row>
    <row r="13" spans="1:25" hidden="1" x14ac:dyDescent="0.25">
      <c r="A13">
        <v>8.2553574204736746E-3</v>
      </c>
      <c r="B13">
        <v>-1.5446130419149995</v>
      </c>
      <c r="D13">
        <v>1.2254856154104599E-2</v>
      </c>
      <c r="E13">
        <v>0.12637496752176958</v>
      </c>
      <c r="I13">
        <v>0.15345404039277255</v>
      </c>
      <c r="J13">
        <v>15</v>
      </c>
      <c r="K13">
        <v>-0.16937997315835673</v>
      </c>
      <c r="L13">
        <v>13.606101801256729</v>
      </c>
      <c r="M13">
        <v>15</v>
      </c>
      <c r="N13">
        <v>1.837996020412902</v>
      </c>
      <c r="O13">
        <v>134.38233303200121</v>
      </c>
      <c r="P13" s="1">
        <f t="shared" si="0"/>
        <v>5.2853012440449261</v>
      </c>
      <c r="Q13" s="1">
        <f t="shared" si="1"/>
        <v>0.70470683253932342</v>
      </c>
      <c r="R13" s="1">
        <f t="shared" si="2"/>
        <v>0.83946818435204762</v>
      </c>
      <c r="S13" s="1">
        <f t="shared" si="3"/>
        <v>-2.3912472574772718</v>
      </c>
      <c r="T13" s="56">
        <f t="shared" si="4"/>
        <v>1.1876459877153968E-2</v>
      </c>
      <c r="V13" s="57" t="s">
        <v>112</v>
      </c>
      <c r="W13" s="58">
        <v>29</v>
      </c>
      <c r="Y13" s="53"/>
    </row>
    <row r="14" spans="1:25" hidden="1" x14ac:dyDescent="0.25">
      <c r="A14">
        <v>8.8904305669096351E-3</v>
      </c>
      <c r="B14">
        <v>-0.63625066104577854</v>
      </c>
      <c r="D14">
        <v>1.2677502313525713E-2</v>
      </c>
      <c r="E14">
        <v>-1.8475536796813685</v>
      </c>
      <c r="I14">
        <v>0.54198685073935093</v>
      </c>
      <c r="J14">
        <v>15</v>
      </c>
      <c r="K14">
        <v>-0.3429181560932193</v>
      </c>
      <c r="L14">
        <v>7.6048052746342583</v>
      </c>
      <c r="M14">
        <v>15</v>
      </c>
      <c r="N14">
        <v>0.81752363826126384</v>
      </c>
      <c r="O14">
        <v>42.797420928980472</v>
      </c>
      <c r="P14" s="1">
        <f t="shared" si="0"/>
        <v>1.8000795072719546</v>
      </c>
      <c r="Q14" s="1">
        <f t="shared" si="1"/>
        <v>0.24001060096959395</v>
      </c>
      <c r="R14" s="1">
        <f t="shared" si="2"/>
        <v>0.48990876800644623</v>
      </c>
      <c r="S14" s="1">
        <f t="shared" si="3"/>
        <v>-2.3686895808715431</v>
      </c>
      <c r="T14" s="56">
        <f t="shared" si="4"/>
        <v>1.2493343020216241E-2</v>
      </c>
      <c r="V14" s="57" t="s">
        <v>113</v>
      </c>
      <c r="W14" s="58">
        <v>29</v>
      </c>
      <c r="Y14" s="53"/>
    </row>
    <row r="15" spans="1:25" hidden="1" x14ac:dyDescent="0.25">
      <c r="A15">
        <v>1.042365788741495E-2</v>
      </c>
      <c r="B15">
        <v>0.48805986807565205</v>
      </c>
      <c r="D15">
        <v>1.2812235214044176E-2</v>
      </c>
      <c r="E15">
        <v>1.6033375197821442</v>
      </c>
      <c r="I15">
        <v>0.95992783286331196</v>
      </c>
      <c r="J15">
        <v>15</v>
      </c>
      <c r="K15">
        <v>-7.2441177204988591E-2</v>
      </c>
      <c r="L15">
        <v>10.751966309692561</v>
      </c>
      <c r="M15">
        <v>15</v>
      </c>
      <c r="N15">
        <v>1.5087739450336812</v>
      </c>
      <c r="O15">
        <v>84.550646589361435</v>
      </c>
      <c r="P15" s="1">
        <f t="shared" si="0"/>
        <v>3.4036647463947856</v>
      </c>
      <c r="Q15" s="1">
        <f t="shared" si="1"/>
        <v>0.45382196618597143</v>
      </c>
      <c r="R15" s="1">
        <f t="shared" si="2"/>
        <v>0.67366309546090719</v>
      </c>
      <c r="S15" s="1">
        <f t="shared" si="3"/>
        <v>-2.3471897642794777</v>
      </c>
      <c r="T15" s="56">
        <f t="shared" si="4"/>
        <v>1.3108369290299035E-2</v>
      </c>
      <c r="V15" s="57" t="s">
        <v>114</v>
      </c>
      <c r="W15" s="58">
        <v>24</v>
      </c>
      <c r="Y15" s="53"/>
    </row>
    <row r="16" spans="1:25" hidden="1" x14ac:dyDescent="0.25">
      <c r="A16">
        <v>1.1918053307851673E-2</v>
      </c>
      <c r="B16">
        <v>-0.77826143751735799</v>
      </c>
      <c r="D16">
        <v>1.2960178390699073E-2</v>
      </c>
      <c r="E16">
        <v>-2.2643023419277597</v>
      </c>
      <c r="I16">
        <v>0.55557091575269935</v>
      </c>
      <c r="J16">
        <v>15</v>
      </c>
      <c r="K16">
        <v>7.6150475554944322E-2</v>
      </c>
      <c r="L16">
        <v>23.187168107094539</v>
      </c>
      <c r="M16">
        <v>15</v>
      </c>
      <c r="N16">
        <v>1.5972448147749674</v>
      </c>
      <c r="O16">
        <v>67.072811273631146</v>
      </c>
      <c r="P16" s="1">
        <f t="shared" si="0"/>
        <v>3.2235706921687743</v>
      </c>
      <c r="Q16" s="1">
        <f t="shared" si="1"/>
        <v>0.42980942562250324</v>
      </c>
      <c r="R16" s="1">
        <f t="shared" si="2"/>
        <v>0.65559852472569158</v>
      </c>
      <c r="S16" s="1">
        <f t="shared" si="3"/>
        <v>-2.3201613210714025</v>
      </c>
      <c r="T16" s="56">
        <f t="shared" si="4"/>
        <v>1.3920626603158849E-2</v>
      </c>
      <c r="V16" s="57" t="s">
        <v>115</v>
      </c>
      <c r="W16" s="58">
        <v>27</v>
      </c>
      <c r="Y16" s="53"/>
    </row>
    <row r="17" spans="1:25" hidden="1" x14ac:dyDescent="0.25">
      <c r="A17">
        <v>1.2962083240502742E-2</v>
      </c>
      <c r="B17">
        <v>0.11950646694458555</v>
      </c>
      <c r="D17">
        <v>1.5265229238902722E-2</v>
      </c>
      <c r="E17">
        <v>0.52193012948009709</v>
      </c>
      <c r="I17">
        <v>5.4369234608022343E-2</v>
      </c>
      <c r="J17">
        <v>15</v>
      </c>
      <c r="K17">
        <v>-0.13579650233926563</v>
      </c>
      <c r="L17">
        <v>9.2240804312060884</v>
      </c>
      <c r="M17">
        <v>15</v>
      </c>
      <c r="N17">
        <v>1.5407324519856047</v>
      </c>
      <c r="O17">
        <v>105.94034601463238</v>
      </c>
      <c r="P17" s="1">
        <f t="shared" si="0"/>
        <v>4.113015230208517</v>
      </c>
      <c r="Q17" s="1">
        <f t="shared" si="1"/>
        <v>0.54840203069446891</v>
      </c>
      <c r="R17" s="1">
        <f t="shared" si="2"/>
        <v>0.74054171435137195</v>
      </c>
      <c r="S17" s="1">
        <f t="shared" si="3"/>
        <v>-2.2639223717374435</v>
      </c>
      <c r="T17" s="56">
        <f t="shared" si="4"/>
        <v>1.575895464154704E-2</v>
      </c>
      <c r="V17" s="57" t="s">
        <v>116</v>
      </c>
      <c r="W17" s="58">
        <v>25</v>
      </c>
      <c r="Y17" s="53"/>
    </row>
    <row r="18" spans="1:25" hidden="1" x14ac:dyDescent="0.25">
      <c r="A18">
        <v>1.3234335380588713E-2</v>
      </c>
      <c r="B18">
        <v>2.2814310796093196</v>
      </c>
      <c r="D18">
        <v>1.5346689644984091E-2</v>
      </c>
      <c r="E18">
        <v>2.1930788955160097</v>
      </c>
      <c r="I18">
        <v>0.70378712504497642</v>
      </c>
      <c r="J18">
        <v>15</v>
      </c>
      <c r="K18">
        <v>-0.52286600293882657</v>
      </c>
      <c r="L18">
        <v>17.364605164697419</v>
      </c>
      <c r="M18">
        <v>15</v>
      </c>
      <c r="N18">
        <v>1.093185115905726</v>
      </c>
      <c r="O18">
        <v>91.439498988762907</v>
      </c>
      <c r="P18" s="1">
        <f t="shared" si="0"/>
        <v>3.8858608626235833</v>
      </c>
      <c r="Q18" s="1">
        <f t="shared" si="1"/>
        <v>0.5181147816831444</v>
      </c>
      <c r="R18" s="1">
        <f t="shared" si="2"/>
        <v>0.71980190447312964</v>
      </c>
      <c r="S18" s="1">
        <f t="shared" si="3"/>
        <v>-2.2451331523323028</v>
      </c>
      <c r="T18" s="56">
        <f t="shared" si="4"/>
        <v>1.6420414656748646E-2</v>
      </c>
      <c r="V18" s="57" t="s">
        <v>117</v>
      </c>
      <c r="W18" s="58">
        <v>32</v>
      </c>
      <c r="Y18" s="53"/>
    </row>
    <row r="19" spans="1:25" hidden="1" x14ac:dyDescent="0.25">
      <c r="A19">
        <v>1.3332058496888344E-2</v>
      </c>
      <c r="B19">
        <v>0.5630772648146376</v>
      </c>
      <c r="D19">
        <v>1.6434198654888377E-2</v>
      </c>
      <c r="E19">
        <v>-1.2949810786722082</v>
      </c>
      <c r="I19">
        <v>0.7285391715038525</v>
      </c>
      <c r="J19">
        <v>15</v>
      </c>
      <c r="K19">
        <v>0.11472767861657</v>
      </c>
      <c r="L19">
        <v>13.539812874632112</v>
      </c>
      <c r="M19">
        <v>15</v>
      </c>
      <c r="N19">
        <v>1.8412326846828364</v>
      </c>
      <c r="O19">
        <v>112.63596719663008</v>
      </c>
      <c r="P19" s="1">
        <f t="shared" si="0"/>
        <v>4.5062778596879349</v>
      </c>
      <c r="Q19" s="1">
        <f t="shared" si="1"/>
        <v>0.60083704795839132</v>
      </c>
      <c r="R19" s="1">
        <f t="shared" si="2"/>
        <v>0.77513679306196748</v>
      </c>
      <c r="S19" s="1">
        <f t="shared" si="3"/>
        <v>-2.2273552507373271</v>
      </c>
      <c r="T19" s="56">
        <f t="shared" si="4"/>
        <v>1.7069230240995808E-2</v>
      </c>
      <c r="V19" s="57" t="s">
        <v>118</v>
      </c>
      <c r="W19" s="58">
        <v>24</v>
      </c>
      <c r="Y19" s="53"/>
    </row>
    <row r="20" spans="1:25" hidden="1" x14ac:dyDescent="0.25">
      <c r="A20">
        <v>1.4601282392132542E-2</v>
      </c>
      <c r="B20">
        <v>0.80505287769483402</v>
      </c>
      <c r="D20">
        <v>1.6508399955097786E-2</v>
      </c>
      <c r="E20">
        <v>2.2702745320657414</v>
      </c>
      <c r="I20">
        <v>0.48196185627411448</v>
      </c>
      <c r="J20">
        <v>15</v>
      </c>
      <c r="K20">
        <v>-1.3754591539812584E-3</v>
      </c>
      <c r="L20">
        <v>13.377231085130106</v>
      </c>
      <c r="M20">
        <v>15</v>
      </c>
      <c r="N20">
        <v>1.6233395820108854</v>
      </c>
      <c r="O20">
        <v>99.966857094178394</v>
      </c>
      <c r="P20" s="1">
        <f t="shared" si="0"/>
        <v>4.0480031492610182</v>
      </c>
      <c r="Q20" s="1">
        <f t="shared" si="1"/>
        <v>0.53973375323480244</v>
      </c>
      <c r="R20" s="1">
        <f t="shared" si="2"/>
        <v>0.73466574252159222</v>
      </c>
      <c r="S20" s="1">
        <f t="shared" si="3"/>
        <v>-2.2115023841840773</v>
      </c>
      <c r="T20" s="56">
        <f t="shared" si="4"/>
        <v>1.7667170679440226E-2</v>
      </c>
      <c r="V20" s="57" t="s">
        <v>119</v>
      </c>
      <c r="W20" s="58">
        <v>22</v>
      </c>
      <c r="Y20" s="53"/>
    </row>
    <row r="21" spans="1:25" hidden="1" x14ac:dyDescent="0.25">
      <c r="A21">
        <v>1.609560051102199E-2</v>
      </c>
      <c r="B21">
        <v>-1.7089178072637878</v>
      </c>
      <c r="D21">
        <v>1.9823950002994084E-2</v>
      </c>
      <c r="E21">
        <v>-2.1654766476331133</v>
      </c>
      <c r="I21">
        <v>0.46749903506515778</v>
      </c>
      <c r="J21">
        <v>15</v>
      </c>
      <c r="K21">
        <v>-8.9417653725831769E-2</v>
      </c>
      <c r="L21">
        <v>20.388653017969347</v>
      </c>
      <c r="M21">
        <v>15</v>
      </c>
      <c r="N21">
        <v>1.6517303686214291</v>
      </c>
      <c r="O21">
        <v>109.95214463421685</v>
      </c>
      <c r="P21" s="1">
        <f t="shared" si="0"/>
        <v>4.655028487578079</v>
      </c>
      <c r="Q21" s="1">
        <f t="shared" si="1"/>
        <v>0.62067046501041057</v>
      </c>
      <c r="R21" s="1">
        <f t="shared" si="2"/>
        <v>0.78782641807089115</v>
      </c>
      <c r="S21" s="1">
        <f t="shared" si="3"/>
        <v>-2.2100655454163594</v>
      </c>
      <c r="T21" s="56">
        <f t="shared" si="4"/>
        <v>1.7722286058248767E-2</v>
      </c>
      <c r="V21" s="57" t="s">
        <v>120</v>
      </c>
      <c r="W21" s="58">
        <v>22</v>
      </c>
      <c r="Y21" s="53"/>
    </row>
    <row r="22" spans="1:25" hidden="1" x14ac:dyDescent="0.25">
      <c r="A22">
        <v>1.9477459753017734E-2</v>
      </c>
      <c r="B22">
        <v>-0.30607907319790684</v>
      </c>
      <c r="D22">
        <v>2.0422557957124443E-2</v>
      </c>
      <c r="E22">
        <v>0.61532614040515909</v>
      </c>
      <c r="I22">
        <v>0.39996970478210769</v>
      </c>
      <c r="J22">
        <v>15</v>
      </c>
      <c r="K22">
        <v>0.38690359360771254</v>
      </c>
      <c r="L22">
        <v>6.7753590273701834</v>
      </c>
      <c r="M22">
        <v>15</v>
      </c>
      <c r="N22">
        <v>1.9014594238342397</v>
      </c>
      <c r="O22">
        <v>97.24594881977653</v>
      </c>
      <c r="P22" s="1">
        <f t="shared" si="0"/>
        <v>3.7150467088266685</v>
      </c>
      <c r="Q22" s="1">
        <f t="shared" si="1"/>
        <v>0.49533956117688915</v>
      </c>
      <c r="R22" s="1">
        <f t="shared" si="2"/>
        <v>0.70380363822368042</v>
      </c>
      <c r="S22" s="1">
        <f t="shared" si="3"/>
        <v>-2.1519579439076106</v>
      </c>
      <c r="T22" s="56">
        <f t="shared" si="4"/>
        <v>2.0084794565177169E-2</v>
      </c>
      <c r="V22" s="57" t="s">
        <v>121</v>
      </c>
      <c r="W22" s="58">
        <v>24</v>
      </c>
      <c r="Y22" s="53"/>
    </row>
    <row r="23" spans="1:25" hidden="1" x14ac:dyDescent="0.25">
      <c r="A23">
        <v>1.9510196540422076E-2</v>
      </c>
      <c r="B23">
        <v>0.36901155908708461</v>
      </c>
      <c r="D23">
        <v>2.2573666936582915E-2</v>
      </c>
      <c r="E23">
        <v>-0.59157105511076225</v>
      </c>
      <c r="I23">
        <v>0.21419948446087933</v>
      </c>
      <c r="J23">
        <v>15</v>
      </c>
      <c r="K23">
        <v>-0.39209582306890906</v>
      </c>
      <c r="L23">
        <v>16.589623074721814</v>
      </c>
      <c r="M23">
        <v>15</v>
      </c>
      <c r="N23">
        <v>1.1817128290658729</v>
      </c>
      <c r="O23">
        <v>99.636025157063557</v>
      </c>
      <c r="P23" s="1">
        <f t="shared" si="0"/>
        <v>4.150916008278049</v>
      </c>
      <c r="Q23" s="1">
        <f t="shared" si="1"/>
        <v>0.55345546777040655</v>
      </c>
      <c r="R23" s="1">
        <f t="shared" si="2"/>
        <v>0.74394587690933978</v>
      </c>
      <c r="S23" s="1">
        <f t="shared" si="3"/>
        <v>-2.1154881033456854</v>
      </c>
      <c r="T23" s="56">
        <f t="shared" si="4"/>
        <v>2.1707740521942048E-2</v>
      </c>
      <c r="V23" s="57" t="s">
        <v>122</v>
      </c>
      <c r="W23" s="58">
        <v>32</v>
      </c>
      <c r="Y23" s="53"/>
    </row>
    <row r="24" spans="1:25" hidden="1" x14ac:dyDescent="0.25">
      <c r="A24">
        <v>2.2225878799441268E-2</v>
      </c>
      <c r="B24">
        <v>-0.48066226554510649</v>
      </c>
      <c r="D24">
        <v>2.2699388855499936E-2</v>
      </c>
      <c r="E24">
        <v>4.1587323948988342E-2</v>
      </c>
      <c r="I24">
        <v>9.5060192037722202E-2</v>
      </c>
      <c r="J24">
        <v>15</v>
      </c>
      <c r="K24">
        <v>-0.15279366986457413</v>
      </c>
      <c r="L24">
        <v>21.339382841038919</v>
      </c>
      <c r="M24">
        <v>15</v>
      </c>
      <c r="N24">
        <v>1.7034451468589396</v>
      </c>
      <c r="O24">
        <v>142.92234982083309</v>
      </c>
      <c r="P24" s="1">
        <f t="shared" si="0"/>
        <v>5.8664904522097148</v>
      </c>
      <c r="Q24" s="1">
        <f t="shared" si="1"/>
        <v>0.78219872696129533</v>
      </c>
      <c r="R24" s="1">
        <f t="shared" si="2"/>
        <v>0.88441999466390142</v>
      </c>
      <c r="S24" s="1">
        <f t="shared" si="3"/>
        <v>-2.0988205014846191</v>
      </c>
      <c r="T24" s="56">
        <f t="shared" si="4"/>
        <v>2.2487608122785607E-2</v>
      </c>
      <c r="V24" s="57" t="s">
        <v>123</v>
      </c>
      <c r="W24" s="58">
        <v>24</v>
      </c>
      <c r="Y24" s="53"/>
    </row>
    <row r="25" spans="1:25" hidden="1" x14ac:dyDescent="0.25">
      <c r="A25">
        <v>2.2365126995383289E-2</v>
      </c>
      <c r="B25">
        <v>0.3215882315998897</v>
      </c>
      <c r="D25">
        <v>2.2907804062441195E-2</v>
      </c>
      <c r="E25">
        <v>-4.6447410147720802</v>
      </c>
      <c r="I25">
        <v>2.6908172373782846E-2</v>
      </c>
      <c r="J25">
        <v>15</v>
      </c>
      <c r="K25">
        <v>-0.60200447175399552</v>
      </c>
      <c r="L25">
        <v>11.970247120473191</v>
      </c>
      <c r="M25">
        <v>15</v>
      </c>
      <c r="N25">
        <v>0.83253803154548223</v>
      </c>
      <c r="O25">
        <v>90.485487202712406</v>
      </c>
      <c r="P25" s="1">
        <f t="shared" si="0"/>
        <v>3.6591333686851999</v>
      </c>
      <c r="Q25" s="1">
        <f t="shared" si="1"/>
        <v>0.48788444915802665</v>
      </c>
      <c r="R25" s="1">
        <f t="shared" si="2"/>
        <v>0.6984872576919543</v>
      </c>
      <c r="S25" s="1">
        <f t="shared" si="3"/>
        <v>-2.0537847863391336</v>
      </c>
      <c r="T25" s="56">
        <f t="shared" si="4"/>
        <v>2.4720655370616802E-2</v>
      </c>
      <c r="V25" s="57" t="s">
        <v>124</v>
      </c>
      <c r="W25" s="58">
        <v>27</v>
      </c>
      <c r="Y25" s="53"/>
    </row>
    <row r="26" spans="1:25" hidden="1" x14ac:dyDescent="0.25">
      <c r="A26">
        <v>2.2766877972025035E-2</v>
      </c>
      <c r="B26">
        <v>-3.1484432838624343E-2</v>
      </c>
      <c r="D26">
        <v>2.2980069737061348E-2</v>
      </c>
      <c r="E26">
        <v>2.239026567849578</v>
      </c>
      <c r="I26">
        <v>0.28540085989784847</v>
      </c>
      <c r="J26">
        <v>15</v>
      </c>
      <c r="K26">
        <v>-0.39501249678626965</v>
      </c>
      <c r="L26">
        <v>6.4800792995584215</v>
      </c>
      <c r="M26">
        <v>15</v>
      </c>
      <c r="N26">
        <v>1.223954537863392</v>
      </c>
      <c r="O26">
        <v>124.60528050890188</v>
      </c>
      <c r="P26" s="1">
        <f t="shared" si="0"/>
        <v>4.6816199931592966</v>
      </c>
      <c r="Q26" s="1">
        <f t="shared" si="1"/>
        <v>0.62421599908790615</v>
      </c>
      <c r="R26" s="1">
        <f t="shared" si="2"/>
        <v>0.79007341373312023</v>
      </c>
      <c r="S26" s="1">
        <f t="shared" si="3"/>
        <v>-2.0491349367142915</v>
      </c>
      <c r="T26" s="56">
        <f t="shared" si="4"/>
        <v>2.4962031814841905E-2</v>
      </c>
      <c r="V26" s="57" t="s">
        <v>125</v>
      </c>
      <c r="W26" s="58">
        <v>25</v>
      </c>
      <c r="Y26" s="53"/>
    </row>
    <row r="27" spans="1:25" hidden="1" x14ac:dyDescent="0.25">
      <c r="A27">
        <v>2.3361170836338707E-2</v>
      </c>
      <c r="B27">
        <v>-2.472206688253209</v>
      </c>
      <c r="D27">
        <v>2.356410242453455E-2</v>
      </c>
      <c r="E27">
        <v>-2.5784327169731114</v>
      </c>
      <c r="I27">
        <v>0.53362799250898341</v>
      </c>
      <c r="J27">
        <v>15</v>
      </c>
      <c r="K27">
        <v>0.19609228729677852</v>
      </c>
      <c r="L27">
        <v>10.48983702664081</v>
      </c>
      <c r="M27">
        <v>15</v>
      </c>
      <c r="N27">
        <v>1.3899375483106269</v>
      </c>
      <c r="O27">
        <v>63.481965426687417</v>
      </c>
      <c r="P27" s="1">
        <f t="shared" si="0"/>
        <v>2.6418500876188653</v>
      </c>
      <c r="Q27" s="1">
        <f t="shared" si="1"/>
        <v>0.35224667834918205</v>
      </c>
      <c r="R27" s="1">
        <f t="shared" si="2"/>
        <v>0.59350373069525186</v>
      </c>
      <c r="S27" s="1">
        <f t="shared" si="3"/>
        <v>-2.0115210726903681</v>
      </c>
      <c r="T27" s="56">
        <f t="shared" si="4"/>
        <v>2.6992324605449165E-2</v>
      </c>
      <c r="V27" s="57" t="s">
        <v>126</v>
      </c>
      <c r="W27" s="58">
        <v>26</v>
      </c>
      <c r="Y27" s="53"/>
    </row>
    <row r="28" spans="1:25" hidden="1" x14ac:dyDescent="0.25">
      <c r="A28">
        <v>2.4435983541269857E-2</v>
      </c>
      <c r="B28">
        <v>0.78761559052509256</v>
      </c>
      <c r="D28">
        <v>2.3887433541645797E-2</v>
      </c>
      <c r="E28">
        <v>0.36639289305639977</v>
      </c>
      <c r="I28">
        <v>0.51139563604276028</v>
      </c>
      <c r="J28">
        <v>15</v>
      </c>
      <c r="K28">
        <v>-9.8714205402454056E-2</v>
      </c>
      <c r="L28">
        <v>7.2591026017306879</v>
      </c>
      <c r="M28">
        <v>15</v>
      </c>
      <c r="N28">
        <v>1.3241587987522507</v>
      </c>
      <c r="O28">
        <v>98.594476477891277</v>
      </c>
      <c r="P28" s="1">
        <f t="shared" si="0"/>
        <v>3.7804849671293561</v>
      </c>
      <c r="Q28" s="1">
        <f t="shared" si="1"/>
        <v>0.50406466228391411</v>
      </c>
      <c r="R28" s="1">
        <f t="shared" si="2"/>
        <v>0.70997511384830536</v>
      </c>
      <c r="S28" s="1">
        <f t="shared" si="3"/>
        <v>-2.0041167308558911</v>
      </c>
      <c r="T28" s="56">
        <f t="shared" si="4"/>
        <v>2.7408690707613557E-2</v>
      </c>
      <c r="V28" s="57" t="s">
        <v>127</v>
      </c>
      <c r="W28" s="58">
        <v>16</v>
      </c>
      <c r="Y28" s="53"/>
    </row>
    <row r="29" spans="1:25" hidden="1" x14ac:dyDescent="0.25">
      <c r="A29">
        <v>2.7698448245879859E-2</v>
      </c>
      <c r="B29">
        <v>0.38140569813549519</v>
      </c>
      <c r="D29">
        <v>2.419630950102758E-2</v>
      </c>
      <c r="E29">
        <v>0.68639291953331849</v>
      </c>
      <c r="I29">
        <v>0.92640970052267813</v>
      </c>
      <c r="J29">
        <v>15</v>
      </c>
      <c r="K29">
        <v>-2.3407286183404114E-2</v>
      </c>
      <c r="L29">
        <v>11.154655285487356</v>
      </c>
      <c r="M29">
        <v>15</v>
      </c>
      <c r="N29">
        <v>1.2976586242530175</v>
      </c>
      <c r="O29">
        <v>80.132304408178058</v>
      </c>
      <c r="P29" s="1">
        <f t="shared" si="0"/>
        <v>3.2602485604880505</v>
      </c>
      <c r="Q29" s="1">
        <f t="shared" si="1"/>
        <v>0.43469980806507341</v>
      </c>
      <c r="R29" s="1">
        <f t="shared" si="2"/>
        <v>0.65931768371936861</v>
      </c>
      <c r="S29" s="1">
        <f t="shared" si="3"/>
        <v>-2.0036864520059177</v>
      </c>
      <c r="T29" s="56">
        <f t="shared" si="4"/>
        <v>2.7433059085404329E-2</v>
      </c>
      <c r="V29" s="57" t="s">
        <v>128</v>
      </c>
      <c r="W29" s="58">
        <v>25</v>
      </c>
      <c r="Y29" s="53"/>
    </row>
    <row r="30" spans="1:25" hidden="1" x14ac:dyDescent="0.25">
      <c r="A30">
        <v>2.8890233163835433E-2</v>
      </c>
      <c r="B30">
        <v>0.5049332685302943</v>
      </c>
      <c r="D30">
        <v>2.4326632169435869E-2</v>
      </c>
      <c r="E30">
        <v>3.2140844689365622</v>
      </c>
      <c r="I30">
        <v>0.50145675293295777</v>
      </c>
      <c r="J30">
        <v>15</v>
      </c>
      <c r="K30">
        <v>-0.47326928627929493</v>
      </c>
      <c r="L30">
        <v>10.188108236065228</v>
      </c>
      <c r="M30">
        <v>15</v>
      </c>
      <c r="N30">
        <v>1.12902466412379</v>
      </c>
      <c r="O30">
        <v>126.74100056803302</v>
      </c>
      <c r="P30" s="1">
        <f t="shared" si="0"/>
        <v>4.8903253144320802</v>
      </c>
      <c r="Q30" s="1">
        <f t="shared" si="1"/>
        <v>0.65204337525761069</v>
      </c>
      <c r="R30" s="1">
        <f t="shared" si="2"/>
        <v>0.8074920279839366</v>
      </c>
      <c r="S30" s="1">
        <f t="shared" si="3"/>
        <v>-1.984284543840672</v>
      </c>
      <c r="T30" s="56">
        <f t="shared" si="4"/>
        <v>2.8551829910241622E-2</v>
      </c>
      <c r="V30" s="57" t="s">
        <v>129</v>
      </c>
      <c r="W30" s="58">
        <v>24</v>
      </c>
      <c r="Y30" s="53"/>
    </row>
    <row r="31" spans="1:25" hidden="1" x14ac:dyDescent="0.25">
      <c r="A31">
        <v>3.0155045243174028E-2</v>
      </c>
      <c r="B31">
        <v>0.13632075024361257</v>
      </c>
      <c r="D31">
        <v>2.5457422708543787E-2</v>
      </c>
      <c r="E31">
        <v>3.6305329979313683</v>
      </c>
      <c r="I31">
        <v>0.3220352905670627</v>
      </c>
      <c r="J31">
        <v>15</v>
      </c>
      <c r="K31">
        <v>-0.15750295763912922</v>
      </c>
      <c r="L31">
        <v>8.6517184393920896</v>
      </c>
      <c r="M31">
        <v>15</v>
      </c>
      <c r="N31">
        <v>1.3085984812732931</v>
      </c>
      <c r="O31">
        <v>106.19023215511849</v>
      </c>
      <c r="P31" s="1">
        <f t="shared" si="0"/>
        <v>4.1014982355182346</v>
      </c>
      <c r="Q31" s="1">
        <f t="shared" si="1"/>
        <v>0.5468664314024313</v>
      </c>
      <c r="R31" s="1">
        <f t="shared" si="2"/>
        <v>0.7395041794354047</v>
      </c>
      <c r="S31" s="1">
        <f t="shared" si="3"/>
        <v>-1.982546521957129</v>
      </c>
      <c r="T31" s="56">
        <f t="shared" si="4"/>
        <v>2.8653975431533502E-2</v>
      </c>
      <c r="V31" s="57" t="s">
        <v>130</v>
      </c>
      <c r="W31" s="58">
        <v>25</v>
      </c>
      <c r="Y31" s="53"/>
    </row>
    <row r="32" spans="1:25" x14ac:dyDescent="0.25">
      <c r="A32">
        <v>3.0420168187302865E-2</v>
      </c>
      <c r="B32">
        <v>0.61587002164742444</v>
      </c>
      <c r="D32">
        <v>2.885216786329492E-2</v>
      </c>
      <c r="E32">
        <v>-3.0592189011713344</v>
      </c>
      <c r="I32">
        <v>0.11564234957289388</v>
      </c>
      <c r="J32">
        <v>15</v>
      </c>
      <c r="K32">
        <v>4.4187496920737125E-2</v>
      </c>
      <c r="L32">
        <v>11.411946369080601</v>
      </c>
      <c r="M32">
        <v>15</v>
      </c>
      <c r="N32">
        <v>1.3680707945695758</v>
      </c>
      <c r="O32">
        <v>83.996838372671462</v>
      </c>
      <c r="P32" s="1">
        <f t="shared" si="0"/>
        <v>3.4074565979197162</v>
      </c>
      <c r="Q32" s="1">
        <f t="shared" si="1"/>
        <v>0.45432754638929551</v>
      </c>
      <c r="R32" s="1">
        <f t="shared" si="2"/>
        <v>0.67403823807651708</v>
      </c>
      <c r="S32" s="1">
        <f t="shared" si="3"/>
        <v>-1.964107112716283</v>
      </c>
      <c r="T32" s="56">
        <f t="shared" si="4"/>
        <v>2.9757553968126838E-2</v>
      </c>
      <c r="V32" s="57" t="s">
        <v>131</v>
      </c>
      <c r="W32" s="58">
        <v>27</v>
      </c>
      <c r="Y32" s="53" t="s">
        <v>132</v>
      </c>
    </row>
    <row r="33" spans="1:25" x14ac:dyDescent="0.25">
      <c r="A33">
        <v>3.0968208229860572E-2</v>
      </c>
      <c r="B33">
        <v>0.18997297956957482</v>
      </c>
      <c r="D33">
        <v>2.9423149465645171E-2</v>
      </c>
      <c r="E33">
        <v>-2.2859835587496491</v>
      </c>
      <c r="I33">
        <v>0.92329120273369758</v>
      </c>
      <c r="J33">
        <v>15</v>
      </c>
      <c r="K33">
        <v>3.921491043001879E-2</v>
      </c>
      <c r="L33">
        <v>16.252322461075959</v>
      </c>
      <c r="M33">
        <v>15</v>
      </c>
      <c r="N33">
        <v>2.0580271177550458</v>
      </c>
      <c r="O33">
        <v>206.12616998969747</v>
      </c>
      <c r="P33" s="1">
        <f t="shared" si="0"/>
        <v>7.9420890160990512</v>
      </c>
      <c r="Q33" s="1">
        <f t="shared" si="1"/>
        <v>1.0589452021465402</v>
      </c>
      <c r="R33" s="1">
        <f t="shared" si="2"/>
        <v>1.029050631478617</v>
      </c>
      <c r="S33" s="1">
        <f t="shared" si="3"/>
        <v>-1.9618200947258022</v>
      </c>
      <c r="T33" s="56">
        <f t="shared" si="4"/>
        <v>2.9896988350558529E-2</v>
      </c>
      <c r="V33" s="57" t="s">
        <v>133</v>
      </c>
      <c r="W33" s="58">
        <v>24</v>
      </c>
    </row>
    <row r="34" spans="1:25" x14ac:dyDescent="0.25">
      <c r="A34">
        <v>3.1651665355222014E-2</v>
      </c>
      <c r="B34">
        <v>-1.2032251106575131</v>
      </c>
      <c r="D34">
        <v>3.0691911122618487E-2</v>
      </c>
      <c r="E34">
        <v>-4.7483142714099813</v>
      </c>
      <c r="I34">
        <v>7.2853810131034646E-2</v>
      </c>
      <c r="J34">
        <v>15</v>
      </c>
      <c r="K34">
        <v>7.0026468771781467E-2</v>
      </c>
      <c r="L34">
        <v>19.737747903197707</v>
      </c>
      <c r="M34">
        <v>15</v>
      </c>
      <c r="N34">
        <v>1.5994580701317318</v>
      </c>
      <c r="O34">
        <v>108.20552828699553</v>
      </c>
      <c r="P34" s="1">
        <f t="shared" si="0"/>
        <v>4.5694027210783306</v>
      </c>
      <c r="Q34" s="1">
        <f t="shared" si="1"/>
        <v>0.60925369614377745</v>
      </c>
      <c r="R34" s="1">
        <f t="shared" si="2"/>
        <v>0.78054704928260243</v>
      </c>
      <c r="S34" s="1">
        <f t="shared" si="3"/>
        <v>-1.9594355045805945</v>
      </c>
      <c r="T34" s="56">
        <f t="shared" si="4"/>
        <v>3.0042979375926933E-2</v>
      </c>
      <c r="V34" s="57" t="s">
        <v>134</v>
      </c>
      <c r="W34" s="58">
        <v>33</v>
      </c>
    </row>
    <row r="35" spans="1:25" x14ac:dyDescent="0.25">
      <c r="A35">
        <v>3.220134833022259E-2</v>
      </c>
      <c r="B35">
        <v>-0.29575403459602967</v>
      </c>
      <c r="D35">
        <v>3.1030363280578732E-2</v>
      </c>
      <c r="E35">
        <v>-4.0315824242043163</v>
      </c>
      <c r="I35">
        <v>0.84633096007546327</v>
      </c>
      <c r="J35">
        <v>15</v>
      </c>
      <c r="K35">
        <v>-0.11332584411623732</v>
      </c>
      <c r="L35">
        <v>20.831708472083935</v>
      </c>
      <c r="M35">
        <v>15</v>
      </c>
      <c r="N35">
        <v>2.0392658336731984</v>
      </c>
      <c r="O35">
        <v>234.38951447961981</v>
      </c>
      <c r="P35" s="1">
        <f t="shared" si="0"/>
        <v>9.1150436768465628</v>
      </c>
      <c r="Q35" s="1">
        <f t="shared" si="1"/>
        <v>1.2153391569128751</v>
      </c>
      <c r="R35" s="1">
        <f t="shared" si="2"/>
        <v>1.1024242182176855</v>
      </c>
      <c r="S35" s="1">
        <f t="shared" si="3"/>
        <v>-1.9525983212429603</v>
      </c>
      <c r="T35" s="56">
        <f t="shared" si="4"/>
        <v>3.0465029241084934E-2</v>
      </c>
      <c r="V35" s="57" t="s">
        <v>135</v>
      </c>
      <c r="W35" s="58">
        <v>24</v>
      </c>
    </row>
    <row r="36" spans="1:25" x14ac:dyDescent="0.25">
      <c r="A36">
        <v>3.2251752047847027E-2</v>
      </c>
      <c r="B36">
        <v>-0.76579226515605114</v>
      </c>
      <c r="D36">
        <v>3.1439533232990979E-2</v>
      </c>
      <c r="E36">
        <v>2.7144853868321661</v>
      </c>
      <c r="I36">
        <v>0.5900407990517218</v>
      </c>
      <c r="J36">
        <v>15</v>
      </c>
      <c r="K36">
        <v>-0.14534847044463581</v>
      </c>
      <c r="L36">
        <v>14.282145079671126</v>
      </c>
      <c r="M36">
        <v>15</v>
      </c>
      <c r="N36">
        <v>1.030565950941309</v>
      </c>
      <c r="O36">
        <v>63.594149655439431</v>
      </c>
      <c r="P36" s="1">
        <f t="shared" si="0"/>
        <v>2.7812962405396631</v>
      </c>
      <c r="Q36" s="1">
        <f t="shared" si="1"/>
        <v>0.37083949873862176</v>
      </c>
      <c r="R36" s="1">
        <f t="shared" si="2"/>
        <v>0.60896592576155006</v>
      </c>
      <c r="S36" s="1">
        <f t="shared" si="3"/>
        <v>-1.9310020013277263</v>
      </c>
      <c r="T36" s="56">
        <f t="shared" si="4"/>
        <v>3.1832313983945107E-2</v>
      </c>
      <c r="V36" s="57" t="s">
        <v>136</v>
      </c>
      <c r="W36" s="58">
        <v>25</v>
      </c>
    </row>
    <row r="37" spans="1:25" x14ac:dyDescent="0.25">
      <c r="A37">
        <v>3.3237379832714242E-2</v>
      </c>
      <c r="B37">
        <v>-0.90265302787884139</v>
      </c>
      <c r="D37">
        <v>3.1475150210064862E-2</v>
      </c>
      <c r="E37">
        <v>-0.87304147541544808</v>
      </c>
      <c r="I37">
        <v>0.93424941760751345</v>
      </c>
      <c r="J37">
        <v>15</v>
      </c>
      <c r="K37">
        <v>-5.8850597876395717E-2</v>
      </c>
      <c r="L37">
        <v>16.333668638871988</v>
      </c>
      <c r="M37">
        <v>15</v>
      </c>
      <c r="N37">
        <v>1.2036994087338826</v>
      </c>
      <c r="O37">
        <v>75.185667360928818</v>
      </c>
      <c r="P37" s="1">
        <f t="shared" si="0"/>
        <v>3.2685477142786001</v>
      </c>
      <c r="Q37" s="1">
        <f t="shared" si="1"/>
        <v>0.43580636190381333</v>
      </c>
      <c r="R37" s="1">
        <f t="shared" si="2"/>
        <v>0.66015631626442339</v>
      </c>
      <c r="S37" s="1">
        <f t="shared" si="3"/>
        <v>-1.9125015931901925</v>
      </c>
      <c r="T37" s="56">
        <f t="shared" si="4"/>
        <v>3.3045776650036017E-2</v>
      </c>
      <c r="V37" s="57" t="s">
        <v>137</v>
      </c>
      <c r="W37" s="58">
        <v>26</v>
      </c>
    </row>
    <row r="38" spans="1:25" x14ac:dyDescent="0.25">
      <c r="A38">
        <v>3.3953490322415236E-2</v>
      </c>
      <c r="B38">
        <v>0.78740640674368478</v>
      </c>
      <c r="D38">
        <v>3.1694564091180988E-2</v>
      </c>
      <c r="E38">
        <v>-0.36999086091782374</v>
      </c>
      <c r="I38">
        <v>0.78864777124873164</v>
      </c>
      <c r="J38">
        <v>15</v>
      </c>
      <c r="K38">
        <v>-9.5436992827065595E-2</v>
      </c>
      <c r="L38">
        <v>12.323498766267312</v>
      </c>
      <c r="M38">
        <v>15</v>
      </c>
      <c r="N38">
        <v>1.1714860158917872</v>
      </c>
      <c r="O38">
        <v>79.861281013341028</v>
      </c>
      <c r="P38" s="1">
        <f t="shared" si="0"/>
        <v>3.2923135635574403</v>
      </c>
      <c r="Q38" s="1">
        <f t="shared" si="1"/>
        <v>0.43897514180765868</v>
      </c>
      <c r="R38" s="1">
        <f t="shared" si="2"/>
        <v>0.66255199177699153</v>
      </c>
      <c r="S38" s="1">
        <f t="shared" si="3"/>
        <v>-1.9121865520635044</v>
      </c>
      <c r="T38" s="56">
        <f t="shared" si="4"/>
        <v>3.3066783870784371E-2</v>
      </c>
      <c r="V38" s="57" t="s">
        <v>138</v>
      </c>
      <c r="W38" s="58">
        <v>24</v>
      </c>
    </row>
    <row r="39" spans="1:25" x14ac:dyDescent="0.25">
      <c r="A39">
        <v>3.4117339430532079E-2</v>
      </c>
      <c r="B39">
        <v>0.68651843321276829</v>
      </c>
      <c r="D39">
        <v>3.2618306780220596E-2</v>
      </c>
      <c r="E39">
        <v>0.94132542130864749</v>
      </c>
      <c r="I39">
        <v>0.56367758926198874</v>
      </c>
      <c r="J39">
        <v>15</v>
      </c>
      <c r="K39">
        <v>-0.24910991669457871</v>
      </c>
      <c r="L39">
        <v>15.88715539565473</v>
      </c>
      <c r="M39">
        <v>15</v>
      </c>
      <c r="N39">
        <v>0.93104904067331518</v>
      </c>
      <c r="O39">
        <v>67.862795088750119</v>
      </c>
      <c r="P39" s="1">
        <f t="shared" si="0"/>
        <v>2.9910696601573159</v>
      </c>
      <c r="Q39" s="1">
        <f t="shared" si="1"/>
        <v>0.39880928802097543</v>
      </c>
      <c r="R39" s="1">
        <f t="shared" si="2"/>
        <v>0.63151348997545209</v>
      </c>
      <c r="S39" s="1">
        <f t="shared" si="3"/>
        <v>-1.8687786976866774</v>
      </c>
      <c r="T39" s="56">
        <f t="shared" si="4"/>
        <v>3.6074295920172271E-2</v>
      </c>
      <c r="V39" s="57" t="s">
        <v>139</v>
      </c>
      <c r="W39" s="58">
        <v>25</v>
      </c>
    </row>
    <row r="40" spans="1:25" x14ac:dyDescent="0.25">
      <c r="A40">
        <v>3.421062006667841E-2</v>
      </c>
      <c r="B40">
        <v>-5.1697952585527673E-2</v>
      </c>
      <c r="D40">
        <v>3.2737342482050513E-2</v>
      </c>
      <c r="E40">
        <v>-0.20083166759832238</v>
      </c>
      <c r="I40">
        <v>0.47302088314118207</v>
      </c>
      <c r="J40">
        <v>15</v>
      </c>
      <c r="K40">
        <v>9.1039055405417457E-2</v>
      </c>
      <c r="L40">
        <v>9.1441204982852078</v>
      </c>
      <c r="M40">
        <v>15</v>
      </c>
      <c r="N40">
        <v>1.4733766386143543</v>
      </c>
      <c r="O40">
        <v>106.00395482541752</v>
      </c>
      <c r="P40" s="1">
        <f t="shared" si="0"/>
        <v>4.1124312615608121</v>
      </c>
      <c r="Q40" s="1">
        <f t="shared" si="1"/>
        <v>0.54832416820810825</v>
      </c>
      <c r="R40" s="1">
        <f t="shared" si="2"/>
        <v>0.74048914118176523</v>
      </c>
      <c r="S40" s="1">
        <f t="shared" si="3"/>
        <v>-1.8667898100474904</v>
      </c>
      <c r="T40" s="56">
        <f t="shared" si="4"/>
        <v>3.6217583291094965E-2</v>
      </c>
      <c r="V40" s="57" t="s">
        <v>140</v>
      </c>
      <c r="W40" s="58">
        <v>26</v>
      </c>
    </row>
    <row r="41" spans="1:25" x14ac:dyDescent="0.25">
      <c r="A41">
        <v>3.4598231537017243E-2</v>
      </c>
      <c r="B41">
        <v>-0.51556526159401983</v>
      </c>
      <c r="D41">
        <v>3.3251120188017347E-2</v>
      </c>
      <c r="E41">
        <v>-0.72239845735566632</v>
      </c>
      <c r="I41">
        <v>4.9960968857516885E-2</v>
      </c>
      <c r="J41">
        <v>15</v>
      </c>
      <c r="K41">
        <v>7.9953679232858121E-2</v>
      </c>
      <c r="L41">
        <v>16.208006114114671</v>
      </c>
      <c r="M41">
        <v>15</v>
      </c>
      <c r="N41">
        <v>1.4706074546211312</v>
      </c>
      <c r="O41">
        <v>100.48704184762275</v>
      </c>
      <c r="P41" s="1">
        <f t="shared" si="0"/>
        <v>4.1676802843477647</v>
      </c>
      <c r="Q41" s="1">
        <f t="shared" si="1"/>
        <v>0.55569070457970193</v>
      </c>
      <c r="R41" s="1">
        <f t="shared" si="2"/>
        <v>0.74544664770840707</v>
      </c>
      <c r="S41" s="1">
        <f t="shared" si="3"/>
        <v>-1.8655309265435838</v>
      </c>
      <c r="T41" s="56">
        <f t="shared" si="4"/>
        <v>3.6308531854000702E-2</v>
      </c>
      <c r="V41" s="57" t="s">
        <v>141</v>
      </c>
      <c r="W41" s="58">
        <v>23</v>
      </c>
      <c r="Y41" s="59"/>
    </row>
    <row r="42" spans="1:25" x14ac:dyDescent="0.25">
      <c r="A42">
        <v>3.5197597566816285E-2</v>
      </c>
      <c r="B42">
        <v>-0.74907802627421916</v>
      </c>
      <c r="D42">
        <v>3.3331967280776142E-2</v>
      </c>
      <c r="E42">
        <v>-3.0667904445635941</v>
      </c>
      <c r="I42">
        <v>0.99445235005419741</v>
      </c>
      <c r="J42">
        <v>15</v>
      </c>
      <c r="K42">
        <v>-0.37155200516281184</v>
      </c>
      <c r="L42">
        <v>13.609270522203332</v>
      </c>
      <c r="M42">
        <v>15</v>
      </c>
      <c r="N42">
        <v>1.0222968251127895</v>
      </c>
      <c r="O42">
        <v>105.26865722447147</v>
      </c>
      <c r="P42" s="1">
        <f t="shared" si="0"/>
        <v>4.2456402766669568</v>
      </c>
      <c r="Q42" s="1">
        <f t="shared" si="1"/>
        <v>0.56608537022226091</v>
      </c>
      <c r="R42" s="1">
        <f t="shared" si="2"/>
        <v>0.75238645005227256</v>
      </c>
      <c r="S42" s="1">
        <f t="shared" si="3"/>
        <v>-1.8525703515510716</v>
      </c>
      <c r="T42" s="56">
        <f t="shared" si="4"/>
        <v>3.7256385232173589E-2</v>
      </c>
      <c r="V42" s="57" t="s">
        <v>142</v>
      </c>
      <c r="W42" s="58">
        <v>1000</v>
      </c>
    </row>
    <row r="43" spans="1:25" x14ac:dyDescent="0.25">
      <c r="A43">
        <v>3.525311814587373E-2</v>
      </c>
      <c r="B43">
        <v>-0.21981691133987624</v>
      </c>
      <c r="D43">
        <v>3.4342711108344304E-2</v>
      </c>
      <c r="E43">
        <v>0.28561612111843715</v>
      </c>
      <c r="I43">
        <v>5.1301828376886904E-2</v>
      </c>
      <c r="J43">
        <v>15</v>
      </c>
      <c r="K43">
        <v>0.31874962284443126</v>
      </c>
      <c r="L43">
        <v>12.759557469721237</v>
      </c>
      <c r="M43">
        <v>15</v>
      </c>
      <c r="N43">
        <v>1.4192851233474357</v>
      </c>
      <c r="O43">
        <v>62.586667028242751</v>
      </c>
      <c r="P43" s="1">
        <f t="shared" si="0"/>
        <v>2.6909365892129995</v>
      </c>
      <c r="Q43" s="1">
        <f t="shared" si="1"/>
        <v>0.35879154522839996</v>
      </c>
      <c r="R43" s="1">
        <f t="shared" si="2"/>
        <v>0.59899210781812473</v>
      </c>
      <c r="S43" s="1">
        <f t="shared" si="3"/>
        <v>-1.8373121884890777</v>
      </c>
      <c r="T43" s="56">
        <f t="shared" si="4"/>
        <v>3.839950712918716E-2</v>
      </c>
    </row>
    <row r="44" spans="1:25" x14ac:dyDescent="0.25">
      <c r="A44">
        <v>3.5283490255460848E-2</v>
      </c>
      <c r="B44">
        <v>0.619202182861045</v>
      </c>
      <c r="D44">
        <v>3.5138642730442649E-2</v>
      </c>
      <c r="E44">
        <v>1.0919377439222444</v>
      </c>
      <c r="I44">
        <v>0.18018535200419883</v>
      </c>
      <c r="J44">
        <v>15</v>
      </c>
      <c r="K44">
        <v>-0.15801227467212206</v>
      </c>
      <c r="L44">
        <v>6.6986304670494912</v>
      </c>
      <c r="M44">
        <v>15</v>
      </c>
      <c r="N44">
        <v>1.1705403687756188</v>
      </c>
      <c r="O44">
        <v>104.74731109631665</v>
      </c>
      <c r="P44" s="1">
        <f t="shared" si="0"/>
        <v>3.9802121986916483</v>
      </c>
      <c r="Q44" s="1">
        <f t="shared" si="1"/>
        <v>0.53069495982555315</v>
      </c>
      <c r="R44" s="1">
        <f t="shared" si="2"/>
        <v>0.728488132933923</v>
      </c>
      <c r="S44" s="1">
        <f t="shared" si="3"/>
        <v>-1.8237121284283793</v>
      </c>
      <c r="T44" s="56">
        <f t="shared" si="4"/>
        <v>3.9443680643088723E-2</v>
      </c>
    </row>
    <row r="45" spans="1:25" x14ac:dyDescent="0.25">
      <c r="A45">
        <v>3.5781040037757283E-2</v>
      </c>
      <c r="B45">
        <v>-0.74928038884536363</v>
      </c>
      <c r="D45">
        <v>3.5998446098248871E-2</v>
      </c>
      <c r="E45">
        <v>-1.6526717024589743</v>
      </c>
      <c r="I45">
        <v>0.99124914601787328</v>
      </c>
      <c r="J45">
        <v>15</v>
      </c>
      <c r="K45">
        <v>-0.37299976914558403</v>
      </c>
      <c r="L45">
        <v>16.323309561867998</v>
      </c>
      <c r="M45">
        <v>15</v>
      </c>
      <c r="N45">
        <v>0.80760764490150905</v>
      </c>
      <c r="O45">
        <v>72.194317601564322</v>
      </c>
      <c r="P45" s="1">
        <f t="shared" si="0"/>
        <v>3.1613438272654402</v>
      </c>
      <c r="Q45" s="1">
        <f t="shared" si="1"/>
        <v>0.42151251030205866</v>
      </c>
      <c r="R45" s="1">
        <f t="shared" si="2"/>
        <v>0.64923994817175157</v>
      </c>
      <c r="S45" s="1">
        <f t="shared" si="3"/>
        <v>-1.8184454258732277</v>
      </c>
      <c r="T45" s="56">
        <f t="shared" si="4"/>
        <v>3.9854534628520427E-2</v>
      </c>
    </row>
    <row r="46" spans="1:25" x14ac:dyDescent="0.25">
      <c r="A46">
        <v>3.7724843389309815E-2</v>
      </c>
      <c r="B46">
        <v>1.6542026060051285</v>
      </c>
      <c r="D46">
        <v>3.7062985605388565E-2</v>
      </c>
      <c r="E46">
        <v>2.6395884981411655</v>
      </c>
      <c r="I46">
        <v>0.47838023184174649</v>
      </c>
      <c r="J46">
        <v>15</v>
      </c>
      <c r="K46">
        <v>-0.19642053909289339</v>
      </c>
      <c r="L46">
        <v>7.1950082559473785</v>
      </c>
      <c r="M46">
        <v>15</v>
      </c>
      <c r="N46">
        <v>1.1608426541442896</v>
      </c>
      <c r="O46">
        <v>110.4888886720608</v>
      </c>
      <c r="P46" s="1">
        <f t="shared" si="0"/>
        <v>4.2029963188574353</v>
      </c>
      <c r="Q46" s="1">
        <f t="shared" si="1"/>
        <v>0.56039950918099135</v>
      </c>
      <c r="R46" s="1">
        <f t="shared" si="2"/>
        <v>0.74859836306325933</v>
      </c>
      <c r="S46" s="1">
        <f t="shared" si="3"/>
        <v>-1.813072617048308</v>
      </c>
      <c r="T46" s="56">
        <f t="shared" si="4"/>
        <v>4.0277438599997988E-2</v>
      </c>
    </row>
    <row r="47" spans="1:25" x14ac:dyDescent="0.25">
      <c r="A47">
        <v>3.9594156476304487E-2</v>
      </c>
      <c r="B47">
        <v>-1.25298356579151</v>
      </c>
      <c r="D47">
        <v>3.9235158337395992E-2</v>
      </c>
      <c r="E47">
        <v>-0.3478560336134251</v>
      </c>
      <c r="I47">
        <v>0.66030827942461257</v>
      </c>
      <c r="J47">
        <v>15</v>
      </c>
      <c r="K47">
        <v>-0.3136376562906662</v>
      </c>
      <c r="L47">
        <v>9.266624496637716</v>
      </c>
      <c r="M47">
        <v>15</v>
      </c>
      <c r="N47">
        <v>1.1819856774764048</v>
      </c>
      <c r="O47">
        <v>134.24091655689429</v>
      </c>
      <c r="P47" s="1">
        <f t="shared" si="0"/>
        <v>5.1252693233404285</v>
      </c>
      <c r="Q47" s="1">
        <f t="shared" si="1"/>
        <v>0.68336924311205716</v>
      </c>
      <c r="R47" s="1">
        <f t="shared" si="2"/>
        <v>0.82666150455434728</v>
      </c>
      <c r="S47" s="1">
        <f t="shared" si="3"/>
        <v>-1.8092330724573422</v>
      </c>
      <c r="T47" s="56">
        <f t="shared" si="4"/>
        <v>4.0582004940633985E-2</v>
      </c>
    </row>
    <row r="48" spans="1:25" x14ac:dyDescent="0.25">
      <c r="A48">
        <v>3.9607832533122722E-2</v>
      </c>
      <c r="B48">
        <v>-0.20823222257604357</v>
      </c>
      <c r="D48">
        <v>4.1206068380016947E-2</v>
      </c>
      <c r="E48">
        <v>-0.62936738117969071</v>
      </c>
      <c r="I48">
        <v>0.88854042041075765</v>
      </c>
      <c r="J48">
        <v>15</v>
      </c>
      <c r="K48">
        <v>8.0879090091912076E-2</v>
      </c>
      <c r="L48">
        <v>8.1148268441775393</v>
      </c>
      <c r="M48">
        <v>15</v>
      </c>
      <c r="N48">
        <v>1.2140410456140671</v>
      </c>
      <c r="O48">
        <v>76.911069522435042</v>
      </c>
      <c r="P48" s="1">
        <f t="shared" si="0"/>
        <v>3.0366391559504495</v>
      </c>
      <c r="Q48" s="1">
        <f t="shared" si="1"/>
        <v>0.40488522079339329</v>
      </c>
      <c r="R48" s="1">
        <f t="shared" si="2"/>
        <v>0.63630591761619926</v>
      </c>
      <c r="S48" s="1">
        <f t="shared" si="3"/>
        <v>-1.7808445971512157</v>
      </c>
      <c r="T48" s="56">
        <f t="shared" si="4"/>
        <v>4.2895576712039446E-2</v>
      </c>
    </row>
    <row r="49" spans="1:20" x14ac:dyDescent="0.25">
      <c r="A49">
        <v>3.9763503774609354E-2</v>
      </c>
      <c r="B49">
        <v>-0.246701574724284</v>
      </c>
      <c r="D49">
        <v>4.1927471454621723E-2</v>
      </c>
      <c r="E49">
        <v>-0.89424520751890668</v>
      </c>
      <c r="I49">
        <v>0.38995082013363325</v>
      </c>
      <c r="J49">
        <v>15</v>
      </c>
      <c r="K49">
        <v>0.16317373289590856</v>
      </c>
      <c r="L49">
        <v>10.074728534357748</v>
      </c>
      <c r="M49">
        <v>15</v>
      </c>
      <c r="N49">
        <v>1.571207800452612</v>
      </c>
      <c r="O49">
        <v>122.48122254110891</v>
      </c>
      <c r="P49" s="1">
        <f t="shared" si="0"/>
        <v>4.7341411098380943</v>
      </c>
      <c r="Q49" s="1">
        <f t="shared" si="1"/>
        <v>0.63121881464507923</v>
      </c>
      <c r="R49" s="1">
        <f t="shared" si="2"/>
        <v>0.79449280339413975</v>
      </c>
      <c r="S49" s="1">
        <f t="shared" si="3"/>
        <v>-1.7722426956436408</v>
      </c>
      <c r="T49" s="56">
        <f t="shared" si="4"/>
        <v>4.3618422365626006E-2</v>
      </c>
    </row>
    <row r="50" spans="1:20" x14ac:dyDescent="0.25">
      <c r="A50">
        <v>3.9889717747226383E-2</v>
      </c>
      <c r="B50">
        <v>-0.76456217357190326</v>
      </c>
      <c r="D50">
        <v>4.3856978208998476E-2</v>
      </c>
      <c r="E50">
        <v>0.9260459103188623</v>
      </c>
      <c r="I50">
        <v>0.30800591970358349</v>
      </c>
      <c r="J50">
        <v>15</v>
      </c>
      <c r="K50">
        <v>-0.32732941690483131</v>
      </c>
      <c r="L50">
        <v>10.645047873803614</v>
      </c>
      <c r="M50">
        <v>15</v>
      </c>
      <c r="N50">
        <v>1.2318200754179998</v>
      </c>
      <c r="O50">
        <v>158.66141454668644</v>
      </c>
      <c r="P50" s="1">
        <f t="shared" si="0"/>
        <v>6.0466593721603585</v>
      </c>
      <c r="Q50" s="1">
        <f t="shared" si="1"/>
        <v>0.80622124962138109</v>
      </c>
      <c r="R50" s="1">
        <f t="shared" si="2"/>
        <v>0.89789824012600727</v>
      </c>
      <c r="S50" s="1">
        <f t="shared" si="3"/>
        <v>-1.7364434215886497</v>
      </c>
      <c r="T50" s="56">
        <f t="shared" si="4"/>
        <v>4.6738972370137383E-2</v>
      </c>
    </row>
    <row r="51" spans="1:20" x14ac:dyDescent="0.25">
      <c r="A51">
        <v>4.132220821215149E-2</v>
      </c>
      <c r="B51">
        <v>2.0402876543812454</v>
      </c>
      <c r="D51">
        <v>4.3979832890106874E-2</v>
      </c>
      <c r="E51">
        <v>4.6259794964953471</v>
      </c>
      <c r="I51">
        <v>0.87602999297604423</v>
      </c>
      <c r="J51">
        <v>15</v>
      </c>
      <c r="K51">
        <v>8.3778862366064757E-2</v>
      </c>
      <c r="L51">
        <v>14.214469102601184</v>
      </c>
      <c r="M51">
        <v>15</v>
      </c>
      <c r="N51">
        <v>1.6181688772576308</v>
      </c>
      <c r="O51">
        <v>152.669322384254</v>
      </c>
      <c r="P51" s="1">
        <f t="shared" si="0"/>
        <v>5.9601354102448285</v>
      </c>
      <c r="Q51" s="1">
        <f t="shared" si="1"/>
        <v>0.79468472136597712</v>
      </c>
      <c r="R51" s="1">
        <f t="shared" si="2"/>
        <v>0.89145090799548643</v>
      </c>
      <c r="S51" s="1">
        <f t="shared" si="3"/>
        <v>-1.7212277211560538</v>
      </c>
      <c r="T51" s="56">
        <f t="shared" si="4"/>
        <v>4.8121394695991644E-2</v>
      </c>
    </row>
    <row r="52" spans="1:20" x14ac:dyDescent="0.25">
      <c r="A52">
        <v>4.3463814369002707E-2</v>
      </c>
      <c r="B52">
        <v>3.45578882843256</v>
      </c>
      <c r="D52">
        <v>4.5077123350487636E-2</v>
      </c>
      <c r="E52">
        <v>-2.6243803893066797</v>
      </c>
      <c r="I52">
        <v>0.55812339624634433</v>
      </c>
      <c r="J52">
        <v>15</v>
      </c>
      <c r="K52">
        <v>-0.19671142581501044</v>
      </c>
      <c r="L52">
        <v>8.2225117634652243</v>
      </c>
      <c r="M52">
        <v>15</v>
      </c>
      <c r="N52">
        <v>0.71012754801813571</v>
      </c>
      <c r="O52">
        <v>50.355087197373294</v>
      </c>
      <c r="P52" s="1">
        <f t="shared" si="0"/>
        <v>2.0920571057442325</v>
      </c>
      <c r="Q52" s="1">
        <f t="shared" si="1"/>
        <v>0.27894094743256431</v>
      </c>
      <c r="R52" s="1">
        <f t="shared" si="2"/>
        <v>0.52814860355070936</v>
      </c>
      <c r="S52" s="1">
        <f t="shared" si="3"/>
        <v>-1.7170148093482129</v>
      </c>
      <c r="T52" s="56">
        <f t="shared" si="4"/>
        <v>4.8510201689946519E-2</v>
      </c>
    </row>
    <row r="53" spans="1:20" x14ac:dyDescent="0.25">
      <c r="A53">
        <v>4.4424281700636059E-2</v>
      </c>
      <c r="B53">
        <v>1.3919225239078514</v>
      </c>
      <c r="D53">
        <v>5.052553457515041E-2</v>
      </c>
      <c r="E53">
        <v>1.1228958067022177</v>
      </c>
      <c r="I53">
        <v>0.46794604227212766</v>
      </c>
      <c r="J53">
        <v>15</v>
      </c>
      <c r="K53">
        <v>0.17848083189164754</v>
      </c>
      <c r="L53">
        <v>6.0060005039728486</v>
      </c>
      <c r="M53">
        <v>15</v>
      </c>
      <c r="N53">
        <v>1.7569557223851007</v>
      </c>
      <c r="O53">
        <v>172.30481828989619</v>
      </c>
      <c r="P53" s="1">
        <f t="shared" si="0"/>
        <v>6.3682435283524654</v>
      </c>
      <c r="Q53" s="1">
        <f t="shared" si="1"/>
        <v>0.84909913711366203</v>
      </c>
      <c r="R53" s="1">
        <f t="shared" si="2"/>
        <v>0.92146575471563896</v>
      </c>
      <c r="S53" s="1">
        <f t="shared" si="3"/>
        <v>-1.7130043980642176</v>
      </c>
      <c r="T53" s="56">
        <f t="shared" si="4"/>
        <v>4.8882776636063448E-2</v>
      </c>
    </row>
    <row r="54" spans="1:20" x14ac:dyDescent="0.25">
      <c r="A54">
        <v>4.4842530550000759E-2</v>
      </c>
      <c r="B54">
        <v>0.30447608878603205</v>
      </c>
      <c r="D54">
        <v>5.0633674751711766E-2</v>
      </c>
      <c r="E54">
        <v>6.9665413741404336</v>
      </c>
      <c r="I54">
        <v>0.32612538544601588</v>
      </c>
      <c r="J54">
        <v>15</v>
      </c>
      <c r="K54">
        <v>-0.40832931820962887</v>
      </c>
      <c r="L54">
        <v>15.011956551950396</v>
      </c>
      <c r="M54">
        <v>15</v>
      </c>
      <c r="N54">
        <v>1.0182209246067941</v>
      </c>
      <c r="O54">
        <v>130.62928599526535</v>
      </c>
      <c r="P54" s="1">
        <f t="shared" si="0"/>
        <v>5.2014729481148478</v>
      </c>
      <c r="Q54" s="1">
        <f t="shared" si="1"/>
        <v>0.69352972641531307</v>
      </c>
      <c r="R54" s="1">
        <f t="shared" si="2"/>
        <v>0.83278432166756899</v>
      </c>
      <c r="S54" s="1">
        <f t="shared" si="3"/>
        <v>-1.7129888324024831</v>
      </c>
      <c r="T54" s="56">
        <f t="shared" si="4"/>
        <v>4.8884227398721218E-2</v>
      </c>
    </row>
    <row r="55" spans="1:20" x14ac:dyDescent="0.25">
      <c r="A55">
        <v>4.4936314134326305E-2</v>
      </c>
      <c r="B55">
        <v>1.9370781956240535</v>
      </c>
      <c r="D55">
        <v>5.2040964826681746E-2</v>
      </c>
      <c r="E55">
        <v>-4.0321417634459067</v>
      </c>
      <c r="I55">
        <v>0.80047386256031672</v>
      </c>
      <c r="J55">
        <v>15</v>
      </c>
      <c r="K55">
        <v>-0.10366723775708427</v>
      </c>
      <c r="L55">
        <v>26.52873216819652</v>
      </c>
      <c r="M55">
        <v>15</v>
      </c>
      <c r="N55">
        <v>1.4361917203586927</v>
      </c>
      <c r="O55">
        <v>143.54248201097354</v>
      </c>
      <c r="P55" s="1">
        <f t="shared" si="0"/>
        <v>6.0739719349703591</v>
      </c>
      <c r="Q55" s="1">
        <f t="shared" si="1"/>
        <v>0.80986292466271459</v>
      </c>
      <c r="R55" s="1">
        <f t="shared" si="2"/>
        <v>0.89992384381274981</v>
      </c>
      <c r="S55" s="1">
        <f t="shared" si="3"/>
        <v>-1.7110991876732411</v>
      </c>
      <c r="T55" s="56">
        <f t="shared" si="4"/>
        <v>4.9060617122115145E-2</v>
      </c>
    </row>
    <row r="56" spans="1:20" x14ac:dyDescent="0.25">
      <c r="A56">
        <v>4.6771053008425878E-2</v>
      </c>
      <c r="B56">
        <v>0.28243334782018792</v>
      </c>
      <c r="D56">
        <v>5.3225544559170834E-2</v>
      </c>
      <c r="E56">
        <v>-1.6095343687538843</v>
      </c>
      <c r="I56">
        <v>0.3765592720405273</v>
      </c>
      <c r="J56">
        <v>15</v>
      </c>
      <c r="K56">
        <v>-0.25127436250234797</v>
      </c>
      <c r="L56">
        <v>10.453439030523423</v>
      </c>
      <c r="M56">
        <v>15</v>
      </c>
      <c r="N56">
        <v>1.5403411418901669</v>
      </c>
      <c r="O56">
        <v>222.32675755626911</v>
      </c>
      <c r="P56" s="1">
        <f t="shared" si="0"/>
        <v>8.313578449528304</v>
      </c>
      <c r="Q56" s="1">
        <f t="shared" si="1"/>
        <v>1.1084771266037738</v>
      </c>
      <c r="R56" s="1">
        <f t="shared" si="2"/>
        <v>1.0528424034981561</v>
      </c>
      <c r="S56" s="1">
        <f t="shared" si="3"/>
        <v>-1.701693908261791</v>
      </c>
      <c r="T56" s="56">
        <f t="shared" si="4"/>
        <v>4.9946546755647921E-2</v>
      </c>
    </row>
    <row r="57" spans="1:20" x14ac:dyDescent="0.25">
      <c r="A57">
        <v>4.7489394800272033E-2</v>
      </c>
      <c r="B57">
        <v>0.68052827373321634</v>
      </c>
      <c r="D57">
        <v>5.3240289686604658E-2</v>
      </c>
      <c r="E57">
        <v>2.2864612640205451</v>
      </c>
      <c r="I57">
        <v>0.54160148519824847</v>
      </c>
      <c r="J57">
        <v>15</v>
      </c>
      <c r="K57">
        <v>1.4324465761698471E-2</v>
      </c>
      <c r="L57">
        <v>6.5601013573082838</v>
      </c>
      <c r="M57">
        <v>15</v>
      </c>
      <c r="N57">
        <v>1.5252239757046482</v>
      </c>
      <c r="O57">
        <v>162.22866391847927</v>
      </c>
      <c r="P57" s="1">
        <f t="shared" si="0"/>
        <v>6.0281701884209848</v>
      </c>
      <c r="Q57" s="1">
        <f t="shared" si="1"/>
        <v>0.80375602512279798</v>
      </c>
      <c r="R57" s="1">
        <f t="shared" si="2"/>
        <v>0.89652441412534767</v>
      </c>
      <c r="S57" s="1">
        <f t="shared" si="3"/>
        <v>-1.6852854045441568</v>
      </c>
      <c r="T57" s="56">
        <f t="shared" si="4"/>
        <v>5.1524332763315459E-2</v>
      </c>
    </row>
    <row r="58" spans="1:20" x14ac:dyDescent="0.25">
      <c r="A58">
        <v>4.8847313016023297E-2</v>
      </c>
      <c r="B58">
        <v>-0.41286170926468913</v>
      </c>
      <c r="D58">
        <v>5.3965860871902027E-2</v>
      </c>
      <c r="E58">
        <v>3.5748309949212853</v>
      </c>
      <c r="I58">
        <v>0.75822667880755079</v>
      </c>
      <c r="J58">
        <v>15</v>
      </c>
      <c r="K58">
        <v>-3.8790100613065683E-2</v>
      </c>
      <c r="L58">
        <v>10.667238375664295</v>
      </c>
      <c r="M58">
        <v>15</v>
      </c>
      <c r="N58">
        <v>1.3783021552171704</v>
      </c>
      <c r="O58">
        <v>139.4412054196745</v>
      </c>
      <c r="P58" s="1">
        <f t="shared" si="0"/>
        <v>5.3610158498335281</v>
      </c>
      <c r="Q58" s="1">
        <f t="shared" si="1"/>
        <v>0.71480211331113708</v>
      </c>
      <c r="R58" s="1">
        <f t="shared" si="2"/>
        <v>0.8454597053148879</v>
      </c>
      <c r="S58" s="1">
        <f t="shared" si="3"/>
        <v>-1.6761203957111666</v>
      </c>
      <c r="T58" s="56">
        <f t="shared" si="4"/>
        <v>5.2423652388105861E-2</v>
      </c>
    </row>
    <row r="59" spans="1:20" x14ac:dyDescent="0.25">
      <c r="A59">
        <v>5.2175406072763719E-2</v>
      </c>
      <c r="B59">
        <v>0.28928639039804693</v>
      </c>
      <c r="D59">
        <v>5.3991895980739502E-2</v>
      </c>
      <c r="E59">
        <v>2.2310252882107307</v>
      </c>
      <c r="I59">
        <v>0.29224079221809751</v>
      </c>
      <c r="J59">
        <v>15</v>
      </c>
      <c r="K59">
        <v>-0.18752234609564766</v>
      </c>
      <c r="L59">
        <v>11.90097827136897</v>
      </c>
      <c r="M59">
        <v>15</v>
      </c>
      <c r="N59">
        <v>1.5201558164790185</v>
      </c>
      <c r="O59">
        <v>207.13922619437201</v>
      </c>
      <c r="P59" s="1">
        <f t="shared" si="0"/>
        <v>7.8228644452050355</v>
      </c>
      <c r="Q59" s="1">
        <f t="shared" si="1"/>
        <v>1.0430485926940047</v>
      </c>
      <c r="R59" s="1">
        <f t="shared" si="2"/>
        <v>1.0212975044980794</v>
      </c>
      <c r="S59" s="1">
        <f t="shared" si="3"/>
        <v>-1.6720673016957102</v>
      </c>
      <c r="T59" s="56">
        <f t="shared" si="4"/>
        <v>5.2825532900540838E-2</v>
      </c>
    </row>
    <row r="60" spans="1:20" x14ac:dyDescent="0.25">
      <c r="A60">
        <v>5.3371932570699054E-2</v>
      </c>
      <c r="B60">
        <v>1.8435503079672344</v>
      </c>
      <c r="D60">
        <v>5.4409635793806421E-2</v>
      </c>
      <c r="E60">
        <v>2.6265258804869518</v>
      </c>
      <c r="I60">
        <v>0.71441017903990711</v>
      </c>
      <c r="J60">
        <v>15</v>
      </c>
      <c r="K60">
        <v>0.15322158712175829</v>
      </c>
      <c r="L60">
        <v>11.301815926174321</v>
      </c>
      <c r="M60">
        <v>15</v>
      </c>
      <c r="N60">
        <v>1.8468310793195997</v>
      </c>
      <c r="O60">
        <v>205.06958928034948</v>
      </c>
      <c r="P60" s="1">
        <f t="shared" si="0"/>
        <v>7.7275501859472788</v>
      </c>
      <c r="Q60" s="1">
        <f t="shared" si="1"/>
        <v>1.0303400247929706</v>
      </c>
      <c r="R60" s="1">
        <f t="shared" si="2"/>
        <v>1.0150566608780864</v>
      </c>
      <c r="S60" s="1">
        <f t="shared" si="3"/>
        <v>-1.6684876396286734</v>
      </c>
      <c r="T60" s="56">
        <f t="shared" si="4"/>
        <v>5.3182610056630789E-2</v>
      </c>
    </row>
    <row r="61" spans="1:20" x14ac:dyDescent="0.25">
      <c r="A61">
        <v>5.3599118236005605E-2</v>
      </c>
      <c r="B61">
        <v>-2.0317747839726508</v>
      </c>
      <c r="D61">
        <v>5.9806813267779146E-2</v>
      </c>
      <c r="E61">
        <v>3.1029396689064015</v>
      </c>
      <c r="I61">
        <v>8.1935332814805362E-2</v>
      </c>
      <c r="J61">
        <v>15</v>
      </c>
      <c r="K61">
        <v>2.9082002583891153E-2</v>
      </c>
      <c r="L61">
        <v>9.9344982493226652</v>
      </c>
      <c r="M61">
        <v>15</v>
      </c>
      <c r="N61">
        <v>1.1150977991292166</v>
      </c>
      <c r="O61">
        <v>80.510021806079948</v>
      </c>
      <c r="P61" s="1">
        <f t="shared" si="0"/>
        <v>3.2301614305500936</v>
      </c>
      <c r="Q61" s="1">
        <f t="shared" si="1"/>
        <v>0.43068819074001247</v>
      </c>
      <c r="R61" s="1">
        <f t="shared" si="2"/>
        <v>0.65626838316348324</v>
      </c>
      <c r="S61" s="1">
        <f t="shared" si="3"/>
        <v>-1.654834857821861</v>
      </c>
      <c r="T61" s="56">
        <f t="shared" si="4"/>
        <v>5.4563060539783159E-2</v>
      </c>
    </row>
    <row r="62" spans="1:20" x14ac:dyDescent="0.25">
      <c r="A62">
        <v>5.380049061106229E-2</v>
      </c>
      <c r="B62">
        <v>0.15642513062630314</v>
      </c>
      <c r="D62">
        <v>6.0006110518582956E-2</v>
      </c>
      <c r="E62">
        <v>4.2254994207269192</v>
      </c>
      <c r="I62">
        <v>0.31799900846151175</v>
      </c>
      <c r="J62">
        <v>15</v>
      </c>
      <c r="K62">
        <v>-0.29280962129026494</v>
      </c>
      <c r="L62">
        <v>12.107713690377043</v>
      </c>
      <c r="M62">
        <v>15</v>
      </c>
      <c r="N62">
        <v>0.90733646743501595</v>
      </c>
      <c r="O62">
        <v>98.873258515044057</v>
      </c>
      <c r="P62" s="1">
        <f t="shared" si="0"/>
        <v>3.9636061501936104</v>
      </c>
      <c r="Q62" s="1">
        <f t="shared" si="1"/>
        <v>0.52848082002581476</v>
      </c>
      <c r="R62" s="1">
        <f t="shared" si="2"/>
        <v>0.72696686308649228</v>
      </c>
      <c r="S62" s="1">
        <f t="shared" si="3"/>
        <v>-1.6508951778486927</v>
      </c>
      <c r="T62" s="56">
        <f t="shared" si="4"/>
        <v>5.4966916780228199E-2</v>
      </c>
    </row>
    <row r="63" spans="1:20" x14ac:dyDescent="0.25">
      <c r="A63">
        <v>5.4616264728482133E-2</v>
      </c>
      <c r="B63">
        <v>-6.0891807152074762E-2</v>
      </c>
      <c r="D63">
        <v>6.0990083410445761E-2</v>
      </c>
      <c r="E63">
        <v>-0.82625479421949422</v>
      </c>
      <c r="I63">
        <v>0.31258139743733881</v>
      </c>
      <c r="J63">
        <v>15</v>
      </c>
      <c r="K63">
        <v>-0.11570773494895548</v>
      </c>
      <c r="L63">
        <v>13.685512576927795</v>
      </c>
      <c r="M63">
        <v>15</v>
      </c>
      <c r="N63">
        <v>1.1620761563335691</v>
      </c>
      <c r="O63">
        <v>117.05151911152942</v>
      </c>
      <c r="P63" s="1">
        <f t="shared" si="0"/>
        <v>4.6691797031591866</v>
      </c>
      <c r="Q63" s="1">
        <f t="shared" si="1"/>
        <v>0.62255729375455826</v>
      </c>
      <c r="R63" s="1">
        <f t="shared" si="2"/>
        <v>0.78902299950924004</v>
      </c>
      <c r="S63" s="1">
        <f t="shared" si="3"/>
        <v>-1.6194507537515208</v>
      </c>
      <c r="T63" s="56">
        <f t="shared" si="4"/>
        <v>5.8280280731794115E-2</v>
      </c>
    </row>
    <row r="64" spans="1:20" x14ac:dyDescent="0.25">
      <c r="A64">
        <v>5.5126667468079038E-2</v>
      </c>
      <c r="B64">
        <v>0.3931972969439812</v>
      </c>
      <c r="D64">
        <v>6.1077723175757659E-2</v>
      </c>
      <c r="E64">
        <v>-4.253005730561199</v>
      </c>
      <c r="I64">
        <v>0.9728708816866779</v>
      </c>
      <c r="J64">
        <v>15</v>
      </c>
      <c r="K64">
        <v>9.2218670033616945E-2</v>
      </c>
      <c r="L64">
        <v>10.553054015656507</v>
      </c>
      <c r="M64">
        <v>15</v>
      </c>
      <c r="N64">
        <v>1.6935100541104475</v>
      </c>
      <c r="O64">
        <v>196.5315110368827</v>
      </c>
      <c r="P64" s="1">
        <f t="shared" si="0"/>
        <v>7.3958773233049717</v>
      </c>
      <c r="Q64" s="1">
        <f t="shared" si="1"/>
        <v>0.98611697644066287</v>
      </c>
      <c r="R64" s="1">
        <f t="shared" si="2"/>
        <v>0.99303422722515611</v>
      </c>
      <c r="S64" s="1">
        <f t="shared" si="3"/>
        <v>-1.6125238588717457</v>
      </c>
      <c r="T64" s="56">
        <f t="shared" si="4"/>
        <v>5.9031999328740731E-2</v>
      </c>
    </row>
    <row r="65" spans="1:20" x14ac:dyDescent="0.25">
      <c r="A65">
        <v>5.5506809880080055E-2</v>
      </c>
      <c r="B65">
        <v>-0.25254166757804342</v>
      </c>
      <c r="D65">
        <v>6.3379178795903046E-2</v>
      </c>
      <c r="E65">
        <v>-0.61699370576207002</v>
      </c>
      <c r="I65">
        <v>0.29084671206843649</v>
      </c>
      <c r="J65">
        <v>15</v>
      </c>
      <c r="K65">
        <v>-0.18961842821833366</v>
      </c>
      <c r="L65">
        <v>15.378398368624442</v>
      </c>
      <c r="M65">
        <v>15</v>
      </c>
      <c r="N65">
        <v>0.81118855291606451</v>
      </c>
      <c r="O65">
        <v>66.265128071101188</v>
      </c>
      <c r="P65" s="1">
        <f t="shared" si="0"/>
        <v>2.9158402299902013</v>
      </c>
      <c r="Q65" s="1">
        <f t="shared" si="1"/>
        <v>0.38877869733202686</v>
      </c>
      <c r="R65" s="1">
        <f t="shared" si="2"/>
        <v>0.62352120840595859</v>
      </c>
      <c r="S65" s="1">
        <f t="shared" si="3"/>
        <v>-1.6050889170121037</v>
      </c>
      <c r="T65" s="56">
        <f t="shared" si="4"/>
        <v>5.9847754872902108E-2</v>
      </c>
    </row>
    <row r="66" spans="1:20" x14ac:dyDescent="0.25">
      <c r="A66">
        <v>5.7054982091579332E-2</v>
      </c>
      <c r="B66">
        <v>-1.1597217053349596</v>
      </c>
      <c r="D66">
        <v>6.381526469452603E-2</v>
      </c>
      <c r="E66">
        <v>0.36036635378877691</v>
      </c>
      <c r="I66">
        <v>0.87089689007865623</v>
      </c>
      <c r="J66">
        <v>15</v>
      </c>
      <c r="K66">
        <v>-0.18581476979306899</v>
      </c>
      <c r="L66">
        <v>27.986623579381074</v>
      </c>
      <c r="M66">
        <v>15</v>
      </c>
      <c r="N66">
        <v>1.2624238900116325</v>
      </c>
      <c r="O66">
        <v>147.80191933783709</v>
      </c>
      <c r="P66" s="1">
        <f t="shared" ref="P66:P129" si="5">(L66+O66)/(J66+M66-2)</f>
        <v>6.2781622470435057</v>
      </c>
      <c r="Q66" s="1">
        <f t="shared" ref="Q66:Q129" si="6">P66*(2/15)</f>
        <v>0.83708829960580078</v>
      </c>
      <c r="R66" s="1">
        <f t="shared" ref="R66:R129" si="7">SQRT(Q66)</f>
        <v>0.91492529728158722</v>
      </c>
      <c r="S66" s="1">
        <f t="shared" ref="S66:S129" si="8">(K66-N66)/R66</f>
        <v>-1.5829037235145724</v>
      </c>
      <c r="T66" s="56">
        <f t="shared" ref="T66:T129" si="9">_xlfn.T.DIST(S66,28,TRUE)</f>
        <v>6.2337359336863199E-2</v>
      </c>
    </row>
    <row r="67" spans="1:20" x14ac:dyDescent="0.25">
      <c r="A67">
        <v>5.7988230742721081E-2</v>
      </c>
      <c r="B67">
        <v>0.13925500752520747</v>
      </c>
      <c r="D67">
        <v>6.5244532061087934E-2</v>
      </c>
      <c r="E67">
        <v>5.2505704354643967</v>
      </c>
      <c r="I67">
        <v>0.26680129997357738</v>
      </c>
      <c r="J67">
        <v>15</v>
      </c>
      <c r="K67">
        <v>5.7019785041726813E-2</v>
      </c>
      <c r="L67">
        <v>18.007647115417477</v>
      </c>
      <c r="M67">
        <v>15</v>
      </c>
      <c r="N67">
        <v>1.7049605924057687</v>
      </c>
      <c r="O67">
        <v>216.68910905862492</v>
      </c>
      <c r="P67" s="1">
        <f t="shared" si="5"/>
        <v>8.3820270062158002</v>
      </c>
      <c r="Q67" s="1">
        <f t="shared" si="6"/>
        <v>1.1176036008287733</v>
      </c>
      <c r="R67" s="1">
        <f t="shared" si="7"/>
        <v>1.0571677259681991</v>
      </c>
      <c r="S67" s="1">
        <f t="shared" si="8"/>
        <v>-1.5588262551761005</v>
      </c>
      <c r="T67" s="56">
        <f t="shared" si="9"/>
        <v>6.5135004223751694E-2</v>
      </c>
    </row>
    <row r="68" spans="1:20" x14ac:dyDescent="0.25">
      <c r="A68">
        <v>5.8974105382674002E-2</v>
      </c>
      <c r="B68">
        <v>-6.6027041611960158E-2</v>
      </c>
      <c r="D68">
        <v>6.6180097119277637E-2</v>
      </c>
      <c r="E68">
        <v>-2.7632329454263527</v>
      </c>
      <c r="I68">
        <v>0.62162083727646411</v>
      </c>
      <c r="J68">
        <v>15</v>
      </c>
      <c r="K68">
        <v>-0.13575527191278525</v>
      </c>
      <c r="L68">
        <v>15.321278977853764</v>
      </c>
      <c r="M68">
        <v>15</v>
      </c>
      <c r="N68">
        <v>1.3041710610650625</v>
      </c>
      <c r="O68">
        <v>165.45829762393913</v>
      </c>
      <c r="P68" s="1">
        <f t="shared" si="5"/>
        <v>6.4564134500640318</v>
      </c>
      <c r="Q68" s="1">
        <f t="shared" si="6"/>
        <v>0.86085512667520425</v>
      </c>
      <c r="R68" s="1">
        <f t="shared" si="7"/>
        <v>0.92782278840045973</v>
      </c>
      <c r="S68" s="1">
        <f t="shared" si="8"/>
        <v>-1.5519411152427502</v>
      </c>
      <c r="T68" s="56">
        <f t="shared" si="9"/>
        <v>6.5953642304401608E-2</v>
      </c>
    </row>
    <row r="69" spans="1:20" x14ac:dyDescent="0.25">
      <c r="A69">
        <v>5.9040962020673105E-2</v>
      </c>
      <c r="B69">
        <v>1.2996179066249169</v>
      </c>
      <c r="D69">
        <v>6.6388740870003682E-2</v>
      </c>
      <c r="E69">
        <v>5.2378478585524135E-2</v>
      </c>
      <c r="I69">
        <v>0.6243623814021364</v>
      </c>
      <c r="J69">
        <v>15</v>
      </c>
      <c r="K69">
        <v>-0.29526995604101103</v>
      </c>
      <c r="L69">
        <v>7.4143907047930284</v>
      </c>
      <c r="M69">
        <v>15</v>
      </c>
      <c r="N69">
        <v>1.0199930750331987</v>
      </c>
      <c r="O69">
        <v>145.84039947853262</v>
      </c>
      <c r="P69" s="1">
        <f t="shared" si="5"/>
        <v>5.473385363690201</v>
      </c>
      <c r="Q69" s="1">
        <f t="shared" si="6"/>
        <v>0.72978471515869348</v>
      </c>
      <c r="R69" s="1">
        <f t="shared" si="7"/>
        <v>0.85427437931773043</v>
      </c>
      <c r="S69" s="1">
        <f t="shared" si="8"/>
        <v>-1.5396259830765961</v>
      </c>
      <c r="T69" s="56">
        <f t="shared" si="9"/>
        <v>6.7438849487427607E-2</v>
      </c>
    </row>
    <row r="70" spans="1:20" x14ac:dyDescent="0.25">
      <c r="A70">
        <v>5.9236143927134055E-2</v>
      </c>
      <c r="B70">
        <v>0.33903916119015776</v>
      </c>
      <c r="D70">
        <v>6.9378946688147369E-2</v>
      </c>
      <c r="E70">
        <v>-0.35131097661178501</v>
      </c>
      <c r="I70">
        <v>0.8506290594223902</v>
      </c>
      <c r="J70">
        <v>15</v>
      </c>
      <c r="K70">
        <v>-8.6042215722651846E-2</v>
      </c>
      <c r="L70">
        <v>9.7202293546678096</v>
      </c>
      <c r="M70">
        <v>15</v>
      </c>
      <c r="N70">
        <v>1.3060778167073295</v>
      </c>
      <c r="O70">
        <v>162.04897502220314</v>
      </c>
      <c r="P70" s="1">
        <f t="shared" si="5"/>
        <v>6.134614442031106</v>
      </c>
      <c r="Q70" s="1">
        <f t="shared" si="6"/>
        <v>0.81794859227081407</v>
      </c>
      <c r="R70" s="1">
        <f t="shared" si="7"/>
        <v>0.904405104071629</v>
      </c>
      <c r="S70" s="1">
        <f t="shared" si="8"/>
        <v>-1.5392660060880476</v>
      </c>
      <c r="T70" s="56">
        <f t="shared" si="9"/>
        <v>6.748266944567026E-2</v>
      </c>
    </row>
    <row r="71" spans="1:20" x14ac:dyDescent="0.25">
      <c r="A71">
        <v>5.924681130650844E-2</v>
      </c>
      <c r="B71">
        <v>0.321426796290325</v>
      </c>
      <c r="D71">
        <v>6.9740258070209338E-2</v>
      </c>
      <c r="E71">
        <v>-0.66117468463744444</v>
      </c>
      <c r="I71">
        <v>0.28970446650712955</v>
      </c>
      <c r="J71">
        <v>15</v>
      </c>
      <c r="K71">
        <v>-2.4366120972748224E-2</v>
      </c>
      <c r="L71">
        <v>25.49421867452385</v>
      </c>
      <c r="M71">
        <v>15</v>
      </c>
      <c r="N71">
        <v>1.2969028341558442</v>
      </c>
      <c r="O71">
        <v>130.71440762613261</v>
      </c>
      <c r="P71" s="1">
        <f t="shared" si="5"/>
        <v>5.5788795107377309</v>
      </c>
      <c r="Q71" s="1">
        <f t="shared" si="6"/>
        <v>0.74385060143169746</v>
      </c>
      <c r="R71" s="1">
        <f t="shared" si="7"/>
        <v>0.86246773935707155</v>
      </c>
      <c r="S71" s="1">
        <f t="shared" si="8"/>
        <v>-1.5319633359429017</v>
      </c>
      <c r="T71" s="56">
        <f t="shared" si="9"/>
        <v>6.8376640806555061E-2</v>
      </c>
    </row>
    <row r="72" spans="1:20" x14ac:dyDescent="0.25">
      <c r="A72">
        <v>5.9801684166511659E-2</v>
      </c>
      <c r="B72">
        <v>-0.44811145016865339</v>
      </c>
      <c r="D72">
        <v>6.9974763162883535E-2</v>
      </c>
      <c r="E72">
        <v>0.20716879248539044</v>
      </c>
      <c r="I72">
        <v>0.37684999737240354</v>
      </c>
      <c r="J72">
        <v>15</v>
      </c>
      <c r="K72">
        <v>-8.58405352725337E-2</v>
      </c>
      <c r="L72">
        <v>23.508879576627866</v>
      </c>
      <c r="M72">
        <v>15</v>
      </c>
      <c r="N72">
        <v>0.97730707807386352</v>
      </c>
      <c r="O72">
        <v>77.749202611148235</v>
      </c>
      <c r="P72" s="1">
        <f t="shared" si="5"/>
        <v>3.6163600781348606</v>
      </c>
      <c r="Q72" s="1">
        <f t="shared" si="6"/>
        <v>0.48218134375131472</v>
      </c>
      <c r="R72" s="1">
        <f t="shared" si="7"/>
        <v>0.69439278780191449</v>
      </c>
      <c r="S72" s="1">
        <f t="shared" si="8"/>
        <v>-1.5310464509744812</v>
      </c>
      <c r="T72" s="56">
        <f t="shared" si="9"/>
        <v>6.8489560780220407E-2</v>
      </c>
    </row>
    <row r="73" spans="1:20" x14ac:dyDescent="0.25">
      <c r="A73">
        <v>6.0614015652050046E-2</v>
      </c>
      <c r="B73">
        <v>0.19979665921709966</v>
      </c>
      <c r="D73">
        <v>7.1118208678510042E-2</v>
      </c>
      <c r="E73">
        <v>-0.75912385341325717</v>
      </c>
      <c r="I73">
        <v>4.44980357759307E-2</v>
      </c>
      <c r="J73">
        <v>15</v>
      </c>
      <c r="K73">
        <v>-0.15987128184254593</v>
      </c>
      <c r="L73">
        <v>8.0463488375359216</v>
      </c>
      <c r="M73">
        <v>15</v>
      </c>
      <c r="N73">
        <v>0.65682524677868059</v>
      </c>
      <c r="O73">
        <v>51.976987529776459</v>
      </c>
      <c r="P73" s="1">
        <f t="shared" si="5"/>
        <v>2.1436905845468708</v>
      </c>
      <c r="Q73" s="1">
        <f t="shared" si="6"/>
        <v>0.28582541127291611</v>
      </c>
      <c r="R73" s="1">
        <f t="shared" si="7"/>
        <v>0.53462642216122847</v>
      </c>
      <c r="S73" s="1">
        <f t="shared" si="8"/>
        <v>-1.5276022560196876</v>
      </c>
      <c r="T73" s="56">
        <f t="shared" si="9"/>
        <v>6.8915089713545624E-2</v>
      </c>
    </row>
    <row r="74" spans="1:20" x14ac:dyDescent="0.25">
      <c r="A74">
        <v>6.112020478230995E-2</v>
      </c>
      <c r="B74">
        <v>-1.0440612641104963</v>
      </c>
      <c r="D74">
        <v>7.3358976564143585E-2</v>
      </c>
      <c r="E74">
        <v>3.8607488443176408</v>
      </c>
      <c r="I74">
        <v>0.57620606091783633</v>
      </c>
      <c r="J74">
        <v>15</v>
      </c>
      <c r="K74">
        <v>8.0930324960111946E-2</v>
      </c>
      <c r="L74">
        <v>10.337368441809815</v>
      </c>
      <c r="M74">
        <v>15</v>
      </c>
      <c r="N74">
        <v>1.3688481851659162</v>
      </c>
      <c r="O74">
        <v>138.96535859256656</v>
      </c>
      <c r="P74" s="1">
        <f t="shared" si="5"/>
        <v>5.332240251227728</v>
      </c>
      <c r="Q74" s="1">
        <f t="shared" si="6"/>
        <v>0.71096536683036371</v>
      </c>
      <c r="R74" s="1">
        <f t="shared" si="7"/>
        <v>0.84318762255524349</v>
      </c>
      <c r="S74" s="1">
        <f t="shared" si="8"/>
        <v>-1.5274392386155113</v>
      </c>
      <c r="T74" s="56">
        <f t="shared" si="9"/>
        <v>6.8935283582652482E-2</v>
      </c>
    </row>
    <row r="75" spans="1:20" x14ac:dyDescent="0.25">
      <c r="A75">
        <v>6.2556880859136021E-2</v>
      </c>
      <c r="B75">
        <v>-0.20737275008286815</v>
      </c>
      <c r="D75">
        <v>7.4793397033314113E-2</v>
      </c>
      <c r="E75">
        <v>1.2939069586082041</v>
      </c>
      <c r="I75">
        <v>0.29382809608520633</v>
      </c>
      <c r="J75">
        <v>15</v>
      </c>
      <c r="K75">
        <v>-0.10888440253135438</v>
      </c>
      <c r="L75">
        <v>15.056688189991254</v>
      </c>
      <c r="M75">
        <v>15</v>
      </c>
      <c r="N75">
        <v>1.1116908319763752</v>
      </c>
      <c r="O75">
        <v>120.31865917036409</v>
      </c>
      <c r="P75" s="1">
        <f t="shared" si="5"/>
        <v>4.8348338342984052</v>
      </c>
      <c r="Q75" s="1">
        <f t="shared" si="6"/>
        <v>0.64464451123978739</v>
      </c>
      <c r="R75" s="1">
        <f t="shared" si="7"/>
        <v>0.8028975720724203</v>
      </c>
      <c r="S75" s="1">
        <f t="shared" si="8"/>
        <v>-1.520212885134538</v>
      </c>
      <c r="T75" s="56">
        <f t="shared" si="9"/>
        <v>6.9835292686001138E-2</v>
      </c>
    </row>
    <row r="76" spans="1:20" x14ac:dyDescent="0.25">
      <c r="A76">
        <v>6.2859693225935209E-2</v>
      </c>
      <c r="B76">
        <v>-0.70807800511829555</v>
      </c>
      <c r="D76">
        <v>7.5454549576121632E-2</v>
      </c>
      <c r="E76">
        <v>0.83008512433480064</v>
      </c>
      <c r="I76">
        <v>0.6458992503842923</v>
      </c>
      <c r="J76">
        <v>15</v>
      </c>
      <c r="K76">
        <v>2.8159623373843107E-2</v>
      </c>
      <c r="L76">
        <v>13.156352808999506</v>
      </c>
      <c r="M76">
        <v>15</v>
      </c>
      <c r="N76">
        <v>1.0585804341189942</v>
      </c>
      <c r="O76">
        <v>83.932344374646021</v>
      </c>
      <c r="P76" s="1">
        <f t="shared" si="5"/>
        <v>3.4674534708444829</v>
      </c>
      <c r="Q76" s="1">
        <f t="shared" si="6"/>
        <v>0.46232712944593102</v>
      </c>
      <c r="R76" s="1">
        <f t="shared" si="7"/>
        <v>0.67994641659908095</v>
      </c>
      <c r="S76" s="1">
        <f t="shared" si="8"/>
        <v>-1.5154441373469603</v>
      </c>
      <c r="T76" s="56">
        <f t="shared" si="9"/>
        <v>7.0434422701176572E-2</v>
      </c>
    </row>
    <row r="77" spans="1:20" x14ac:dyDescent="0.25">
      <c r="A77">
        <v>6.5337214545930777E-2</v>
      </c>
      <c r="B77">
        <v>-0.60766069509554654</v>
      </c>
      <c r="D77">
        <v>7.5730092451005149E-2</v>
      </c>
      <c r="E77">
        <v>0.15052887306410412</v>
      </c>
      <c r="I77">
        <v>0.23743888580307404</v>
      </c>
      <c r="J77">
        <v>15</v>
      </c>
      <c r="K77">
        <v>-0.18656207127302574</v>
      </c>
      <c r="L77">
        <v>19.110500752310294</v>
      </c>
      <c r="M77">
        <v>15</v>
      </c>
      <c r="N77">
        <v>1.1608844909005711</v>
      </c>
      <c r="O77">
        <v>148.26998784216309</v>
      </c>
      <c r="P77" s="1">
        <f t="shared" si="5"/>
        <v>5.9778745926597638</v>
      </c>
      <c r="Q77" s="1">
        <f t="shared" si="6"/>
        <v>0.7970499456879685</v>
      </c>
      <c r="R77" s="1">
        <f t="shared" si="7"/>
        <v>0.89277653737537732</v>
      </c>
      <c r="S77" s="1">
        <f t="shared" si="8"/>
        <v>-1.5092764043003168</v>
      </c>
      <c r="T77" s="56">
        <f t="shared" si="9"/>
        <v>7.1215487137978137E-2</v>
      </c>
    </row>
    <row r="78" spans="1:20" x14ac:dyDescent="0.25">
      <c r="A78">
        <v>6.5719695681649148E-2</v>
      </c>
      <c r="B78">
        <v>0.63325614974019118</v>
      </c>
      <c r="D78">
        <v>7.6046734392820836E-2</v>
      </c>
      <c r="E78">
        <v>1.0539640663864702</v>
      </c>
      <c r="I78">
        <v>1.3486541177728739E-2</v>
      </c>
      <c r="J78">
        <v>15</v>
      </c>
      <c r="K78">
        <v>-0.21218814557263008</v>
      </c>
      <c r="L78">
        <v>21.370455537033187</v>
      </c>
      <c r="M78">
        <v>15</v>
      </c>
      <c r="N78">
        <v>1.2322141139975429</v>
      </c>
      <c r="O78">
        <v>172.47160550704001</v>
      </c>
      <c r="P78" s="1">
        <f t="shared" si="5"/>
        <v>6.922930751574043</v>
      </c>
      <c r="Q78" s="1">
        <f t="shared" si="6"/>
        <v>0.92305743354320569</v>
      </c>
      <c r="R78" s="1">
        <f t="shared" si="7"/>
        <v>0.96075878010206373</v>
      </c>
      <c r="S78" s="1">
        <f t="shared" si="8"/>
        <v>-1.5033974078454224</v>
      </c>
      <c r="T78" s="56">
        <f t="shared" si="9"/>
        <v>7.1966497722256856E-2</v>
      </c>
    </row>
    <row r="79" spans="1:20" x14ac:dyDescent="0.25">
      <c r="A79">
        <v>7.0123697159448106E-2</v>
      </c>
      <c r="B79">
        <v>1.1174506653333083</v>
      </c>
      <c r="D79">
        <v>7.7090202813554498E-2</v>
      </c>
      <c r="E79">
        <v>3.5609839380867925</v>
      </c>
      <c r="I79">
        <v>0.32705424059765897</v>
      </c>
      <c r="J79">
        <v>15</v>
      </c>
      <c r="K79">
        <v>-0.42867615472156712</v>
      </c>
      <c r="L79">
        <v>11.105200928623624</v>
      </c>
      <c r="M79">
        <v>15</v>
      </c>
      <c r="N79">
        <v>0.84638258726954518</v>
      </c>
      <c r="O79">
        <v>140.32729345043367</v>
      </c>
      <c r="P79" s="1">
        <f t="shared" si="5"/>
        <v>5.4083033706806178</v>
      </c>
      <c r="Q79" s="1">
        <f t="shared" si="6"/>
        <v>0.72110711609074907</v>
      </c>
      <c r="R79" s="1">
        <f t="shared" si="7"/>
        <v>0.84918026124654422</v>
      </c>
      <c r="S79" s="1">
        <f t="shared" si="8"/>
        <v>-1.5015171691807871</v>
      </c>
      <c r="T79" s="56">
        <f t="shared" si="9"/>
        <v>7.2208034949404393E-2</v>
      </c>
    </row>
    <row r="80" spans="1:20" x14ac:dyDescent="0.25">
      <c r="A80">
        <v>7.202118927411616E-2</v>
      </c>
      <c r="B80">
        <v>-0.93390553956851363</v>
      </c>
      <c r="D80">
        <v>7.9041067388331387E-2</v>
      </c>
      <c r="E80">
        <v>-6.5150974251082516E-2</v>
      </c>
      <c r="I80">
        <v>0.50422279540616388</v>
      </c>
      <c r="J80">
        <v>15</v>
      </c>
      <c r="K80">
        <v>-7.3786395660135895E-2</v>
      </c>
      <c r="L80">
        <v>8.6178785425962534</v>
      </c>
      <c r="M80">
        <v>15</v>
      </c>
      <c r="N80">
        <v>1.3414251009180589</v>
      </c>
      <c r="O80">
        <v>187.74566073018633</v>
      </c>
      <c r="P80" s="1">
        <f t="shared" si="5"/>
        <v>7.012983545456521</v>
      </c>
      <c r="Q80" s="1">
        <f t="shared" si="6"/>
        <v>0.93506447272753612</v>
      </c>
      <c r="R80" s="1">
        <f t="shared" si="7"/>
        <v>0.96698731776975033</v>
      </c>
      <c r="S80" s="1">
        <f t="shared" si="8"/>
        <v>-1.4635264295319035</v>
      </c>
      <c r="T80" s="56">
        <f t="shared" si="9"/>
        <v>7.7230041457685972E-2</v>
      </c>
    </row>
    <row r="81" spans="1:20" x14ac:dyDescent="0.25">
      <c r="A81">
        <v>7.2906176925397692E-2</v>
      </c>
      <c r="B81">
        <v>-1.8473292584531009</v>
      </c>
      <c r="D81">
        <v>8.0315374116050942E-2</v>
      </c>
      <c r="E81">
        <v>0.52965173949814925</v>
      </c>
      <c r="I81">
        <v>0.46853808210364112</v>
      </c>
      <c r="J81">
        <v>15</v>
      </c>
      <c r="K81">
        <v>-0.17530442164570559</v>
      </c>
      <c r="L81">
        <v>11.238700943034653</v>
      </c>
      <c r="M81">
        <v>15</v>
      </c>
      <c r="N81">
        <v>0.84457837715490314</v>
      </c>
      <c r="O81">
        <v>92.154586428192147</v>
      </c>
      <c r="P81" s="1">
        <f t="shared" si="5"/>
        <v>3.692617406115243</v>
      </c>
      <c r="Q81" s="1">
        <f t="shared" si="6"/>
        <v>0.49234898748203237</v>
      </c>
      <c r="R81" s="1">
        <f t="shared" si="7"/>
        <v>0.70167584216790047</v>
      </c>
      <c r="S81" s="1">
        <f t="shared" si="8"/>
        <v>-1.4534956706640703</v>
      </c>
      <c r="T81" s="56">
        <f t="shared" si="9"/>
        <v>7.860170320429824E-2</v>
      </c>
    </row>
    <row r="82" spans="1:20" x14ac:dyDescent="0.25">
      <c r="A82">
        <v>7.2937452527016222E-2</v>
      </c>
      <c r="B82">
        <v>-1.3159910849935841</v>
      </c>
      <c r="D82">
        <v>8.0547086363403908E-2</v>
      </c>
      <c r="E82">
        <v>6.2059491449417692</v>
      </c>
      <c r="I82">
        <v>0.80780777962393124</v>
      </c>
      <c r="J82">
        <v>15</v>
      </c>
      <c r="K82">
        <v>4.5091989401650307E-3</v>
      </c>
      <c r="L82">
        <v>29.657305000201973</v>
      </c>
      <c r="M82">
        <v>15</v>
      </c>
      <c r="N82">
        <v>1.1016036262390116</v>
      </c>
      <c r="O82">
        <v>90.107681059548383</v>
      </c>
      <c r="P82" s="1">
        <f t="shared" si="5"/>
        <v>4.2773209307053701</v>
      </c>
      <c r="Q82" s="1">
        <f t="shared" si="6"/>
        <v>0.5703094574273827</v>
      </c>
      <c r="R82" s="1">
        <f t="shared" si="7"/>
        <v>0.75518835890616232</v>
      </c>
      <c r="S82" s="1">
        <f t="shared" si="8"/>
        <v>-1.4527427685563259</v>
      </c>
      <c r="T82" s="56">
        <f t="shared" si="9"/>
        <v>7.8705439796828675E-2</v>
      </c>
    </row>
    <row r="83" spans="1:20" x14ac:dyDescent="0.25">
      <c r="A83">
        <v>7.6138187665913404E-2</v>
      </c>
      <c r="B83">
        <v>1.5979685485945083</v>
      </c>
      <c r="D83">
        <v>8.1083538225753204E-2</v>
      </c>
      <c r="E83">
        <v>2.6392406164177373</v>
      </c>
      <c r="I83">
        <v>0.80141929887215868</v>
      </c>
      <c r="J83">
        <v>15</v>
      </c>
      <c r="K83">
        <v>-0.18400608799614324</v>
      </c>
      <c r="L83">
        <v>15.219993752089707</v>
      </c>
      <c r="M83">
        <v>15</v>
      </c>
      <c r="N83">
        <v>1.2114851381284097</v>
      </c>
      <c r="O83">
        <v>179.4279901132391</v>
      </c>
      <c r="P83" s="1">
        <f t="shared" si="5"/>
        <v>6.9517137094760288</v>
      </c>
      <c r="Q83" s="1">
        <f t="shared" si="6"/>
        <v>0.92689516126347049</v>
      </c>
      <c r="R83" s="1">
        <f t="shared" si="7"/>
        <v>0.96275394637647183</v>
      </c>
      <c r="S83" s="1">
        <f t="shared" si="8"/>
        <v>-1.4494785831590504</v>
      </c>
      <c r="T83" s="56">
        <f t="shared" si="9"/>
        <v>7.9156452242980346E-2</v>
      </c>
    </row>
    <row r="84" spans="1:20" x14ac:dyDescent="0.25">
      <c r="A84">
        <v>7.6454476413503225E-2</v>
      </c>
      <c r="B84">
        <v>0.16874992070370354</v>
      </c>
      <c r="D84">
        <v>8.1931905305172359E-2</v>
      </c>
      <c r="E84">
        <v>1.533617929680986</v>
      </c>
      <c r="I84">
        <v>0.84344243338392344</v>
      </c>
      <c r="J84">
        <v>15</v>
      </c>
      <c r="K84">
        <v>-0.44714761315844953</v>
      </c>
      <c r="L84">
        <v>8.5851768977694416</v>
      </c>
      <c r="M84">
        <v>15</v>
      </c>
      <c r="N84">
        <v>0.64343680264755676</v>
      </c>
      <c r="O84">
        <v>110.37756898243354</v>
      </c>
      <c r="P84" s="1">
        <f t="shared" si="5"/>
        <v>4.2486694957215354</v>
      </c>
      <c r="Q84" s="1">
        <f t="shared" si="6"/>
        <v>0.56648926609620476</v>
      </c>
      <c r="R84" s="1">
        <f t="shared" si="7"/>
        <v>0.75265481204613627</v>
      </c>
      <c r="S84" s="1">
        <f t="shared" si="8"/>
        <v>-1.448983515884511</v>
      </c>
      <c r="T84" s="56">
        <f t="shared" si="9"/>
        <v>7.9225035504163516E-2</v>
      </c>
    </row>
    <row r="85" spans="1:20" x14ac:dyDescent="0.25">
      <c r="A85">
        <v>7.6521962349730299E-2</v>
      </c>
      <c r="B85">
        <v>0.45048182073514909</v>
      </c>
      <c r="D85">
        <v>8.2334928725261824E-2</v>
      </c>
      <c r="E85">
        <v>-0.92313644358910096</v>
      </c>
      <c r="I85">
        <v>8.828304046973745E-2</v>
      </c>
      <c r="J85">
        <v>15</v>
      </c>
      <c r="K85">
        <v>-0.20308236040970465</v>
      </c>
      <c r="L85">
        <v>9.972662732892811</v>
      </c>
      <c r="M85">
        <v>15</v>
      </c>
      <c r="N85">
        <v>1.0859187079859112</v>
      </c>
      <c r="O85">
        <v>158.61444361146761</v>
      </c>
      <c r="P85" s="1">
        <f t="shared" si="5"/>
        <v>6.0209680837271575</v>
      </c>
      <c r="Q85" s="1">
        <f t="shared" si="6"/>
        <v>0.80279574449695434</v>
      </c>
      <c r="R85" s="1">
        <f t="shared" si="7"/>
        <v>0.89598869663459169</v>
      </c>
      <c r="S85" s="1">
        <f t="shared" si="8"/>
        <v>-1.4386354127426066</v>
      </c>
      <c r="T85" s="56">
        <f t="shared" si="9"/>
        <v>8.0669474096566676E-2</v>
      </c>
    </row>
    <row r="86" spans="1:20" x14ac:dyDescent="0.25">
      <c r="A86">
        <v>7.7445674478955895E-2</v>
      </c>
      <c r="B86">
        <v>0.83970462583238259</v>
      </c>
      <c r="D86">
        <v>8.4058985541766273E-2</v>
      </c>
      <c r="E86">
        <v>1.8569569385817886</v>
      </c>
      <c r="I86">
        <v>0.4770802683947305</v>
      </c>
      <c r="J86">
        <v>15</v>
      </c>
      <c r="K86">
        <v>3.6228963532873117E-3</v>
      </c>
      <c r="L86">
        <v>16.080680003507975</v>
      </c>
      <c r="M86">
        <v>15</v>
      </c>
      <c r="N86">
        <v>1.2253640272774646</v>
      </c>
      <c r="O86">
        <v>135.50047211299776</v>
      </c>
      <c r="P86" s="1">
        <f t="shared" si="5"/>
        <v>5.4136125755894904</v>
      </c>
      <c r="Q86" s="1">
        <f t="shared" si="6"/>
        <v>0.72181501007859872</v>
      </c>
      <c r="R86" s="1">
        <f t="shared" si="7"/>
        <v>0.84959696920280892</v>
      </c>
      <c r="S86" s="1">
        <f t="shared" si="8"/>
        <v>-1.4380243517941895</v>
      </c>
      <c r="T86" s="56">
        <f t="shared" si="9"/>
        <v>8.0755420429334229E-2</v>
      </c>
    </row>
    <row r="87" spans="1:20" x14ac:dyDescent="0.25">
      <c r="A87">
        <v>7.7699355566674622E-2</v>
      </c>
      <c r="B87">
        <v>0.49349637265549973</v>
      </c>
      <c r="D87">
        <v>8.5204470295881407E-2</v>
      </c>
      <c r="E87">
        <v>-4.7560904511101398</v>
      </c>
      <c r="I87">
        <v>0.53441535714818733</v>
      </c>
      <c r="J87">
        <v>15</v>
      </c>
      <c r="K87">
        <v>-3.0024239094927907E-2</v>
      </c>
      <c r="L87">
        <v>6.7624334080438402</v>
      </c>
      <c r="M87">
        <v>15</v>
      </c>
      <c r="N87">
        <v>0.94515143814533076</v>
      </c>
      <c r="O87">
        <v>90.714680071893824</v>
      </c>
      <c r="P87" s="1">
        <f t="shared" si="5"/>
        <v>3.481325481426345</v>
      </c>
      <c r="Q87" s="1">
        <f t="shared" si="6"/>
        <v>0.46417673085684602</v>
      </c>
      <c r="R87" s="1">
        <f t="shared" si="7"/>
        <v>0.68130516720251433</v>
      </c>
      <c r="S87" s="1">
        <f t="shared" si="8"/>
        <v>-1.431334626808126</v>
      </c>
      <c r="T87" s="56">
        <f t="shared" si="9"/>
        <v>8.170111031875768E-2</v>
      </c>
    </row>
    <row r="88" spans="1:20" x14ac:dyDescent="0.25">
      <c r="A88">
        <v>8.2519735274738992E-2</v>
      </c>
      <c r="B88">
        <v>-0.81375674199080095</v>
      </c>
      <c r="D88">
        <v>8.6235157934841489E-2</v>
      </c>
      <c r="E88">
        <v>-1.2902369269340852</v>
      </c>
      <c r="I88">
        <v>4.8519129923026316E-2</v>
      </c>
      <c r="J88">
        <v>15</v>
      </c>
      <c r="K88">
        <v>-0.20600039836911796</v>
      </c>
      <c r="L88">
        <v>19.795961901755888</v>
      </c>
      <c r="M88">
        <v>15</v>
      </c>
      <c r="N88">
        <v>1.2516159097231139</v>
      </c>
      <c r="O88">
        <v>199.80562089630411</v>
      </c>
      <c r="P88" s="1">
        <f t="shared" si="5"/>
        <v>7.8429136713592857</v>
      </c>
      <c r="Q88" s="1">
        <f t="shared" si="6"/>
        <v>1.0457218228479048</v>
      </c>
      <c r="R88" s="1">
        <f t="shared" si="7"/>
        <v>1.0226054091622558</v>
      </c>
      <c r="S88" s="1">
        <f t="shared" si="8"/>
        <v>-1.4253946781743976</v>
      </c>
      <c r="T88" s="56">
        <f t="shared" si="9"/>
        <v>8.2548165758486322E-2</v>
      </c>
    </row>
    <row r="89" spans="1:20" x14ac:dyDescent="0.25">
      <c r="A89">
        <v>8.2591024375839761E-2</v>
      </c>
      <c r="B89">
        <v>1.8427181203151122</v>
      </c>
      <c r="D89">
        <v>8.650027005307348E-2</v>
      </c>
      <c r="E89">
        <v>0.44492207621260604</v>
      </c>
      <c r="I89">
        <v>0.89611121745232047</v>
      </c>
      <c r="J89">
        <v>15</v>
      </c>
      <c r="K89">
        <v>0.19434507218344757</v>
      </c>
      <c r="L89">
        <v>14.774305871271361</v>
      </c>
      <c r="M89">
        <v>15</v>
      </c>
      <c r="N89">
        <v>1.4053832694571611</v>
      </c>
      <c r="O89">
        <v>136.88585730240561</v>
      </c>
      <c r="P89" s="1">
        <f t="shared" si="5"/>
        <v>5.4164343990598924</v>
      </c>
      <c r="Q89" s="1">
        <f t="shared" si="6"/>
        <v>0.72219125320798561</v>
      </c>
      <c r="R89" s="1">
        <f t="shared" si="7"/>
        <v>0.84981836483332462</v>
      </c>
      <c r="S89" s="1">
        <f t="shared" si="8"/>
        <v>-1.4250553381618614</v>
      </c>
      <c r="T89" s="56">
        <f t="shared" si="9"/>
        <v>8.2596766391878643E-2</v>
      </c>
    </row>
    <row r="90" spans="1:20" x14ac:dyDescent="0.25">
      <c r="A90">
        <v>8.2812459611379063E-2</v>
      </c>
      <c r="B90">
        <v>1.0368330549681559</v>
      </c>
      <c r="D90">
        <v>8.8069656963977838E-2</v>
      </c>
      <c r="E90">
        <v>6.2182273234157037</v>
      </c>
      <c r="I90">
        <v>0.37509155246363191</v>
      </c>
      <c r="J90">
        <v>15</v>
      </c>
      <c r="K90">
        <v>-0.32042794373410288</v>
      </c>
      <c r="L90">
        <v>11.681505327618931</v>
      </c>
      <c r="M90">
        <v>15</v>
      </c>
      <c r="N90">
        <v>0.6453151365803933</v>
      </c>
      <c r="O90">
        <v>86.8740640625726</v>
      </c>
      <c r="P90" s="1">
        <f t="shared" si="5"/>
        <v>3.5198417639354118</v>
      </c>
      <c r="Q90" s="1">
        <f t="shared" si="6"/>
        <v>0.46931223519138826</v>
      </c>
      <c r="R90" s="1">
        <f t="shared" si="7"/>
        <v>0.6850636723629332</v>
      </c>
      <c r="S90" s="1">
        <f t="shared" si="8"/>
        <v>-1.4097128767366087</v>
      </c>
      <c r="T90" s="56">
        <f t="shared" si="9"/>
        <v>8.4817936228515051E-2</v>
      </c>
    </row>
    <row r="91" spans="1:20" x14ac:dyDescent="0.25">
      <c r="A91">
        <v>8.3883067699616176E-2</v>
      </c>
      <c r="B91">
        <v>-0.41103021430899389</v>
      </c>
      <c r="D91">
        <v>8.832733392156944E-2</v>
      </c>
      <c r="E91">
        <v>5.2975003620758798</v>
      </c>
      <c r="I91">
        <v>0.14599942164453672</v>
      </c>
      <c r="J91">
        <v>15</v>
      </c>
      <c r="K91">
        <v>8.4953398982179351E-2</v>
      </c>
      <c r="L91">
        <v>12.716034301825287</v>
      </c>
      <c r="M91">
        <v>15</v>
      </c>
      <c r="N91">
        <v>1.4758529653136065</v>
      </c>
      <c r="O91">
        <v>191.72659570974099</v>
      </c>
      <c r="P91" s="1">
        <f t="shared" si="5"/>
        <v>7.301522500413081</v>
      </c>
      <c r="Q91" s="1">
        <f t="shared" si="6"/>
        <v>0.97353633338841083</v>
      </c>
      <c r="R91" s="1">
        <f t="shared" si="7"/>
        <v>0.9866794481433222</v>
      </c>
      <c r="S91" s="1">
        <f t="shared" si="8"/>
        <v>-1.4096772451769859</v>
      </c>
      <c r="T91" s="56">
        <f t="shared" si="9"/>
        <v>8.4823149139713325E-2</v>
      </c>
    </row>
    <row r="92" spans="1:20" x14ac:dyDescent="0.25">
      <c r="A92">
        <v>8.4124556255246397E-2</v>
      </c>
      <c r="B92">
        <v>0.85041847341926768</v>
      </c>
      <c r="D92">
        <v>8.8772566891269888E-2</v>
      </c>
      <c r="E92">
        <v>3.7147681234728225</v>
      </c>
      <c r="I92">
        <v>0.44417537246413918</v>
      </c>
      <c r="J92">
        <v>15</v>
      </c>
      <c r="K92">
        <v>9.3114370732412979E-2</v>
      </c>
      <c r="L92">
        <v>10.087100375879542</v>
      </c>
      <c r="M92">
        <v>15</v>
      </c>
      <c r="N92">
        <v>1.0007388448229904</v>
      </c>
      <c r="O92">
        <v>77.323587159025507</v>
      </c>
      <c r="P92" s="1">
        <f t="shared" si="5"/>
        <v>3.1218102691037517</v>
      </c>
      <c r="Q92" s="1">
        <f t="shared" si="6"/>
        <v>0.41624136921383353</v>
      </c>
      <c r="R92" s="1">
        <f t="shared" si="7"/>
        <v>0.64516770627010889</v>
      </c>
      <c r="S92" s="1">
        <f t="shared" si="8"/>
        <v>-1.4068039445709439</v>
      </c>
      <c r="T92" s="56">
        <f t="shared" si="9"/>
        <v>8.5244348271251755E-2</v>
      </c>
    </row>
    <row r="93" spans="1:20" x14ac:dyDescent="0.25">
      <c r="A93">
        <v>8.4203497230866287E-2</v>
      </c>
      <c r="B93">
        <v>0.55342297855531797</v>
      </c>
      <c r="D93">
        <v>9.0348510442482044E-2</v>
      </c>
      <c r="E93">
        <v>5.5294760807100829</v>
      </c>
      <c r="I93">
        <v>0.33654417391917812</v>
      </c>
      <c r="J93">
        <v>15</v>
      </c>
      <c r="K93">
        <v>-5.8726072893477976E-2</v>
      </c>
      <c r="L93">
        <v>10.255223429351059</v>
      </c>
      <c r="M93">
        <v>15</v>
      </c>
      <c r="N93">
        <v>1.1091838098309381</v>
      </c>
      <c r="O93">
        <v>137.85494466029687</v>
      </c>
      <c r="P93" s="1">
        <f t="shared" si="5"/>
        <v>5.2896488603445686</v>
      </c>
      <c r="Q93" s="1">
        <f t="shared" si="6"/>
        <v>0.70528651471260917</v>
      </c>
      <c r="R93" s="1">
        <f t="shared" si="7"/>
        <v>0.8398133808844731</v>
      </c>
      <c r="S93" s="1">
        <f t="shared" si="8"/>
        <v>-1.3906778688074712</v>
      </c>
      <c r="T93" s="56">
        <f t="shared" si="9"/>
        <v>8.7639001164780961E-2</v>
      </c>
    </row>
    <row r="94" spans="1:20" x14ac:dyDescent="0.25">
      <c r="A94">
        <v>8.5234754559473047E-2</v>
      </c>
      <c r="B94">
        <v>1.4266151993069798</v>
      </c>
      <c r="D94">
        <v>9.2779989213951697E-2</v>
      </c>
      <c r="E94">
        <v>1.1343213338932401</v>
      </c>
      <c r="I94">
        <v>0.61314154336393722</v>
      </c>
      <c r="J94">
        <v>15</v>
      </c>
      <c r="K94">
        <v>-0.23146314257852887</v>
      </c>
      <c r="L94">
        <v>6.5505802860945899</v>
      </c>
      <c r="M94">
        <v>15</v>
      </c>
      <c r="N94">
        <v>1.1571271409138717</v>
      </c>
      <c r="O94">
        <v>202.940393306213</v>
      </c>
      <c r="P94" s="1">
        <f t="shared" si="5"/>
        <v>7.4818204854395569</v>
      </c>
      <c r="Q94" s="1">
        <f t="shared" si="6"/>
        <v>0.99757606472527427</v>
      </c>
      <c r="R94" s="1">
        <f t="shared" si="7"/>
        <v>0.99878729703840063</v>
      </c>
      <c r="S94" s="1">
        <f t="shared" si="8"/>
        <v>-1.3902762756493219</v>
      </c>
      <c r="T94" s="56">
        <f t="shared" si="9"/>
        <v>8.7699304694918989E-2</v>
      </c>
    </row>
    <row r="95" spans="1:20" x14ac:dyDescent="0.25">
      <c r="A95">
        <v>8.5566015430482256E-2</v>
      </c>
      <c r="B95">
        <v>-0.55645614338573068</v>
      </c>
      <c r="D95">
        <v>9.8189142862607603E-2</v>
      </c>
      <c r="E95">
        <v>-3.6821045375745598</v>
      </c>
      <c r="I95">
        <v>7.1287978971833477E-2</v>
      </c>
      <c r="J95">
        <v>15</v>
      </c>
      <c r="K95">
        <v>-0.64477315693996695</v>
      </c>
      <c r="L95">
        <v>13.246143305719336</v>
      </c>
      <c r="M95">
        <v>15</v>
      </c>
      <c r="N95">
        <v>0.16161515873136523</v>
      </c>
      <c r="O95">
        <v>57.99336083986698</v>
      </c>
      <c r="P95" s="1">
        <f t="shared" si="5"/>
        <v>2.5442680051995117</v>
      </c>
      <c r="Q95" s="1">
        <f t="shared" si="6"/>
        <v>0.33923573402660157</v>
      </c>
      <c r="R95" s="1">
        <f t="shared" si="7"/>
        <v>0.58243946812231184</v>
      </c>
      <c r="S95" s="1">
        <f t="shared" si="8"/>
        <v>-1.3845014972474208</v>
      </c>
      <c r="T95" s="56">
        <f t="shared" si="9"/>
        <v>8.8570062377352696E-2</v>
      </c>
    </row>
    <row r="96" spans="1:20" x14ac:dyDescent="0.25">
      <c r="A96">
        <v>8.5587803857355427E-2</v>
      </c>
      <c r="B96">
        <v>-1.2740588317683432</v>
      </c>
      <c r="D96">
        <v>9.925523700714256E-2</v>
      </c>
      <c r="E96">
        <v>-1.6437018109627388</v>
      </c>
      <c r="I96">
        <v>0.90246947862592009</v>
      </c>
      <c r="J96">
        <v>15</v>
      </c>
      <c r="K96">
        <v>-0.34706742250515771</v>
      </c>
      <c r="L96">
        <v>7.4828820034922749</v>
      </c>
      <c r="M96">
        <v>15</v>
      </c>
      <c r="N96">
        <v>0.60734396015504899</v>
      </c>
      <c r="O96">
        <v>92.932427258947996</v>
      </c>
      <c r="P96" s="1">
        <f t="shared" si="5"/>
        <v>3.5862610450871526</v>
      </c>
      <c r="Q96" s="1">
        <f t="shared" si="6"/>
        <v>0.47816813934495367</v>
      </c>
      <c r="R96" s="1">
        <f t="shared" si="7"/>
        <v>0.69149702771953669</v>
      </c>
      <c r="S96" s="1">
        <f t="shared" si="8"/>
        <v>-1.3802103905026546</v>
      </c>
      <c r="T96" s="56">
        <f t="shared" si="9"/>
        <v>8.9221488546832428E-2</v>
      </c>
    </row>
    <row r="97" spans="1:20" x14ac:dyDescent="0.25">
      <c r="A97">
        <v>8.6373022656038079E-2</v>
      </c>
      <c r="B97">
        <v>0.11527049537107814</v>
      </c>
      <c r="D97">
        <v>9.9488263721362324E-2</v>
      </c>
      <c r="E97">
        <v>-2.5524404952648183</v>
      </c>
      <c r="I97">
        <v>0.68713801440506594</v>
      </c>
      <c r="J97">
        <v>15</v>
      </c>
      <c r="K97">
        <v>-0.41762208032499376</v>
      </c>
      <c r="L97">
        <v>10.768211384465332</v>
      </c>
      <c r="M97">
        <v>15</v>
      </c>
      <c r="N97">
        <v>0.56172461540882068</v>
      </c>
      <c r="O97">
        <v>103.5811367716954</v>
      </c>
      <c r="P97" s="1">
        <f t="shared" si="5"/>
        <v>4.0839052912914546</v>
      </c>
      <c r="Q97" s="1">
        <f t="shared" si="6"/>
        <v>0.54452070550552722</v>
      </c>
      <c r="R97" s="1">
        <f t="shared" si="7"/>
        <v>0.73791646241666631</v>
      </c>
      <c r="S97" s="1">
        <f t="shared" si="8"/>
        <v>-1.3271782723568293</v>
      </c>
      <c r="T97" s="56">
        <f t="shared" si="9"/>
        <v>9.7585429443727126E-2</v>
      </c>
    </row>
    <row r="98" spans="1:20" x14ac:dyDescent="0.25">
      <c r="A98">
        <v>8.9418593494672072E-2</v>
      </c>
      <c r="B98">
        <v>9.9420276455930434E-2</v>
      </c>
      <c r="D98">
        <v>0.10022729360121885</v>
      </c>
      <c r="E98">
        <v>3.8580476450533752</v>
      </c>
      <c r="I98">
        <v>0.51487404355902933</v>
      </c>
      <c r="J98">
        <v>15</v>
      </c>
      <c r="K98">
        <v>-0.49598816076468211</v>
      </c>
      <c r="L98">
        <v>19.293085359143451</v>
      </c>
      <c r="M98">
        <v>15</v>
      </c>
      <c r="N98">
        <v>0.55033410376381653</v>
      </c>
      <c r="O98">
        <v>113.05970496585962</v>
      </c>
      <c r="P98" s="1">
        <f t="shared" si="5"/>
        <v>4.7268853687501098</v>
      </c>
      <c r="Q98" s="1">
        <f t="shared" si="6"/>
        <v>0.63025138250001467</v>
      </c>
      <c r="R98" s="1">
        <f t="shared" si="7"/>
        <v>0.79388373361595888</v>
      </c>
      <c r="S98" s="1">
        <f t="shared" si="8"/>
        <v>-1.3179792206633836</v>
      </c>
      <c r="T98" s="56">
        <f t="shared" si="9"/>
        <v>9.9096115422161304E-2</v>
      </c>
    </row>
    <row r="99" spans="1:20" x14ac:dyDescent="0.25">
      <c r="A99">
        <v>9.1590379316823345E-2</v>
      </c>
      <c r="B99">
        <v>-1.1302518032607622</v>
      </c>
      <c r="D99">
        <v>0.10144343150156121</v>
      </c>
      <c r="E99">
        <v>3.2032660294589732</v>
      </c>
      <c r="I99">
        <v>0.7126202383928596</v>
      </c>
      <c r="J99">
        <v>15</v>
      </c>
      <c r="K99">
        <v>6.172604116727598E-2</v>
      </c>
      <c r="L99">
        <v>14.782608010233345</v>
      </c>
      <c r="M99">
        <v>15</v>
      </c>
      <c r="N99">
        <v>0.93724929342897667</v>
      </c>
      <c r="O99">
        <v>78.73580672597997</v>
      </c>
      <c r="P99" s="1">
        <f t="shared" si="5"/>
        <v>3.3399433834361898</v>
      </c>
      <c r="Q99" s="1">
        <f t="shared" si="6"/>
        <v>0.44532578445815862</v>
      </c>
      <c r="R99" s="1">
        <f t="shared" si="7"/>
        <v>0.66732734430574525</v>
      </c>
      <c r="S99" s="1">
        <f t="shared" si="8"/>
        <v>-1.3119846799812351</v>
      </c>
      <c r="T99" s="56">
        <f t="shared" si="9"/>
        <v>0.10009021334449322</v>
      </c>
    </row>
    <row r="100" spans="1:20" x14ac:dyDescent="0.25">
      <c r="A100">
        <v>9.2055231254337677E-2</v>
      </c>
      <c r="B100">
        <v>-1.8551418179413304E-2</v>
      </c>
      <c r="D100">
        <v>0.10369959066127044</v>
      </c>
      <c r="E100">
        <v>-2.7059313686095265</v>
      </c>
      <c r="I100">
        <v>0.61480871127054881</v>
      </c>
      <c r="J100">
        <v>15</v>
      </c>
      <c r="K100">
        <v>-0.39631997121129342</v>
      </c>
      <c r="L100">
        <v>9.6691824313992445</v>
      </c>
      <c r="M100">
        <v>15</v>
      </c>
      <c r="N100">
        <v>0.41563452782611421</v>
      </c>
      <c r="O100">
        <v>71.670798951104544</v>
      </c>
      <c r="P100" s="1">
        <f t="shared" si="5"/>
        <v>2.9049993350894212</v>
      </c>
      <c r="Q100" s="1">
        <f t="shared" si="6"/>
        <v>0.38733324467858948</v>
      </c>
      <c r="R100" s="1">
        <f t="shared" si="7"/>
        <v>0.62236102438905139</v>
      </c>
      <c r="S100" s="1">
        <f t="shared" si="8"/>
        <v>-1.304635841928683</v>
      </c>
      <c r="T100" s="56">
        <f t="shared" si="9"/>
        <v>0.1013193509701881</v>
      </c>
    </row>
    <row r="101" spans="1:20" x14ac:dyDescent="0.25">
      <c r="A101">
        <v>9.2882976043866416E-2</v>
      </c>
      <c r="B101">
        <v>-0.61633272707695141</v>
      </c>
      <c r="D101">
        <v>0.10406458068519342</v>
      </c>
      <c r="E101">
        <v>2.6662515892894589E-2</v>
      </c>
      <c r="I101">
        <v>0.52271319320151388</v>
      </c>
      <c r="J101">
        <v>15</v>
      </c>
      <c r="K101">
        <v>-0.316322029902949</v>
      </c>
      <c r="L101">
        <v>13.896023462436364</v>
      </c>
      <c r="M101">
        <v>15</v>
      </c>
      <c r="N101">
        <v>0.71575618335373292</v>
      </c>
      <c r="O101">
        <v>117.68376871939918</v>
      </c>
      <c r="P101" s="1">
        <f t="shared" si="5"/>
        <v>4.6992782922084126</v>
      </c>
      <c r="Q101" s="1">
        <f t="shared" si="6"/>
        <v>0.62657043896112163</v>
      </c>
      <c r="R101" s="1">
        <f t="shared" si="7"/>
        <v>0.79156202470881687</v>
      </c>
      <c r="S101" s="1">
        <f t="shared" si="8"/>
        <v>-1.3038500850724124</v>
      </c>
      <c r="T101" s="56">
        <f t="shared" si="9"/>
        <v>0.10145145675083257</v>
      </c>
    </row>
    <row r="102" spans="1:20" x14ac:dyDescent="0.25">
      <c r="A102">
        <v>9.3544838707100508E-2</v>
      </c>
      <c r="B102">
        <v>0.74392346505192108</v>
      </c>
      <c r="D102">
        <v>0.10426912246701947</v>
      </c>
      <c r="E102">
        <v>-1.6027233903059823</v>
      </c>
      <c r="I102">
        <v>0.71656653947629489</v>
      </c>
      <c r="J102">
        <v>15</v>
      </c>
      <c r="K102">
        <v>0.17512782809111135</v>
      </c>
      <c r="L102">
        <v>10.072685179314851</v>
      </c>
      <c r="M102">
        <v>15</v>
      </c>
      <c r="N102">
        <v>1.059408301671283</v>
      </c>
      <c r="O102">
        <v>86.836485463296341</v>
      </c>
      <c r="P102" s="1">
        <f t="shared" si="5"/>
        <v>3.4610418086646852</v>
      </c>
      <c r="Q102" s="1">
        <f t="shared" si="6"/>
        <v>0.46147224115529134</v>
      </c>
      <c r="R102" s="1">
        <f t="shared" si="7"/>
        <v>0.6793174818560842</v>
      </c>
      <c r="S102" s="1">
        <f t="shared" si="8"/>
        <v>-1.3017190006123081</v>
      </c>
      <c r="T102" s="56">
        <f t="shared" si="9"/>
        <v>0.10181041219701356</v>
      </c>
    </row>
    <row r="103" spans="1:20" x14ac:dyDescent="0.25">
      <c r="A103">
        <v>9.3828313268807251E-2</v>
      </c>
      <c r="B103">
        <v>-0.97209522209595889</v>
      </c>
      <c r="D103">
        <v>0.10595136779713288</v>
      </c>
      <c r="E103">
        <v>0.19864569026140089</v>
      </c>
      <c r="I103">
        <v>0.52190315863724479</v>
      </c>
      <c r="J103">
        <v>15</v>
      </c>
      <c r="K103">
        <v>0.14130417487952704</v>
      </c>
      <c r="L103">
        <v>21.605136419813547</v>
      </c>
      <c r="M103">
        <v>15</v>
      </c>
      <c r="N103">
        <v>1.2814732565402664</v>
      </c>
      <c r="O103">
        <v>139.56999247209495</v>
      </c>
      <c r="P103" s="1">
        <f t="shared" si="5"/>
        <v>5.7562546032824473</v>
      </c>
      <c r="Q103" s="1">
        <f t="shared" si="6"/>
        <v>0.76750061377099299</v>
      </c>
      <c r="R103" s="1">
        <f t="shared" si="7"/>
        <v>0.87607112369429974</v>
      </c>
      <c r="S103" s="1">
        <f t="shared" si="8"/>
        <v>-1.3014572114336636</v>
      </c>
      <c r="T103" s="56">
        <f t="shared" si="9"/>
        <v>0.10185457455832039</v>
      </c>
    </row>
    <row r="104" spans="1:20" x14ac:dyDescent="0.25">
      <c r="A104">
        <v>9.4552811291297667E-2</v>
      </c>
      <c r="B104">
        <v>0.8651159077999182</v>
      </c>
      <c r="D104">
        <v>0.10781027287668898</v>
      </c>
      <c r="E104">
        <v>0.15443742654497328</v>
      </c>
      <c r="I104">
        <v>0.77732148539605916</v>
      </c>
      <c r="J104">
        <v>15</v>
      </c>
      <c r="K104">
        <v>0.25287567950726952</v>
      </c>
      <c r="L104">
        <v>11.779611271785491</v>
      </c>
      <c r="M104">
        <v>15</v>
      </c>
      <c r="N104">
        <v>1.0470464496847853</v>
      </c>
      <c r="O104">
        <v>66.715859627202207</v>
      </c>
      <c r="P104" s="1">
        <f t="shared" si="5"/>
        <v>2.803409674963846</v>
      </c>
      <c r="Q104" s="1">
        <f t="shared" si="6"/>
        <v>0.37378795666184611</v>
      </c>
      <c r="R104" s="1">
        <f t="shared" si="7"/>
        <v>0.61138200551034061</v>
      </c>
      <c r="S104" s="1">
        <f t="shared" si="8"/>
        <v>-1.2989763568762469</v>
      </c>
      <c r="T104" s="56">
        <f t="shared" si="9"/>
        <v>0.10227381066501748</v>
      </c>
    </row>
    <row r="105" spans="1:20" x14ac:dyDescent="0.25">
      <c r="A105">
        <v>9.5569195242570903E-2</v>
      </c>
      <c r="B105">
        <v>-0.32416778594779316</v>
      </c>
      <c r="D105">
        <v>0.10903295691647397</v>
      </c>
      <c r="E105">
        <v>-2.2748274693640269</v>
      </c>
      <c r="I105">
        <v>0.47974401911623077</v>
      </c>
      <c r="J105">
        <v>15</v>
      </c>
      <c r="K105">
        <v>-0.37200485773306963</v>
      </c>
      <c r="L105">
        <v>14.474183566305383</v>
      </c>
      <c r="M105">
        <v>15</v>
      </c>
      <c r="N105">
        <v>0.86102272348398401</v>
      </c>
      <c r="O105">
        <v>175.66482852641229</v>
      </c>
      <c r="P105" s="1">
        <f t="shared" si="5"/>
        <v>6.7906790033113458</v>
      </c>
      <c r="Q105" s="1">
        <f t="shared" si="6"/>
        <v>0.90542386710817946</v>
      </c>
      <c r="R105" s="1">
        <f t="shared" si="7"/>
        <v>0.9515376330488351</v>
      </c>
      <c r="S105" s="1">
        <f t="shared" si="8"/>
        <v>-1.2958263955008198</v>
      </c>
      <c r="T105" s="56">
        <f t="shared" si="9"/>
        <v>0.1028080230874019</v>
      </c>
    </row>
    <row r="106" spans="1:20" x14ac:dyDescent="0.25">
      <c r="A106">
        <v>9.7029295597785392E-2</v>
      </c>
      <c r="B106">
        <v>-0.19223307390348054</v>
      </c>
      <c r="D106">
        <v>0.1104607038877824</v>
      </c>
      <c r="E106">
        <v>1.6995506905459479</v>
      </c>
      <c r="I106">
        <v>0.31257065630153957</v>
      </c>
      <c r="J106">
        <v>15</v>
      </c>
      <c r="K106">
        <v>-1.3455291991704144E-2</v>
      </c>
      <c r="L106">
        <v>4.6959938570323727</v>
      </c>
      <c r="M106">
        <v>15</v>
      </c>
      <c r="N106">
        <v>1.221048929664903</v>
      </c>
      <c r="O106">
        <v>186.04953190982695</v>
      </c>
      <c r="P106" s="1">
        <f t="shared" si="5"/>
        <v>6.812340205959261</v>
      </c>
      <c r="Q106" s="1">
        <f t="shared" si="6"/>
        <v>0.90831202746123474</v>
      </c>
      <c r="R106" s="1">
        <f t="shared" si="7"/>
        <v>0.95305405274896904</v>
      </c>
      <c r="S106" s="1">
        <f t="shared" si="8"/>
        <v>-1.2953139626192545</v>
      </c>
      <c r="T106" s="56">
        <f t="shared" si="9"/>
        <v>0.10289513008192211</v>
      </c>
    </row>
    <row r="107" spans="1:20" x14ac:dyDescent="0.25">
      <c r="A107">
        <v>9.7807906831045788E-2</v>
      </c>
      <c r="B107">
        <v>-1.0937696970358957</v>
      </c>
      <c r="D107">
        <v>0.11248579068777365</v>
      </c>
      <c r="E107">
        <v>-0.95834412036310823</v>
      </c>
      <c r="I107">
        <v>0.26615790401045403</v>
      </c>
      <c r="J107">
        <v>15</v>
      </c>
      <c r="K107">
        <v>0.10807199638899571</v>
      </c>
      <c r="L107">
        <v>6.963248529874555</v>
      </c>
      <c r="M107">
        <v>15</v>
      </c>
      <c r="N107">
        <v>1.1754550507703243</v>
      </c>
      <c r="O107">
        <v>135.68088987209782</v>
      </c>
      <c r="P107" s="1">
        <f t="shared" si="5"/>
        <v>5.0944335143561563</v>
      </c>
      <c r="Q107" s="1">
        <f t="shared" si="6"/>
        <v>0.67925780191415419</v>
      </c>
      <c r="R107" s="1">
        <f t="shared" si="7"/>
        <v>0.8241709785682545</v>
      </c>
      <c r="S107" s="1">
        <f t="shared" si="8"/>
        <v>-1.2950990536400357</v>
      </c>
      <c r="T107" s="56">
        <f t="shared" si="9"/>
        <v>0.10293167866274988</v>
      </c>
    </row>
    <row r="108" spans="1:20" x14ac:dyDescent="0.25">
      <c r="A108">
        <v>9.864595835297052E-2</v>
      </c>
      <c r="B108">
        <v>0.67312157625565305</v>
      </c>
      <c r="D108">
        <v>0.11333755778934829</v>
      </c>
      <c r="E108">
        <v>-7.0012235971717018</v>
      </c>
      <c r="I108">
        <v>0.48680376140574566</v>
      </c>
      <c r="J108">
        <v>15</v>
      </c>
      <c r="K108">
        <v>-0.11677980182867032</v>
      </c>
      <c r="L108">
        <v>11.21027051660373</v>
      </c>
      <c r="M108">
        <v>15</v>
      </c>
      <c r="N108">
        <v>1.2113134710034501</v>
      </c>
      <c r="O108">
        <v>214.62346110325259</v>
      </c>
      <c r="P108" s="1">
        <f t="shared" si="5"/>
        <v>8.0654904149948692</v>
      </c>
      <c r="Q108" s="1">
        <f t="shared" si="6"/>
        <v>1.075398721999316</v>
      </c>
      <c r="R108" s="1">
        <f t="shared" si="7"/>
        <v>1.0370143306624628</v>
      </c>
      <c r="S108" s="1">
        <f t="shared" si="8"/>
        <v>-1.2806894114796961</v>
      </c>
      <c r="T108" s="56">
        <f t="shared" si="9"/>
        <v>0.10540500278963376</v>
      </c>
    </row>
    <row r="109" spans="1:20" x14ac:dyDescent="0.25">
      <c r="A109">
        <v>9.8840411801000227E-2</v>
      </c>
      <c r="B109">
        <v>-1.5740215530968271</v>
      </c>
      <c r="D109">
        <v>0.1140766160335106</v>
      </c>
      <c r="E109">
        <v>1.076378563311664</v>
      </c>
      <c r="I109">
        <v>0.42898849924960236</v>
      </c>
      <c r="J109">
        <v>15</v>
      </c>
      <c r="K109">
        <v>0.14038323570275679</v>
      </c>
      <c r="L109">
        <v>11.235073731463251</v>
      </c>
      <c r="M109">
        <v>15</v>
      </c>
      <c r="N109">
        <v>0.89621402935335936</v>
      </c>
      <c r="O109">
        <v>61.929212210407876</v>
      </c>
      <c r="P109" s="1">
        <f t="shared" si="5"/>
        <v>2.6130102122096832</v>
      </c>
      <c r="Q109" s="1">
        <f t="shared" si="6"/>
        <v>0.34840136162795776</v>
      </c>
      <c r="R109" s="1">
        <f t="shared" si="7"/>
        <v>0.59025533595890323</v>
      </c>
      <c r="S109" s="1">
        <f t="shared" si="8"/>
        <v>-1.2805149697168134</v>
      </c>
      <c r="T109" s="56">
        <f t="shared" si="9"/>
        <v>0.10543521994797103</v>
      </c>
    </row>
    <row r="110" spans="1:20" x14ac:dyDescent="0.25">
      <c r="A110">
        <v>0.10341176453641598</v>
      </c>
      <c r="B110">
        <v>-1.4573515727533959E-2</v>
      </c>
      <c r="D110">
        <v>0.11419491583289099</v>
      </c>
      <c r="E110">
        <v>3.2624468497033376</v>
      </c>
      <c r="I110">
        <v>0.91133167096939283</v>
      </c>
      <c r="J110">
        <v>15</v>
      </c>
      <c r="K110">
        <v>0.19910680748580489</v>
      </c>
      <c r="L110">
        <v>7.7845689947377785</v>
      </c>
      <c r="M110">
        <v>15</v>
      </c>
      <c r="N110">
        <v>1.1822839917385863</v>
      </c>
      <c r="O110">
        <v>116.68821703816016</v>
      </c>
      <c r="P110" s="1">
        <f t="shared" si="5"/>
        <v>4.4454566440320695</v>
      </c>
      <c r="Q110" s="1">
        <f t="shared" si="6"/>
        <v>0.59272755253760923</v>
      </c>
      <c r="R110" s="1">
        <f t="shared" si="7"/>
        <v>0.76988801298475174</v>
      </c>
      <c r="S110" s="1">
        <f t="shared" si="8"/>
        <v>-1.2770392156661023</v>
      </c>
      <c r="T110" s="56">
        <f t="shared" si="9"/>
        <v>0.10603867488033653</v>
      </c>
    </row>
    <row r="111" spans="1:20" x14ac:dyDescent="0.25">
      <c r="A111">
        <v>0.10395239292940539</v>
      </c>
      <c r="B111">
        <v>0.841773726278916</v>
      </c>
      <c r="D111">
        <v>0.11470079192686156</v>
      </c>
      <c r="E111">
        <v>-6.2660608398346085</v>
      </c>
      <c r="I111">
        <v>0.64791681905573728</v>
      </c>
      <c r="J111">
        <v>15</v>
      </c>
      <c r="K111">
        <v>9.2034118400382184E-2</v>
      </c>
      <c r="L111">
        <v>6.3147625315324225</v>
      </c>
      <c r="M111">
        <v>15</v>
      </c>
      <c r="N111">
        <v>1.0456992606577842</v>
      </c>
      <c r="O111">
        <v>112.40636266382178</v>
      </c>
      <c r="P111" s="1">
        <f t="shared" si="5"/>
        <v>4.2400401855483647</v>
      </c>
      <c r="Q111" s="1">
        <f t="shared" si="6"/>
        <v>0.56533869140644866</v>
      </c>
      <c r="R111" s="1">
        <f t="shared" si="7"/>
        <v>0.75189007933769725</v>
      </c>
      <c r="S111" s="1">
        <f t="shared" si="8"/>
        <v>-1.268357128873729</v>
      </c>
      <c r="T111" s="56">
        <f t="shared" si="9"/>
        <v>0.10755753356571003</v>
      </c>
    </row>
    <row r="112" spans="1:20" x14ac:dyDescent="0.25">
      <c r="A112">
        <v>0.1055619088296601</v>
      </c>
      <c r="B112">
        <v>0.62356320995604619</v>
      </c>
      <c r="D112">
        <v>0.11472800439413211</v>
      </c>
      <c r="E112">
        <v>5.8656253224853572</v>
      </c>
      <c r="I112">
        <v>2.0478311665920734E-2</v>
      </c>
      <c r="J112">
        <v>15</v>
      </c>
      <c r="K112">
        <v>7.965741133375559E-2</v>
      </c>
      <c r="L112">
        <v>14.76617256264363</v>
      </c>
      <c r="M112">
        <v>15</v>
      </c>
      <c r="N112">
        <v>0.94179494794843777</v>
      </c>
      <c r="O112">
        <v>85.191238332846652</v>
      </c>
      <c r="P112" s="1">
        <f t="shared" si="5"/>
        <v>3.5699075319817957</v>
      </c>
      <c r="Q112" s="1">
        <f t="shared" si="6"/>
        <v>0.4759876709309061</v>
      </c>
      <c r="R112" s="1">
        <f t="shared" si="7"/>
        <v>0.68991859732210881</v>
      </c>
      <c r="S112" s="1">
        <f t="shared" si="8"/>
        <v>-1.2496221147843154</v>
      </c>
      <c r="T112" s="56">
        <f t="shared" si="9"/>
        <v>0.11089128608010161</v>
      </c>
    </row>
    <row r="113" spans="1:20" x14ac:dyDescent="0.25">
      <c r="A113">
        <v>0.10588652593895642</v>
      </c>
      <c r="B113">
        <v>-0.94436927611241117</v>
      </c>
      <c r="D113">
        <v>0.11492219511613644</v>
      </c>
      <c r="E113">
        <v>-9.2691610689143999E-2</v>
      </c>
      <c r="I113">
        <v>0.79485581808728367</v>
      </c>
      <c r="J113">
        <v>15</v>
      </c>
      <c r="K113">
        <v>-0.12393653984569634</v>
      </c>
      <c r="L113">
        <v>17.99669746764269</v>
      </c>
      <c r="M113">
        <v>15</v>
      </c>
      <c r="N113">
        <v>0.95050654294936976</v>
      </c>
      <c r="O113">
        <v>138.43495126685278</v>
      </c>
      <c r="P113" s="1">
        <f t="shared" si="5"/>
        <v>5.5868445976605523</v>
      </c>
      <c r="Q113" s="1">
        <f t="shared" si="6"/>
        <v>0.74491261302140699</v>
      </c>
      <c r="R113" s="1">
        <f t="shared" si="7"/>
        <v>0.86308320167954089</v>
      </c>
      <c r="S113" s="1">
        <f t="shared" si="8"/>
        <v>-1.2448893463622321</v>
      </c>
      <c r="T113" s="56">
        <f t="shared" si="9"/>
        <v>0.11174567070100005</v>
      </c>
    </row>
    <row r="114" spans="1:20" x14ac:dyDescent="0.25">
      <c r="A114">
        <v>0.10589610336778355</v>
      </c>
      <c r="B114">
        <v>0.29487409847206436</v>
      </c>
      <c r="D114">
        <v>0.11539762738963177</v>
      </c>
      <c r="E114">
        <v>2.9484938261248317</v>
      </c>
      <c r="I114">
        <v>0.51069197470186634</v>
      </c>
      <c r="J114">
        <v>15</v>
      </c>
      <c r="K114">
        <v>-0.46265123880099662</v>
      </c>
      <c r="L114">
        <v>8.5173800091235599</v>
      </c>
      <c r="M114">
        <v>15</v>
      </c>
      <c r="N114">
        <v>0.73487035137986823</v>
      </c>
      <c r="O114">
        <v>187.46870869078785</v>
      </c>
      <c r="P114" s="1">
        <f t="shared" si="5"/>
        <v>6.9995031678539794</v>
      </c>
      <c r="Q114" s="1">
        <f t="shared" si="6"/>
        <v>0.93326708904719724</v>
      </c>
      <c r="R114" s="1">
        <f t="shared" si="7"/>
        <v>0.96605749779565253</v>
      </c>
      <c r="S114" s="1">
        <f t="shared" si="8"/>
        <v>-1.2395966005267456</v>
      </c>
      <c r="T114" s="56">
        <f t="shared" si="9"/>
        <v>0.11270701446947404</v>
      </c>
    </row>
    <row r="115" spans="1:20" x14ac:dyDescent="0.25">
      <c r="A115">
        <v>0.10655870333536288</v>
      </c>
      <c r="B115">
        <v>-0.29415559765766375</v>
      </c>
      <c r="D115">
        <v>0.11649900579118022</v>
      </c>
      <c r="E115">
        <v>-4.652107921856441</v>
      </c>
      <c r="I115">
        <v>0.64747021792494486</v>
      </c>
      <c r="J115">
        <v>15</v>
      </c>
      <c r="K115">
        <v>0.29886359698139131</v>
      </c>
      <c r="L115">
        <v>18.791751454166391</v>
      </c>
      <c r="M115">
        <v>15</v>
      </c>
      <c r="N115">
        <v>1.1851780038796278</v>
      </c>
      <c r="O115">
        <v>89.502018842172603</v>
      </c>
      <c r="P115" s="1">
        <f t="shared" si="5"/>
        <v>3.8676346534406782</v>
      </c>
      <c r="Q115" s="1">
        <f t="shared" si="6"/>
        <v>0.51568462045875707</v>
      </c>
      <c r="R115" s="1">
        <f t="shared" si="7"/>
        <v>0.71811184397610173</v>
      </c>
      <c r="S115" s="1">
        <f t="shared" si="8"/>
        <v>-1.2342289217663043</v>
      </c>
      <c r="T115" s="56">
        <f t="shared" si="9"/>
        <v>0.11368831389534763</v>
      </c>
    </row>
    <row r="116" spans="1:20" x14ac:dyDescent="0.25">
      <c r="A116">
        <v>0.10693013893634717</v>
      </c>
      <c r="B116">
        <v>-0.51120082389388699</v>
      </c>
      <c r="D116">
        <v>0.11723596296862249</v>
      </c>
      <c r="E116">
        <v>-5.1208751335707348</v>
      </c>
      <c r="I116">
        <v>0.3915132722472513</v>
      </c>
      <c r="J116">
        <v>15</v>
      </c>
      <c r="K116">
        <v>0.1293741055026961</v>
      </c>
      <c r="L116">
        <v>13.959332937483586</v>
      </c>
      <c r="M116">
        <v>15</v>
      </c>
      <c r="N116">
        <v>0.97566066528997908</v>
      </c>
      <c r="O116">
        <v>85.12993024919146</v>
      </c>
      <c r="P116" s="1">
        <f t="shared" si="5"/>
        <v>3.5389022566669657</v>
      </c>
      <c r="Q116" s="1">
        <f t="shared" si="6"/>
        <v>0.47185363422226206</v>
      </c>
      <c r="R116" s="1">
        <f t="shared" si="7"/>
        <v>0.68691603142033453</v>
      </c>
      <c r="S116" s="1">
        <f t="shared" si="8"/>
        <v>-1.2320087479068125</v>
      </c>
      <c r="T116" s="56">
        <f t="shared" si="9"/>
        <v>0.1140960699939981</v>
      </c>
    </row>
    <row r="117" spans="1:20" x14ac:dyDescent="0.25">
      <c r="A117">
        <v>0.10708728263822187</v>
      </c>
      <c r="B117">
        <v>-0.44515331865113694</v>
      </c>
      <c r="D117">
        <v>0.11749576424732189</v>
      </c>
      <c r="E117">
        <v>-2.6934383220122982</v>
      </c>
      <c r="I117">
        <v>0.12277280807656266</v>
      </c>
      <c r="J117">
        <v>15</v>
      </c>
      <c r="K117">
        <v>-0.28785188987967558</v>
      </c>
      <c r="L117">
        <v>10.089402501621262</v>
      </c>
      <c r="M117">
        <v>15</v>
      </c>
      <c r="N117">
        <v>0.80815766182240623</v>
      </c>
      <c r="O117">
        <v>156.98542216680693</v>
      </c>
      <c r="P117" s="1">
        <f t="shared" si="5"/>
        <v>5.9669580238724356</v>
      </c>
      <c r="Q117" s="1">
        <f t="shared" si="6"/>
        <v>0.79559440318299135</v>
      </c>
      <c r="R117" s="1">
        <f t="shared" si="7"/>
        <v>0.89196098747814712</v>
      </c>
      <c r="S117" s="1">
        <f t="shared" si="8"/>
        <v>-1.2287640009916172</v>
      </c>
      <c r="T117" s="56">
        <f t="shared" si="9"/>
        <v>0.11469397262633066</v>
      </c>
    </row>
    <row r="118" spans="1:20" x14ac:dyDescent="0.25">
      <c r="A118">
        <v>0.1082569506636738</v>
      </c>
      <c r="B118">
        <v>-0.564962192584062</v>
      </c>
      <c r="D118">
        <v>0.11919208774640688</v>
      </c>
      <c r="E118">
        <v>1.5830239556180459</v>
      </c>
      <c r="I118">
        <v>0.69437377405419576</v>
      </c>
      <c r="J118">
        <v>15</v>
      </c>
      <c r="K118">
        <v>0.55059081205399707</v>
      </c>
      <c r="L118">
        <v>13.732691208515634</v>
      </c>
      <c r="M118">
        <v>15</v>
      </c>
      <c r="N118">
        <v>1.4380379946032917</v>
      </c>
      <c r="O118">
        <v>95.988910898796988</v>
      </c>
      <c r="P118" s="1">
        <f t="shared" si="5"/>
        <v>3.9186286466897364</v>
      </c>
      <c r="Q118" s="1">
        <f t="shared" si="6"/>
        <v>0.52248381955863155</v>
      </c>
      <c r="R118" s="1">
        <f t="shared" si="7"/>
        <v>0.72283042240807183</v>
      </c>
      <c r="S118" s="1">
        <f t="shared" si="8"/>
        <v>-1.2277391142348584</v>
      </c>
      <c r="T118" s="56">
        <f t="shared" si="9"/>
        <v>0.11488331395693591</v>
      </c>
    </row>
    <row r="119" spans="1:20" x14ac:dyDescent="0.25">
      <c r="A119">
        <v>0.10886968409976272</v>
      </c>
      <c r="B119">
        <v>1.0985127119056415</v>
      </c>
      <c r="D119">
        <v>0.11922778517373522</v>
      </c>
      <c r="E119">
        <v>-3.5412601880580041</v>
      </c>
      <c r="I119">
        <v>0.15454560460705402</v>
      </c>
      <c r="J119">
        <v>15</v>
      </c>
      <c r="K119">
        <v>0.4371226320169323</v>
      </c>
      <c r="L119">
        <v>15.575897819354172</v>
      </c>
      <c r="M119">
        <v>15</v>
      </c>
      <c r="N119">
        <v>1.5220862189835316</v>
      </c>
      <c r="O119">
        <v>149.29729987727592</v>
      </c>
      <c r="P119" s="1">
        <f t="shared" si="5"/>
        <v>5.8883284891653602</v>
      </c>
      <c r="Q119" s="1">
        <f t="shared" si="6"/>
        <v>0.78511046522204797</v>
      </c>
      <c r="R119" s="1">
        <f t="shared" si="7"/>
        <v>0.88606459427179907</v>
      </c>
      <c r="S119" s="1">
        <f t="shared" si="8"/>
        <v>-1.2244745969770554</v>
      </c>
      <c r="T119" s="56">
        <f t="shared" si="9"/>
        <v>0.11548797507770089</v>
      </c>
    </row>
    <row r="120" spans="1:20" x14ac:dyDescent="0.25">
      <c r="A120">
        <v>0.11034422851888581</v>
      </c>
      <c r="B120">
        <v>0.28155682230135426</v>
      </c>
      <c r="D120">
        <v>0.11941361336243406</v>
      </c>
      <c r="E120">
        <v>4.6796897061085474</v>
      </c>
      <c r="I120">
        <v>0.9435631756687064</v>
      </c>
      <c r="J120">
        <v>15</v>
      </c>
      <c r="K120">
        <v>-0.18649658765449809</v>
      </c>
      <c r="L120">
        <v>6.0792865855376581</v>
      </c>
      <c r="M120">
        <v>15</v>
      </c>
      <c r="N120">
        <v>0.54523161111319496</v>
      </c>
      <c r="O120">
        <v>69.893791521050503</v>
      </c>
      <c r="P120" s="1">
        <f t="shared" si="5"/>
        <v>2.7133242180924344</v>
      </c>
      <c r="Q120" s="1">
        <f t="shared" si="6"/>
        <v>0.36177656241232459</v>
      </c>
      <c r="R120" s="1">
        <f t="shared" si="7"/>
        <v>0.60147864668026629</v>
      </c>
      <c r="S120" s="1">
        <f t="shared" si="8"/>
        <v>-1.216548921239867</v>
      </c>
      <c r="T120" s="56">
        <f t="shared" si="9"/>
        <v>0.11696590011751312</v>
      </c>
    </row>
    <row r="121" spans="1:20" x14ac:dyDescent="0.25">
      <c r="A121">
        <v>0.11174502091383398</v>
      </c>
      <c r="B121">
        <v>0.32779780667624436</v>
      </c>
      <c r="D121">
        <v>0.11950327896475754</v>
      </c>
      <c r="E121">
        <v>-0.60462685155471263</v>
      </c>
      <c r="I121">
        <v>0.23794375928101064</v>
      </c>
      <c r="J121">
        <v>15</v>
      </c>
      <c r="K121">
        <v>0.38636941705287126</v>
      </c>
      <c r="L121">
        <v>8.5552990371570505</v>
      </c>
      <c r="M121">
        <v>15</v>
      </c>
      <c r="N121">
        <v>1.6374731296764367</v>
      </c>
      <c r="O121">
        <v>213.72079285314615</v>
      </c>
      <c r="P121" s="1">
        <f t="shared" si="5"/>
        <v>7.9384318532251141</v>
      </c>
      <c r="Q121" s="1">
        <f t="shared" si="6"/>
        <v>1.0584575804300151</v>
      </c>
      <c r="R121" s="1">
        <f t="shared" si="7"/>
        <v>1.0288136762456142</v>
      </c>
      <c r="S121" s="1">
        <f t="shared" si="8"/>
        <v>-1.2160644259601412</v>
      </c>
      <c r="T121" s="56">
        <f t="shared" si="9"/>
        <v>0.11705670173306414</v>
      </c>
    </row>
    <row r="122" spans="1:20" x14ac:dyDescent="0.25">
      <c r="A122">
        <v>0.11224182981635356</v>
      </c>
      <c r="B122">
        <v>0.31041054171510041</v>
      </c>
      <c r="D122">
        <v>0.11969468206690459</v>
      </c>
      <c r="E122">
        <v>-0.49231562456952815</v>
      </c>
      <c r="I122">
        <v>0.12862946603854231</v>
      </c>
      <c r="J122">
        <v>15</v>
      </c>
      <c r="K122">
        <v>-3.7017874395435989E-2</v>
      </c>
      <c r="L122">
        <v>9.0734058842067409</v>
      </c>
      <c r="M122">
        <v>15</v>
      </c>
      <c r="N122">
        <v>0.88005662860268785</v>
      </c>
      <c r="O122">
        <v>111.57349138621024</v>
      </c>
      <c r="P122" s="1">
        <f t="shared" si="5"/>
        <v>4.3088177596577486</v>
      </c>
      <c r="Q122" s="1">
        <f t="shared" si="6"/>
        <v>0.57450903462103309</v>
      </c>
      <c r="R122" s="1">
        <f t="shared" si="7"/>
        <v>0.75796374228655095</v>
      </c>
      <c r="S122" s="1">
        <f t="shared" si="8"/>
        <v>-1.2099186964162469</v>
      </c>
      <c r="T122" s="56">
        <f t="shared" si="9"/>
        <v>0.11821307596245477</v>
      </c>
    </row>
    <row r="123" spans="1:20" x14ac:dyDescent="0.25">
      <c r="A123">
        <v>0.11250197557831876</v>
      </c>
      <c r="B123">
        <v>0.91409447122714482</v>
      </c>
      <c r="D123">
        <v>0.12030025371097308</v>
      </c>
      <c r="E123">
        <v>-4.2799426898909587</v>
      </c>
      <c r="I123">
        <v>0.67552033528629696</v>
      </c>
      <c r="J123">
        <v>15</v>
      </c>
      <c r="K123">
        <v>-0.30051379932653316</v>
      </c>
      <c r="L123">
        <v>4.4503967663476134</v>
      </c>
      <c r="M123">
        <v>15</v>
      </c>
      <c r="N123">
        <v>0.92490472184181272</v>
      </c>
      <c r="O123">
        <v>212.07454010451855</v>
      </c>
      <c r="P123" s="1">
        <f t="shared" si="5"/>
        <v>7.7330334596737913</v>
      </c>
      <c r="Q123" s="1">
        <f t="shared" si="6"/>
        <v>1.0310711279565055</v>
      </c>
      <c r="R123" s="1">
        <f t="shared" si="7"/>
        <v>1.0154167262540565</v>
      </c>
      <c r="S123" s="1">
        <f t="shared" si="8"/>
        <v>-1.2068134091990002</v>
      </c>
      <c r="T123" s="56">
        <f t="shared" si="9"/>
        <v>0.11880059246366537</v>
      </c>
    </row>
    <row r="124" spans="1:20" x14ac:dyDescent="0.25">
      <c r="A124">
        <v>0.11465184420333918</v>
      </c>
      <c r="B124">
        <v>1.0946041584247723</v>
      </c>
      <c r="D124">
        <v>0.12037323724823756</v>
      </c>
      <c r="E124">
        <v>3.2590567082024791</v>
      </c>
      <c r="I124">
        <v>0.21010047141199739</v>
      </c>
      <c r="J124">
        <v>15</v>
      </c>
      <c r="K124">
        <v>0.24820663687326791</v>
      </c>
      <c r="L124">
        <v>7.9820090021507628</v>
      </c>
      <c r="M124">
        <v>15</v>
      </c>
      <c r="N124">
        <v>1.0647427154708566</v>
      </c>
      <c r="O124">
        <v>88.196783207284852</v>
      </c>
      <c r="P124" s="1">
        <f t="shared" si="5"/>
        <v>3.4349568646227007</v>
      </c>
      <c r="Q124" s="1">
        <f t="shared" si="6"/>
        <v>0.45799424861636007</v>
      </c>
      <c r="R124" s="1">
        <f t="shared" si="7"/>
        <v>0.67675272339042725</v>
      </c>
      <c r="S124" s="1">
        <f t="shared" si="8"/>
        <v>-1.2065501184936032</v>
      </c>
      <c r="T124" s="56">
        <f t="shared" si="9"/>
        <v>0.11885050656658305</v>
      </c>
    </row>
    <row r="125" spans="1:20" x14ac:dyDescent="0.25">
      <c r="A125">
        <v>0.11711969221064122</v>
      </c>
      <c r="B125">
        <v>-1.0947451301035471</v>
      </c>
      <c r="D125">
        <v>0.12140173383046582</v>
      </c>
      <c r="E125">
        <v>-1.3207379686264176</v>
      </c>
      <c r="I125">
        <v>0.68153558336589726</v>
      </c>
      <c r="J125">
        <v>15</v>
      </c>
      <c r="K125">
        <v>0.40029757049827214</v>
      </c>
      <c r="L125">
        <v>12.351491058023614</v>
      </c>
      <c r="M125">
        <v>15</v>
      </c>
      <c r="N125">
        <v>2.0548125087316294</v>
      </c>
      <c r="O125">
        <v>385.72986420150937</v>
      </c>
      <c r="P125" s="1">
        <f t="shared" si="5"/>
        <v>14.217191259269034</v>
      </c>
      <c r="Q125" s="1">
        <f t="shared" si="6"/>
        <v>1.8956255012358711</v>
      </c>
      <c r="R125" s="1">
        <f t="shared" si="7"/>
        <v>1.3768171633284758</v>
      </c>
      <c r="S125" s="1">
        <f t="shared" si="8"/>
        <v>-1.2016954627683047</v>
      </c>
      <c r="T125" s="56">
        <f t="shared" si="9"/>
        <v>0.1197736419906037</v>
      </c>
    </row>
    <row r="126" spans="1:20" x14ac:dyDescent="0.25">
      <c r="A126">
        <v>0.12016445200495451</v>
      </c>
      <c r="B126">
        <v>-1.4074066712055355</v>
      </c>
      <c r="D126">
        <v>0.12279278200563781</v>
      </c>
      <c r="E126">
        <v>2.5744322977061529</v>
      </c>
      <c r="I126">
        <v>0.94090288592025784</v>
      </c>
      <c r="J126">
        <v>15</v>
      </c>
      <c r="K126">
        <v>-7.1347661408556931E-2</v>
      </c>
      <c r="L126">
        <v>12.772066791406042</v>
      </c>
      <c r="M126">
        <v>15</v>
      </c>
      <c r="N126">
        <v>0.98293912401459238</v>
      </c>
      <c r="O126">
        <v>153.31564209776866</v>
      </c>
      <c r="P126" s="1">
        <f t="shared" si="5"/>
        <v>5.9317038888990963</v>
      </c>
      <c r="Q126" s="1">
        <f t="shared" si="6"/>
        <v>0.79089385185321281</v>
      </c>
      <c r="R126" s="1">
        <f t="shared" si="7"/>
        <v>0.88932213053157116</v>
      </c>
      <c r="S126" s="1">
        <f t="shared" si="8"/>
        <v>-1.1854948271589445</v>
      </c>
      <c r="T126" s="56">
        <f t="shared" si="9"/>
        <v>0.12289282627787887</v>
      </c>
    </row>
    <row r="127" spans="1:20" x14ac:dyDescent="0.25">
      <c r="A127">
        <v>0.12125686984918016</v>
      </c>
      <c r="B127">
        <v>0.5142544523550896</v>
      </c>
      <c r="D127">
        <v>0.12291429730182224</v>
      </c>
      <c r="E127">
        <v>2.9416589734410081</v>
      </c>
      <c r="I127">
        <v>0.2548028483223157</v>
      </c>
      <c r="J127">
        <v>15</v>
      </c>
      <c r="K127">
        <v>-3.8753720824994765E-2</v>
      </c>
      <c r="L127">
        <v>14.351965073813243</v>
      </c>
      <c r="M127">
        <v>15</v>
      </c>
      <c r="N127">
        <v>1.052743524496691</v>
      </c>
      <c r="O127">
        <v>164.25126532076024</v>
      </c>
      <c r="P127" s="1">
        <f t="shared" si="5"/>
        <v>6.3786867998061956</v>
      </c>
      <c r="Q127" s="1">
        <f t="shared" si="6"/>
        <v>0.8504915733074927</v>
      </c>
      <c r="R127" s="1">
        <f t="shared" si="7"/>
        <v>0.92222100025291809</v>
      </c>
      <c r="S127" s="1">
        <f t="shared" si="8"/>
        <v>-1.1835527981062499</v>
      </c>
      <c r="T127" s="56">
        <f t="shared" si="9"/>
        <v>0.12327072979152391</v>
      </c>
    </row>
    <row r="128" spans="1:20" x14ac:dyDescent="0.25">
      <c r="A128">
        <v>0.12348042965467754</v>
      </c>
      <c r="B128">
        <v>1.8266564438818023</v>
      </c>
      <c r="D128">
        <v>0.123542639043278</v>
      </c>
      <c r="E128">
        <v>1.4264567164445907</v>
      </c>
      <c r="I128">
        <v>0.57133371803665101</v>
      </c>
      <c r="J128">
        <v>15</v>
      </c>
      <c r="K128">
        <v>-0.18355922293267213</v>
      </c>
      <c r="L128">
        <v>12.081433616933653</v>
      </c>
      <c r="M128">
        <v>15</v>
      </c>
      <c r="N128">
        <v>0.55622058084736636</v>
      </c>
      <c r="O128">
        <v>71.55206951767029</v>
      </c>
      <c r="P128" s="1">
        <f t="shared" si="5"/>
        <v>2.9869108262358552</v>
      </c>
      <c r="Q128" s="1">
        <f t="shared" si="6"/>
        <v>0.39825477683144739</v>
      </c>
      <c r="R128" s="1">
        <f t="shared" si="7"/>
        <v>0.63107430373249029</v>
      </c>
      <c r="S128" s="1">
        <f t="shared" si="8"/>
        <v>-1.1722546765168687</v>
      </c>
      <c r="T128" s="56">
        <f t="shared" si="9"/>
        <v>0.1254862865093144</v>
      </c>
    </row>
    <row r="129" spans="1:20" x14ac:dyDescent="0.25">
      <c r="A129">
        <v>0.12541830234940032</v>
      </c>
      <c r="B129">
        <v>0.78012703852436971</v>
      </c>
      <c r="D129">
        <v>0.12371569280685701</v>
      </c>
      <c r="E129">
        <v>-1.1861691325520951</v>
      </c>
      <c r="I129">
        <v>0.80927322554303116</v>
      </c>
      <c r="J129">
        <v>15</v>
      </c>
      <c r="K129">
        <v>0.26448568254030153</v>
      </c>
      <c r="L129">
        <v>19.280120315441646</v>
      </c>
      <c r="M129">
        <v>15</v>
      </c>
      <c r="N129">
        <v>1.011682794569424</v>
      </c>
      <c r="O129">
        <v>66.892305815308589</v>
      </c>
      <c r="P129" s="1">
        <f t="shared" si="5"/>
        <v>3.0775866475267941</v>
      </c>
      <c r="Q129" s="1">
        <f t="shared" si="6"/>
        <v>0.41034488633690586</v>
      </c>
      <c r="R129" s="1">
        <f t="shared" si="7"/>
        <v>0.64058167811521571</v>
      </c>
      <c r="S129" s="1">
        <f t="shared" si="8"/>
        <v>-1.1664353470545732</v>
      </c>
      <c r="T129" s="56">
        <f t="shared" si="9"/>
        <v>0.12663882413499777</v>
      </c>
    </row>
    <row r="130" spans="1:20" x14ac:dyDescent="0.25">
      <c r="A130">
        <v>0.12701993179940785</v>
      </c>
      <c r="B130">
        <v>-0.53258986554283183</v>
      </c>
      <c r="D130">
        <v>0.12535489853383963</v>
      </c>
      <c r="E130">
        <v>0.34159779374931531</v>
      </c>
      <c r="I130">
        <v>0.81158614077474223</v>
      </c>
      <c r="J130">
        <v>15</v>
      </c>
      <c r="K130">
        <v>0.41156113184115384</v>
      </c>
      <c r="L130">
        <v>16.630914331523829</v>
      </c>
      <c r="M130">
        <v>15</v>
      </c>
      <c r="N130">
        <v>1.7259358139654069</v>
      </c>
      <c r="O130">
        <v>250.61925928306968</v>
      </c>
      <c r="P130" s="1">
        <f t="shared" ref="P130:P193" si="10">(L130+O130)/(J130+M130-2)</f>
        <v>9.5446490576640546</v>
      </c>
      <c r="Q130" s="1">
        <f t="shared" ref="Q130:Q193" si="11">P130*(2/15)</f>
        <v>1.2726198743552073</v>
      </c>
      <c r="R130" s="1">
        <f t="shared" ref="R130:R193" si="12">SQRT(Q130)</f>
        <v>1.1281045493903512</v>
      </c>
      <c r="S130" s="1">
        <f t="shared" ref="S130:S193" si="13">(K130-N130)/R130</f>
        <v>-1.1651177923487372</v>
      </c>
      <c r="T130" s="56">
        <f t="shared" ref="T130:T193" si="14">_xlfn.T.DIST(S130,28,TRUE)</f>
        <v>0.12690084605209664</v>
      </c>
    </row>
    <row r="131" spans="1:20" x14ac:dyDescent="0.25">
      <c r="A131">
        <v>0.127601698262231</v>
      </c>
      <c r="B131">
        <v>0.1141916072811</v>
      </c>
      <c r="D131">
        <v>0.12582536669497246</v>
      </c>
      <c r="E131">
        <v>-3.0351400289418962</v>
      </c>
      <c r="I131">
        <v>0.17983752926539887</v>
      </c>
      <c r="J131">
        <v>15</v>
      </c>
      <c r="K131">
        <v>-9.8307282314635813E-3</v>
      </c>
      <c r="L131">
        <v>8.6074590670828446</v>
      </c>
      <c r="M131">
        <v>15</v>
      </c>
      <c r="N131">
        <v>0.78619063629048469</v>
      </c>
      <c r="O131">
        <v>90.171177890860449</v>
      </c>
      <c r="P131" s="1">
        <f t="shared" si="10"/>
        <v>3.527808462783689</v>
      </c>
      <c r="Q131" s="1">
        <f t="shared" si="11"/>
        <v>0.47037446170449188</v>
      </c>
      <c r="R131" s="1">
        <f t="shared" si="12"/>
        <v>0.68583850993108564</v>
      </c>
      <c r="S131" s="1">
        <f t="shared" si="13"/>
        <v>-1.1606542254414003</v>
      </c>
      <c r="T131" s="56">
        <f t="shared" si="14"/>
        <v>0.1277914714813462</v>
      </c>
    </row>
    <row r="132" spans="1:20" x14ac:dyDescent="0.25">
      <c r="A132">
        <v>0.12803170729772895</v>
      </c>
      <c r="B132">
        <v>-0.32739421840233263</v>
      </c>
      <c r="D132">
        <v>0.12598176103707381</v>
      </c>
      <c r="E132">
        <v>3.6256353689623211</v>
      </c>
      <c r="I132">
        <v>0.66003940300827424</v>
      </c>
      <c r="J132">
        <v>15</v>
      </c>
      <c r="K132">
        <v>1.6350441001122817E-3</v>
      </c>
      <c r="L132">
        <v>10.384675261102418</v>
      </c>
      <c r="M132">
        <v>15</v>
      </c>
      <c r="N132">
        <v>0.9688735610779986</v>
      </c>
      <c r="O132">
        <v>137.59037039777093</v>
      </c>
      <c r="P132" s="1">
        <f t="shared" si="10"/>
        <v>5.2848230592454764</v>
      </c>
      <c r="Q132" s="1">
        <f t="shared" si="11"/>
        <v>0.70464307456606345</v>
      </c>
      <c r="R132" s="1">
        <f t="shared" si="12"/>
        <v>0.83943020827586579</v>
      </c>
      <c r="S132" s="1">
        <f t="shared" si="13"/>
        <v>-1.1522560272932403</v>
      </c>
      <c r="T132" s="56">
        <f t="shared" si="14"/>
        <v>0.12947957978799093</v>
      </c>
    </row>
    <row r="133" spans="1:20" x14ac:dyDescent="0.25">
      <c r="A133">
        <v>0.12837553067294583</v>
      </c>
      <c r="B133">
        <v>2.2100721253082156</v>
      </c>
      <c r="D133">
        <v>0.12716501107730749</v>
      </c>
      <c r="E133">
        <v>-0.53874078162152728</v>
      </c>
      <c r="I133">
        <v>0.29779887012448847</v>
      </c>
      <c r="J133">
        <v>15</v>
      </c>
      <c r="K133">
        <v>0.4863566118729068</v>
      </c>
      <c r="L133">
        <v>19.538273186593326</v>
      </c>
      <c r="M133">
        <v>15</v>
      </c>
      <c r="N133">
        <v>1.4599097505652026</v>
      </c>
      <c r="O133">
        <v>132.71468274327717</v>
      </c>
      <c r="P133" s="1">
        <f t="shared" si="10"/>
        <v>5.4376055689239466</v>
      </c>
      <c r="Q133" s="1">
        <f t="shared" si="11"/>
        <v>0.72501407585652622</v>
      </c>
      <c r="R133" s="1">
        <f t="shared" si="12"/>
        <v>0.85147758388376038</v>
      </c>
      <c r="S133" s="1">
        <f t="shared" si="13"/>
        <v>-1.143369076437367</v>
      </c>
      <c r="T133" s="56">
        <f t="shared" si="14"/>
        <v>0.13128360734329028</v>
      </c>
    </row>
    <row r="134" spans="1:20" x14ac:dyDescent="0.25">
      <c r="A134">
        <v>0.1310281058724948</v>
      </c>
      <c r="B134">
        <v>-1.7534148355480283</v>
      </c>
      <c r="D134">
        <v>0.12728123545231185</v>
      </c>
      <c r="E134">
        <v>-1.2187267691388115</v>
      </c>
      <c r="I134">
        <v>8.6736103938533371E-2</v>
      </c>
      <c r="J134">
        <v>15</v>
      </c>
      <c r="K134">
        <v>-4.9099905178688154E-2</v>
      </c>
      <c r="L134">
        <v>15.689783946106568</v>
      </c>
      <c r="M134">
        <v>15</v>
      </c>
      <c r="N134">
        <v>0.70024884394115361</v>
      </c>
      <c r="O134">
        <v>74.58537883718634</v>
      </c>
      <c r="P134" s="1">
        <f t="shared" si="10"/>
        <v>3.2241129565461755</v>
      </c>
      <c r="Q134" s="1">
        <f t="shared" si="11"/>
        <v>0.42988172753949006</v>
      </c>
      <c r="R134" s="1">
        <f t="shared" si="12"/>
        <v>0.65565366432247596</v>
      </c>
      <c r="S134" s="1">
        <f t="shared" si="13"/>
        <v>-1.1429033190780473</v>
      </c>
      <c r="T134" s="56">
        <f t="shared" si="14"/>
        <v>0.13137865713062385</v>
      </c>
    </row>
    <row r="135" spans="1:20" x14ac:dyDescent="0.25">
      <c r="A135">
        <v>0.1324374900989217</v>
      </c>
      <c r="B135">
        <v>0.13933231457485817</v>
      </c>
      <c r="D135">
        <v>0.12816705823515107</v>
      </c>
      <c r="E135">
        <v>1.7025520230617985</v>
      </c>
      <c r="I135">
        <v>0.22181533813471999</v>
      </c>
      <c r="J135">
        <v>15</v>
      </c>
      <c r="K135">
        <v>-0.34105308562478359</v>
      </c>
      <c r="L135">
        <v>9.8572713668043033</v>
      </c>
      <c r="M135">
        <v>15</v>
      </c>
      <c r="N135">
        <v>0.58495811231296102</v>
      </c>
      <c r="O135">
        <v>128.97416011252847</v>
      </c>
      <c r="P135" s="1">
        <f t="shared" si="10"/>
        <v>4.9582654099761703</v>
      </c>
      <c r="Q135" s="1">
        <f t="shared" si="11"/>
        <v>0.66110205466348937</v>
      </c>
      <c r="R135" s="1">
        <f t="shared" si="12"/>
        <v>0.81308182531863871</v>
      </c>
      <c r="S135" s="1">
        <f t="shared" si="13"/>
        <v>-1.1388905385689194</v>
      </c>
      <c r="T135" s="56">
        <f t="shared" si="14"/>
        <v>0.13219964363998032</v>
      </c>
    </row>
    <row r="136" spans="1:20" x14ac:dyDescent="0.25">
      <c r="A136">
        <v>0.13250678507719205</v>
      </c>
      <c r="B136">
        <v>-0.7370795174210798</v>
      </c>
      <c r="D136">
        <v>0.13134729662843103</v>
      </c>
      <c r="E136">
        <v>-0.30108981604826113</v>
      </c>
      <c r="I136">
        <v>9.8620356446665558E-2</v>
      </c>
      <c r="J136">
        <v>15</v>
      </c>
      <c r="K136">
        <v>-0.19557955965865403</v>
      </c>
      <c r="L136">
        <v>14.644668693014186</v>
      </c>
      <c r="M136">
        <v>15</v>
      </c>
      <c r="N136">
        <v>0.68619919716184086</v>
      </c>
      <c r="O136">
        <v>111.25681171090393</v>
      </c>
      <c r="P136" s="1">
        <f t="shared" si="10"/>
        <v>4.4964814429970756</v>
      </c>
      <c r="Q136" s="1">
        <f t="shared" si="11"/>
        <v>0.59953085906627679</v>
      </c>
      <c r="R136" s="1">
        <f t="shared" si="12"/>
        <v>0.77429378085212386</v>
      </c>
      <c r="S136" s="1">
        <f t="shared" si="13"/>
        <v>-1.1388167884418263</v>
      </c>
      <c r="T136" s="56">
        <f t="shared" si="14"/>
        <v>0.13221476721439812</v>
      </c>
    </row>
    <row r="137" spans="1:20" x14ac:dyDescent="0.25">
      <c r="A137">
        <v>0.13411020281985075</v>
      </c>
      <c r="B137">
        <v>0.30888600122125354</v>
      </c>
      <c r="D137">
        <v>0.13311974885350675</v>
      </c>
      <c r="E137">
        <v>1.1226468325276073</v>
      </c>
      <c r="I137">
        <v>0.94984052876724046</v>
      </c>
      <c r="J137">
        <v>15</v>
      </c>
      <c r="K137">
        <v>5.6467570175300352E-2</v>
      </c>
      <c r="L137">
        <v>7.0732394079581073</v>
      </c>
      <c r="M137">
        <v>15</v>
      </c>
      <c r="N137">
        <v>0.83606982684614195</v>
      </c>
      <c r="O137">
        <v>92.035908696038092</v>
      </c>
      <c r="P137" s="1">
        <f t="shared" si="10"/>
        <v>3.5396124322855789</v>
      </c>
      <c r="Q137" s="1">
        <f t="shared" si="11"/>
        <v>0.47194832430474382</v>
      </c>
      <c r="R137" s="1">
        <f t="shared" si="12"/>
        <v>0.68698495202205401</v>
      </c>
      <c r="S137" s="1">
        <f t="shared" si="13"/>
        <v>-1.1348170791458825</v>
      </c>
      <c r="T137" s="56">
        <f t="shared" si="14"/>
        <v>0.13303685187529118</v>
      </c>
    </row>
    <row r="138" spans="1:20" x14ac:dyDescent="0.25">
      <c r="A138">
        <v>0.13491973285123871</v>
      </c>
      <c r="B138">
        <v>0.3553702754288679</v>
      </c>
      <c r="D138">
        <v>0.13469673715612296</v>
      </c>
      <c r="E138">
        <v>-6.6499585534529615</v>
      </c>
      <c r="I138">
        <v>0.68952695368264594</v>
      </c>
      <c r="J138">
        <v>15</v>
      </c>
      <c r="K138">
        <v>-8.561376792689164E-2</v>
      </c>
      <c r="L138">
        <v>16.68957594660306</v>
      </c>
      <c r="M138">
        <v>15</v>
      </c>
      <c r="N138">
        <v>1.051427713036901</v>
      </c>
      <c r="O138">
        <v>198.09475556631128</v>
      </c>
      <c r="P138" s="1">
        <f t="shared" si="10"/>
        <v>7.6708689826040839</v>
      </c>
      <c r="Q138" s="1">
        <f t="shared" si="11"/>
        <v>1.0227825310138778</v>
      </c>
      <c r="R138" s="1">
        <f t="shared" si="12"/>
        <v>1.0113271137539415</v>
      </c>
      <c r="S138" s="1">
        <f t="shared" si="13"/>
        <v>-1.1243063352105851</v>
      </c>
      <c r="T138" s="56">
        <f t="shared" si="14"/>
        <v>0.13521485295780522</v>
      </c>
    </row>
    <row r="139" spans="1:20" x14ac:dyDescent="0.25">
      <c r="A139">
        <v>0.13514732209246993</v>
      </c>
      <c r="B139">
        <v>0.56523049352108501</v>
      </c>
      <c r="D139">
        <v>0.13535077021769704</v>
      </c>
      <c r="E139">
        <v>0.17906881680573861</v>
      </c>
      <c r="I139">
        <v>0.30939746974855531</v>
      </c>
      <c r="J139">
        <v>15</v>
      </c>
      <c r="K139">
        <v>-0.25987462019353796</v>
      </c>
      <c r="L139">
        <v>10.365274050078549</v>
      </c>
      <c r="M139">
        <v>15</v>
      </c>
      <c r="N139">
        <v>0.58653153814702819</v>
      </c>
      <c r="O139">
        <v>109.90352773688267</v>
      </c>
      <c r="P139" s="1">
        <f t="shared" si="10"/>
        <v>4.2953143495343289</v>
      </c>
      <c r="Q139" s="1">
        <f t="shared" si="11"/>
        <v>0.57270857993791047</v>
      </c>
      <c r="R139" s="1">
        <f t="shared" si="12"/>
        <v>0.75677511847173629</v>
      </c>
      <c r="S139" s="1">
        <f t="shared" si="13"/>
        <v>-1.1184381432225661</v>
      </c>
      <c r="T139" s="56">
        <f t="shared" si="14"/>
        <v>0.13644199508423116</v>
      </c>
    </row>
    <row r="140" spans="1:20" x14ac:dyDescent="0.25">
      <c r="A140">
        <v>0.13621334714161837</v>
      </c>
      <c r="B140">
        <v>1.5806563169462606</v>
      </c>
      <c r="D140">
        <v>0.13590449191367404</v>
      </c>
      <c r="E140">
        <v>-4.0631782701439079</v>
      </c>
      <c r="I140">
        <v>0.24307596061770853</v>
      </c>
      <c r="J140">
        <v>15</v>
      </c>
      <c r="K140">
        <v>0.10493143539254864</v>
      </c>
      <c r="L140">
        <v>12.134842266847375</v>
      </c>
      <c r="M140">
        <v>15</v>
      </c>
      <c r="N140">
        <v>1.1307795341508609</v>
      </c>
      <c r="O140">
        <v>164.62353647091678</v>
      </c>
      <c r="P140" s="1">
        <f t="shared" si="10"/>
        <v>6.3127992406344342</v>
      </c>
      <c r="Q140" s="1">
        <f t="shared" si="11"/>
        <v>0.84170656541792455</v>
      </c>
      <c r="R140" s="1">
        <f t="shared" si="12"/>
        <v>0.9174456743687468</v>
      </c>
      <c r="S140" s="1">
        <f t="shared" si="13"/>
        <v>-1.118156777472576</v>
      </c>
      <c r="T140" s="56">
        <f t="shared" si="14"/>
        <v>0.13650103476133779</v>
      </c>
    </row>
    <row r="141" spans="1:20" x14ac:dyDescent="0.25">
      <c r="A141">
        <v>0.13669889757529985</v>
      </c>
      <c r="B141">
        <v>-0.52581413001462352</v>
      </c>
      <c r="D141">
        <v>0.13616512774002898</v>
      </c>
      <c r="E141">
        <v>-4.3622201280868467</v>
      </c>
      <c r="I141">
        <v>1.5188114400689345E-2</v>
      </c>
      <c r="J141">
        <v>15</v>
      </c>
      <c r="K141">
        <v>-0.29721089352581959</v>
      </c>
      <c r="L141">
        <v>10.840660720990108</v>
      </c>
      <c r="M141">
        <v>15</v>
      </c>
      <c r="N141">
        <v>0.6752288720690558</v>
      </c>
      <c r="O141">
        <v>148.07026866039905</v>
      </c>
      <c r="P141" s="1">
        <f t="shared" si="10"/>
        <v>5.6753903350496131</v>
      </c>
      <c r="Q141" s="1">
        <f t="shared" si="11"/>
        <v>0.75671871133994839</v>
      </c>
      <c r="R141" s="1">
        <f t="shared" si="12"/>
        <v>0.8698958048754738</v>
      </c>
      <c r="S141" s="1">
        <f t="shared" si="13"/>
        <v>-1.1178807394456636</v>
      </c>
      <c r="T141" s="56">
        <f t="shared" si="14"/>
        <v>0.13655897440765494</v>
      </c>
    </row>
    <row r="142" spans="1:20" x14ac:dyDescent="0.25">
      <c r="A142">
        <v>0.13689549830098835</v>
      </c>
      <c r="B142">
        <v>-1.2923555914312601</v>
      </c>
      <c r="D142">
        <v>0.13638019650865485</v>
      </c>
      <c r="E142">
        <v>3.5040131899677363</v>
      </c>
      <c r="I142">
        <v>0.86799993740524806</v>
      </c>
      <c r="J142">
        <v>15</v>
      </c>
      <c r="K142">
        <v>-0.16110379874589853</v>
      </c>
      <c r="L142">
        <v>6.7881179898637765</v>
      </c>
      <c r="M142">
        <v>15</v>
      </c>
      <c r="N142">
        <v>0.86548493186455744</v>
      </c>
      <c r="O142">
        <v>171.3449125261337</v>
      </c>
      <c r="P142" s="1">
        <f t="shared" si="10"/>
        <v>6.361893946999909</v>
      </c>
      <c r="Q142" s="1">
        <f t="shared" si="11"/>
        <v>0.84825252626665448</v>
      </c>
      <c r="R142" s="1">
        <f t="shared" si="12"/>
        <v>0.92100625745249665</v>
      </c>
      <c r="S142" s="1">
        <f t="shared" si="13"/>
        <v>-1.1146381713518434</v>
      </c>
      <c r="T142" s="56">
        <f t="shared" si="14"/>
        <v>0.1372409085100435</v>
      </c>
    </row>
    <row r="143" spans="1:20" x14ac:dyDescent="0.25">
      <c r="A143">
        <v>0.1375516318380946</v>
      </c>
      <c r="B143">
        <v>0.61892478697700426</v>
      </c>
      <c r="D143">
        <v>0.13813260053778942</v>
      </c>
      <c r="E143">
        <v>0.5542422024973348</v>
      </c>
      <c r="I143">
        <v>0.25510686350651368</v>
      </c>
      <c r="J143">
        <v>15</v>
      </c>
      <c r="K143">
        <v>1.2483193737959178E-2</v>
      </c>
      <c r="L143">
        <v>6.9506500858775064</v>
      </c>
      <c r="M143">
        <v>15</v>
      </c>
      <c r="N143">
        <v>1.1807364865035197</v>
      </c>
      <c r="O143">
        <v>231.35271453135022</v>
      </c>
      <c r="P143" s="1">
        <f t="shared" si="10"/>
        <v>8.5108344506152758</v>
      </c>
      <c r="Q143" s="1">
        <f t="shared" si="11"/>
        <v>1.1347779267487035</v>
      </c>
      <c r="R143" s="1">
        <f t="shared" si="12"/>
        <v>1.0652595583934947</v>
      </c>
      <c r="S143" s="1">
        <f t="shared" si="13"/>
        <v>-1.0966841682485247</v>
      </c>
      <c r="T143" s="56">
        <f t="shared" si="14"/>
        <v>0.14106113212681748</v>
      </c>
    </row>
    <row r="144" spans="1:20" x14ac:dyDescent="0.25">
      <c r="A144">
        <v>0.13758278575457217</v>
      </c>
      <c r="B144">
        <v>-0.43293880480632652</v>
      </c>
      <c r="D144">
        <v>0.13828627262099014</v>
      </c>
      <c r="E144">
        <v>-0.74121817647210264</v>
      </c>
      <c r="I144">
        <v>2.2273494627649937E-2</v>
      </c>
      <c r="J144">
        <v>15</v>
      </c>
      <c r="K144">
        <v>-0.13065725094444738</v>
      </c>
      <c r="L144">
        <v>10.555259718683896</v>
      </c>
      <c r="M144">
        <v>15</v>
      </c>
      <c r="N144">
        <v>0.74134868214059679</v>
      </c>
      <c r="O144">
        <v>122.47684807020843</v>
      </c>
      <c r="P144" s="1">
        <f t="shared" si="10"/>
        <v>4.7511467067461544</v>
      </c>
      <c r="Q144" s="1">
        <f t="shared" si="11"/>
        <v>0.63348622756615391</v>
      </c>
      <c r="R144" s="1">
        <f t="shared" si="12"/>
        <v>0.79591848047784008</v>
      </c>
      <c r="S144" s="1">
        <f t="shared" si="13"/>
        <v>-1.0955970422517693</v>
      </c>
      <c r="T144" s="56">
        <f t="shared" si="14"/>
        <v>0.14129486755720713</v>
      </c>
    </row>
    <row r="145" spans="1:20" x14ac:dyDescent="0.25">
      <c r="A145">
        <v>0.13846879231915243</v>
      </c>
      <c r="B145">
        <v>0.57341594583704136</v>
      </c>
      <c r="D145">
        <v>0.13856479197367566</v>
      </c>
      <c r="E145">
        <v>3.3482576748156134</v>
      </c>
      <c r="I145">
        <v>0.85458884002092195</v>
      </c>
      <c r="J145">
        <v>15</v>
      </c>
      <c r="K145">
        <v>0.14489675474275523</v>
      </c>
      <c r="L145">
        <v>13.167248686225825</v>
      </c>
      <c r="M145">
        <v>15</v>
      </c>
      <c r="N145">
        <v>0.83411236687425117</v>
      </c>
      <c r="O145">
        <v>72.528158893337505</v>
      </c>
      <c r="P145" s="1">
        <f t="shared" si="10"/>
        <v>3.0605502706986902</v>
      </c>
      <c r="Q145" s="1">
        <f t="shared" si="11"/>
        <v>0.40807336942649203</v>
      </c>
      <c r="R145" s="1">
        <f t="shared" si="12"/>
        <v>0.638806206471487</v>
      </c>
      <c r="S145" s="1">
        <f t="shared" si="13"/>
        <v>-1.0789118908822921</v>
      </c>
      <c r="T145" s="56">
        <f t="shared" si="14"/>
        <v>0.14491697633760281</v>
      </c>
    </row>
    <row r="146" spans="1:20" x14ac:dyDescent="0.25">
      <c r="A146">
        <v>0.13849693003214048</v>
      </c>
      <c r="B146">
        <v>3.3551259548403323E-2</v>
      </c>
      <c r="D146">
        <v>0.14011324724317298</v>
      </c>
      <c r="E146">
        <v>-0.98790042443397397</v>
      </c>
      <c r="I146">
        <v>0.39557490367695514</v>
      </c>
      <c r="J146">
        <v>15</v>
      </c>
      <c r="K146">
        <v>8.4172218824581559E-3</v>
      </c>
      <c r="L146">
        <v>11.125320228660787</v>
      </c>
      <c r="M146">
        <v>15</v>
      </c>
      <c r="N146">
        <v>0.99475868978515791</v>
      </c>
      <c r="O146">
        <v>164.51959346217922</v>
      </c>
      <c r="P146" s="1">
        <f t="shared" si="10"/>
        <v>6.273032631815715</v>
      </c>
      <c r="Q146" s="1">
        <f t="shared" si="11"/>
        <v>0.83640435090876197</v>
      </c>
      <c r="R146" s="1">
        <f t="shared" si="12"/>
        <v>0.91455144792885323</v>
      </c>
      <c r="S146" s="1">
        <f t="shared" si="13"/>
        <v>-1.0784975193428716</v>
      </c>
      <c r="T146" s="56">
        <f t="shared" si="14"/>
        <v>0.14500776202298621</v>
      </c>
    </row>
    <row r="147" spans="1:20" x14ac:dyDescent="0.25">
      <c r="A147">
        <v>0.13883766172062983</v>
      </c>
      <c r="B147">
        <v>1.6237254385487176</v>
      </c>
      <c r="D147">
        <v>0.14140008768307699</v>
      </c>
      <c r="E147">
        <v>2.1380249074809399</v>
      </c>
      <c r="I147">
        <v>0.56411731430466772</v>
      </c>
      <c r="J147">
        <v>15</v>
      </c>
      <c r="K147">
        <v>0.18919157203830159</v>
      </c>
      <c r="L147">
        <v>12.525490952787258</v>
      </c>
      <c r="M147">
        <v>15</v>
      </c>
      <c r="N147">
        <v>1.650114423910054</v>
      </c>
      <c r="O147">
        <v>375.14077101157369</v>
      </c>
      <c r="P147" s="1">
        <f t="shared" si="10"/>
        <v>13.845223641584321</v>
      </c>
      <c r="Q147" s="1">
        <f t="shared" si="11"/>
        <v>1.8460298188779094</v>
      </c>
      <c r="R147" s="1">
        <f t="shared" si="12"/>
        <v>1.3586867994051866</v>
      </c>
      <c r="S147" s="1">
        <f t="shared" si="13"/>
        <v>-1.0752462248925385</v>
      </c>
      <c r="T147" s="56">
        <f t="shared" si="14"/>
        <v>0.14572149696206044</v>
      </c>
    </row>
    <row r="148" spans="1:20" x14ac:dyDescent="0.25">
      <c r="A148">
        <v>0.13982724858256024</v>
      </c>
      <c r="B148">
        <v>0.7215112418634817</v>
      </c>
      <c r="D148">
        <v>0.14306825723063887</v>
      </c>
      <c r="E148">
        <v>-5.3283899922007549</v>
      </c>
      <c r="I148">
        <v>0.26086431888051764</v>
      </c>
      <c r="J148">
        <v>15</v>
      </c>
      <c r="K148">
        <v>5.3212185472754449E-2</v>
      </c>
      <c r="L148">
        <v>10.288338183433298</v>
      </c>
      <c r="M148">
        <v>15</v>
      </c>
      <c r="N148">
        <v>0.68063559069742041</v>
      </c>
      <c r="O148">
        <v>61.28817023468244</v>
      </c>
      <c r="P148" s="1">
        <f t="shared" si="10"/>
        <v>2.5563038720755622</v>
      </c>
      <c r="Q148" s="1">
        <f t="shared" si="11"/>
        <v>0.34084051627674161</v>
      </c>
      <c r="R148" s="1">
        <f t="shared" si="12"/>
        <v>0.58381548136097039</v>
      </c>
      <c r="S148" s="1">
        <f t="shared" si="13"/>
        <v>-1.0746947027886933</v>
      </c>
      <c r="T148" s="56">
        <f t="shared" si="14"/>
        <v>0.14584281550792502</v>
      </c>
    </row>
    <row r="149" spans="1:20" x14ac:dyDescent="0.25">
      <c r="A149">
        <v>0.13989514017143467</v>
      </c>
      <c r="B149">
        <v>-1.2909458746435121</v>
      </c>
      <c r="D149">
        <v>0.14364087897279776</v>
      </c>
      <c r="E149">
        <v>6.9629943448035192</v>
      </c>
      <c r="I149">
        <v>0.30850107677023442</v>
      </c>
      <c r="J149">
        <v>15</v>
      </c>
      <c r="K149">
        <v>-0.21366129961582678</v>
      </c>
      <c r="L149">
        <v>18.169732546533375</v>
      </c>
      <c r="M149">
        <v>15</v>
      </c>
      <c r="N149">
        <v>0.63265246922128426</v>
      </c>
      <c r="O149">
        <v>112.24983838438774</v>
      </c>
      <c r="P149" s="1">
        <f t="shared" si="10"/>
        <v>4.6578418189614679</v>
      </c>
      <c r="Q149" s="1">
        <f t="shared" si="11"/>
        <v>0.62104557586152909</v>
      </c>
      <c r="R149" s="1">
        <f t="shared" si="12"/>
        <v>0.7880644490532035</v>
      </c>
      <c r="S149" s="1">
        <f t="shared" si="13"/>
        <v>-1.0739144112564518</v>
      </c>
      <c r="T149" s="56">
        <f t="shared" si="14"/>
        <v>0.14601457877922114</v>
      </c>
    </row>
    <row r="150" spans="1:20" x14ac:dyDescent="0.25">
      <c r="A150">
        <v>0.14314305411872186</v>
      </c>
      <c r="B150">
        <v>-0.59355102166591678</v>
      </c>
      <c r="D150">
        <v>0.14478010252901385</v>
      </c>
      <c r="E150">
        <v>-3.3256485528454505</v>
      </c>
      <c r="I150">
        <v>4.5120920602009895E-2</v>
      </c>
      <c r="J150">
        <v>15</v>
      </c>
      <c r="K150">
        <v>-0.57541774367564358</v>
      </c>
      <c r="L150">
        <v>9.3074345489669401</v>
      </c>
      <c r="M150">
        <v>15</v>
      </c>
      <c r="N150">
        <v>0.21217487869762408</v>
      </c>
      <c r="O150">
        <v>105.40068199560228</v>
      </c>
      <c r="P150" s="1">
        <f t="shared" si="10"/>
        <v>4.0967184480203294</v>
      </c>
      <c r="Q150" s="1">
        <f t="shared" si="11"/>
        <v>0.5462291264027106</v>
      </c>
      <c r="R150" s="1">
        <f t="shared" si="12"/>
        <v>0.73907315362060788</v>
      </c>
      <c r="S150" s="1">
        <f t="shared" si="13"/>
        <v>-1.0656490748107548</v>
      </c>
      <c r="T150" s="56">
        <f t="shared" si="14"/>
        <v>0.14784280178124326</v>
      </c>
    </row>
    <row r="151" spans="1:20" x14ac:dyDescent="0.25">
      <c r="A151">
        <v>0.14376875704111702</v>
      </c>
      <c r="B151">
        <v>-0.89087279775412753</v>
      </c>
      <c r="D151">
        <v>0.14579872908965763</v>
      </c>
      <c r="E151">
        <v>-1.280264317529145</v>
      </c>
      <c r="I151">
        <v>0.86302022432944803</v>
      </c>
      <c r="J151">
        <v>15</v>
      </c>
      <c r="K151">
        <v>0.13053575761053557</v>
      </c>
      <c r="L151">
        <v>18.084663852428935</v>
      </c>
      <c r="M151">
        <v>15</v>
      </c>
      <c r="N151">
        <v>0.96874623181975039</v>
      </c>
      <c r="O151">
        <v>113.04827244064477</v>
      </c>
      <c r="P151" s="1">
        <f t="shared" si="10"/>
        <v>4.683319153324061</v>
      </c>
      <c r="Q151" s="1">
        <f t="shared" si="11"/>
        <v>0.62444255377654145</v>
      </c>
      <c r="R151" s="1">
        <f t="shared" si="12"/>
        <v>0.79021677644589494</v>
      </c>
      <c r="S151" s="1">
        <f t="shared" si="13"/>
        <v>-1.0607348504788494</v>
      </c>
      <c r="T151" s="56">
        <f t="shared" si="14"/>
        <v>0.14893741634528235</v>
      </c>
    </row>
    <row r="152" spans="1:20" x14ac:dyDescent="0.25">
      <c r="A152">
        <v>0.14427669718838998</v>
      </c>
      <c r="B152">
        <v>-0.71408749136026017</v>
      </c>
      <c r="D152">
        <v>0.14635257189429407</v>
      </c>
      <c r="E152">
        <v>-0.47030357904986886</v>
      </c>
      <c r="I152">
        <v>0.47190793006023823</v>
      </c>
      <c r="J152">
        <v>15</v>
      </c>
      <c r="K152">
        <v>-0.18523041944717988</v>
      </c>
      <c r="L152">
        <v>13.473567858764335</v>
      </c>
      <c r="M152">
        <v>15</v>
      </c>
      <c r="N152">
        <v>0.50371727070341876</v>
      </c>
      <c r="O152">
        <v>75.806938445323226</v>
      </c>
      <c r="P152" s="1">
        <f t="shared" si="10"/>
        <v>3.1885895108602704</v>
      </c>
      <c r="Q152" s="1">
        <f t="shared" si="11"/>
        <v>0.42514526811470271</v>
      </c>
      <c r="R152" s="1">
        <f t="shared" si="12"/>
        <v>0.65203164655920087</v>
      </c>
      <c r="S152" s="1">
        <f t="shared" si="13"/>
        <v>-1.0566169507050851</v>
      </c>
      <c r="T152" s="56">
        <f t="shared" si="14"/>
        <v>0.14985904045096568</v>
      </c>
    </row>
    <row r="153" spans="1:20" x14ac:dyDescent="0.25">
      <c r="A153">
        <v>0.14572857264207062</v>
      </c>
      <c r="B153">
        <v>-9.5731138571863994E-2</v>
      </c>
      <c r="D153">
        <v>0.14798618015462583</v>
      </c>
      <c r="E153">
        <v>1.5736925399778556</v>
      </c>
      <c r="I153">
        <v>0.22729771875335303</v>
      </c>
      <c r="J153">
        <v>15</v>
      </c>
      <c r="K153">
        <v>0.74053536991414148</v>
      </c>
      <c r="L153">
        <v>17.013725365820292</v>
      </c>
      <c r="M153">
        <v>15</v>
      </c>
      <c r="N153">
        <v>1.5240846062170021</v>
      </c>
      <c r="O153">
        <v>100.0258249375876</v>
      </c>
      <c r="P153" s="1">
        <f t="shared" si="10"/>
        <v>4.1799839394074247</v>
      </c>
      <c r="Q153" s="1">
        <f t="shared" si="11"/>
        <v>0.55733119192099001</v>
      </c>
      <c r="R153" s="1">
        <f t="shared" si="12"/>
        <v>0.74654617534415779</v>
      </c>
      <c r="S153" s="1">
        <f t="shared" si="13"/>
        <v>-1.0495656694532585</v>
      </c>
      <c r="T153" s="56">
        <f t="shared" si="14"/>
        <v>0.15144647922002</v>
      </c>
    </row>
    <row r="154" spans="1:20" x14ac:dyDescent="0.25">
      <c r="A154">
        <v>0.14573383060462275</v>
      </c>
      <c r="B154">
        <v>-1.6853482520673424</v>
      </c>
      <c r="D154">
        <v>0.14878026833924585</v>
      </c>
      <c r="E154">
        <v>4.4503469746359769</v>
      </c>
      <c r="I154">
        <v>0.81394281866957841</v>
      </c>
      <c r="J154">
        <v>15</v>
      </c>
      <c r="K154">
        <v>0.13064853495355541</v>
      </c>
      <c r="L154">
        <v>15.653517180752344</v>
      </c>
      <c r="M154">
        <v>15</v>
      </c>
      <c r="N154">
        <v>0.77657250244556053</v>
      </c>
      <c r="O154">
        <v>64.146101048092049</v>
      </c>
      <c r="P154" s="1">
        <f t="shared" si="10"/>
        <v>2.8499863653158712</v>
      </c>
      <c r="Q154" s="1">
        <f t="shared" si="11"/>
        <v>0.37999818204211616</v>
      </c>
      <c r="R154" s="1">
        <f t="shared" si="12"/>
        <v>0.61643992573657669</v>
      </c>
      <c r="S154" s="1">
        <f t="shared" si="13"/>
        <v>-1.0478295459532383</v>
      </c>
      <c r="T154" s="56">
        <f t="shared" si="14"/>
        <v>0.15183913092836065</v>
      </c>
    </row>
    <row r="155" spans="1:20" x14ac:dyDescent="0.25">
      <c r="A155">
        <v>0.14841529866182823</v>
      </c>
      <c r="B155">
        <v>-0.9425775715499185</v>
      </c>
      <c r="D155">
        <v>0.14971557767293708</v>
      </c>
      <c r="E155">
        <v>-1.3604374123588059</v>
      </c>
      <c r="I155">
        <v>0.92308845087547253</v>
      </c>
      <c r="J155">
        <v>15</v>
      </c>
      <c r="K155">
        <v>-0.34012570419387583</v>
      </c>
      <c r="L155">
        <v>7.168251594836911</v>
      </c>
      <c r="M155">
        <v>15</v>
      </c>
      <c r="N155">
        <v>0.57983629289992678</v>
      </c>
      <c r="O155">
        <v>156.22316970455856</v>
      </c>
      <c r="P155" s="1">
        <f t="shared" si="10"/>
        <v>5.8354079035498376</v>
      </c>
      <c r="Q155" s="1">
        <f t="shared" si="11"/>
        <v>0.77805438713997832</v>
      </c>
      <c r="R155" s="1">
        <f t="shared" si="12"/>
        <v>0.88207391251525991</v>
      </c>
      <c r="S155" s="1">
        <f t="shared" si="13"/>
        <v>-1.042953412453276</v>
      </c>
      <c r="T155" s="56">
        <f t="shared" si="14"/>
        <v>0.15294575708119923</v>
      </c>
    </row>
    <row r="156" spans="1:20" x14ac:dyDescent="0.25">
      <c r="A156">
        <v>0.15241068156779081</v>
      </c>
      <c r="B156">
        <v>0.84100975072942674</v>
      </c>
      <c r="D156">
        <v>0.15403207874489344</v>
      </c>
      <c r="E156">
        <v>3.2936061381860782</v>
      </c>
      <c r="I156">
        <v>0.31395277828495916</v>
      </c>
      <c r="J156">
        <v>15</v>
      </c>
      <c r="K156">
        <v>0.22342351257975679</v>
      </c>
      <c r="L156">
        <v>19.960469580619353</v>
      </c>
      <c r="M156">
        <v>15</v>
      </c>
      <c r="N156">
        <v>1.1711767876931845</v>
      </c>
      <c r="O156">
        <v>154.92158285484828</v>
      </c>
      <c r="P156" s="1">
        <f t="shared" si="10"/>
        <v>6.2457875869809873</v>
      </c>
      <c r="Q156" s="1">
        <f t="shared" si="11"/>
        <v>0.83277167826413168</v>
      </c>
      <c r="R156" s="1">
        <f t="shared" si="12"/>
        <v>0.91256324617208406</v>
      </c>
      <c r="S156" s="1">
        <f t="shared" si="13"/>
        <v>-1.0385617425301257</v>
      </c>
      <c r="T156" s="56">
        <f t="shared" si="14"/>
        <v>0.15394724987792593</v>
      </c>
    </row>
    <row r="157" spans="1:20" x14ac:dyDescent="0.25">
      <c r="A157">
        <v>0.1551387401086497</v>
      </c>
      <c r="B157">
        <v>-0.98779764812206849</v>
      </c>
      <c r="D157">
        <v>0.15418963244229755</v>
      </c>
      <c r="E157">
        <v>0.17676324773674423</v>
      </c>
      <c r="I157">
        <v>0.32923727138575221</v>
      </c>
      <c r="J157">
        <v>15</v>
      </c>
      <c r="K157">
        <v>0.47405971296636079</v>
      </c>
      <c r="L157">
        <v>13.229398513402733</v>
      </c>
      <c r="M157">
        <v>15</v>
      </c>
      <c r="N157">
        <v>1.3677847584858682</v>
      </c>
      <c r="O157">
        <v>142.9823041004291</v>
      </c>
      <c r="P157" s="1">
        <f t="shared" si="10"/>
        <v>5.5789893790654235</v>
      </c>
      <c r="Q157" s="1">
        <f t="shared" si="11"/>
        <v>0.74386525054205643</v>
      </c>
      <c r="R157" s="1">
        <f t="shared" si="12"/>
        <v>0.86247623187080147</v>
      </c>
      <c r="S157" s="1">
        <f t="shared" si="13"/>
        <v>-1.0362315070189516</v>
      </c>
      <c r="T157" s="56">
        <f t="shared" si="14"/>
        <v>0.1544804993591094</v>
      </c>
    </row>
    <row r="158" spans="1:20" x14ac:dyDescent="0.25">
      <c r="A158">
        <v>0.15558134292563131</v>
      </c>
      <c r="B158">
        <v>-0.43142676986462902</v>
      </c>
      <c r="D158">
        <v>0.15529007288237651</v>
      </c>
      <c r="E158">
        <v>-1.009342898896648</v>
      </c>
      <c r="I158">
        <v>0.58388455192221378</v>
      </c>
      <c r="J158">
        <v>15</v>
      </c>
      <c r="K158">
        <v>-0.12515003315153686</v>
      </c>
      <c r="L158">
        <v>3.2994479844789768</v>
      </c>
      <c r="M158">
        <v>15</v>
      </c>
      <c r="N158">
        <v>0.78444395171572978</v>
      </c>
      <c r="O158">
        <v>158.93048822298681</v>
      </c>
      <c r="P158" s="1">
        <f t="shared" si="10"/>
        <v>5.7939262931237776</v>
      </c>
      <c r="Q158" s="1">
        <f t="shared" si="11"/>
        <v>0.77252350574983697</v>
      </c>
      <c r="R158" s="1">
        <f t="shared" si="12"/>
        <v>0.87893316341450956</v>
      </c>
      <c r="S158" s="1">
        <f t="shared" si="13"/>
        <v>-1.0348841330934024</v>
      </c>
      <c r="T158" s="56">
        <f t="shared" si="14"/>
        <v>0.15478941816833425</v>
      </c>
    </row>
    <row r="159" spans="1:20" x14ac:dyDescent="0.25">
      <c r="A159">
        <v>0.15682883125116964</v>
      </c>
      <c r="B159">
        <v>-0.44650505515164696</v>
      </c>
      <c r="D159">
        <v>0.15628888863652968</v>
      </c>
      <c r="E159">
        <v>0.57183410376637767</v>
      </c>
      <c r="I159">
        <v>2.2586161591898413E-2</v>
      </c>
      <c r="J159">
        <v>15</v>
      </c>
      <c r="K159">
        <v>-1.0529826492226372E-2</v>
      </c>
      <c r="L159">
        <v>9.8788198987343314</v>
      </c>
      <c r="M159">
        <v>15</v>
      </c>
      <c r="N159">
        <v>1.3828080193434289</v>
      </c>
      <c r="O159">
        <v>371.3328294672333</v>
      </c>
      <c r="P159" s="1">
        <f t="shared" si="10"/>
        <v>13.614701763070272</v>
      </c>
      <c r="Q159" s="1">
        <f t="shared" si="11"/>
        <v>1.8152935684093696</v>
      </c>
      <c r="R159" s="1">
        <f t="shared" si="12"/>
        <v>1.3473283075811069</v>
      </c>
      <c r="S159" s="1">
        <f t="shared" si="13"/>
        <v>-1.0341487208393554</v>
      </c>
      <c r="T159" s="56">
        <f t="shared" si="14"/>
        <v>0.15495821101663976</v>
      </c>
    </row>
    <row r="160" spans="1:20" x14ac:dyDescent="0.25">
      <c r="A160">
        <v>0.15808000967053115</v>
      </c>
      <c r="B160">
        <v>1.6828198567964137</v>
      </c>
      <c r="D160">
        <v>0.15641024837636774</v>
      </c>
      <c r="E160">
        <v>-2.4819057705371961</v>
      </c>
      <c r="I160">
        <v>0.63235041760133048</v>
      </c>
      <c r="J160">
        <v>15</v>
      </c>
      <c r="K160">
        <v>-7.3118826549034566E-2</v>
      </c>
      <c r="L160">
        <v>14.231679225214041</v>
      </c>
      <c r="M160">
        <v>15</v>
      </c>
      <c r="N160">
        <v>0.63905576666911657</v>
      </c>
      <c r="O160">
        <v>85.499713037122874</v>
      </c>
      <c r="P160" s="1">
        <f t="shared" si="10"/>
        <v>3.5618354379406041</v>
      </c>
      <c r="Q160" s="1">
        <f t="shared" si="11"/>
        <v>0.47491139172541386</v>
      </c>
      <c r="R160" s="1">
        <f t="shared" si="12"/>
        <v>0.68913815140754897</v>
      </c>
      <c r="S160" s="1">
        <f t="shared" si="13"/>
        <v>-1.0334279008694423</v>
      </c>
      <c r="T160" s="56">
        <f t="shared" si="14"/>
        <v>0.15512377894866827</v>
      </c>
    </row>
    <row r="161" spans="1:20" x14ac:dyDescent="0.25">
      <c r="A161">
        <v>0.1591358855225582</v>
      </c>
      <c r="B161">
        <v>-2.247652446385473</v>
      </c>
      <c r="D161">
        <v>0.15914068324215891</v>
      </c>
      <c r="E161">
        <v>-3.0512994760556467</v>
      </c>
      <c r="I161">
        <v>0.54285057657028934</v>
      </c>
      <c r="J161">
        <v>15</v>
      </c>
      <c r="K161">
        <v>-0.3653431122074835</v>
      </c>
      <c r="L161">
        <v>9.5826345771051873</v>
      </c>
      <c r="M161">
        <v>15</v>
      </c>
      <c r="N161">
        <v>0.58734007893690432</v>
      </c>
      <c r="O161">
        <v>170.24715290415537</v>
      </c>
      <c r="P161" s="1">
        <f t="shared" si="10"/>
        <v>6.4224924100450194</v>
      </c>
      <c r="Q161" s="1">
        <f t="shared" si="11"/>
        <v>0.8563323213393359</v>
      </c>
      <c r="R161" s="1">
        <f t="shared" si="12"/>
        <v>0.92538225687514453</v>
      </c>
      <c r="S161" s="1">
        <f t="shared" si="13"/>
        <v>-1.0295023316758134</v>
      </c>
      <c r="T161" s="56">
        <f t="shared" si="14"/>
        <v>0.15602761899474876</v>
      </c>
    </row>
    <row r="162" spans="1:20" x14ac:dyDescent="0.25">
      <c r="A162">
        <v>0.15919105021148905</v>
      </c>
      <c r="B162">
        <v>-1.854114088928327</v>
      </c>
      <c r="D162">
        <v>0.15980394515464902</v>
      </c>
      <c r="E162">
        <v>-2.8479046284246579</v>
      </c>
      <c r="I162">
        <v>0.47713227201255393</v>
      </c>
      <c r="J162">
        <v>15</v>
      </c>
      <c r="K162">
        <v>-0.68510924696359632</v>
      </c>
      <c r="L162">
        <v>8.1174509952921987</v>
      </c>
      <c r="M162">
        <v>15</v>
      </c>
      <c r="N162">
        <v>0.19217804606341815</v>
      </c>
      <c r="O162">
        <v>144.55624239330518</v>
      </c>
      <c r="P162" s="1">
        <f t="shared" si="10"/>
        <v>5.4526319067356201</v>
      </c>
      <c r="Q162" s="1">
        <f t="shared" si="11"/>
        <v>0.72701758756474932</v>
      </c>
      <c r="R162" s="1">
        <f t="shared" si="12"/>
        <v>0.85265326338714575</v>
      </c>
      <c r="S162" s="1">
        <f t="shared" si="13"/>
        <v>-1.0288910283906152</v>
      </c>
      <c r="T162" s="56">
        <f t="shared" si="14"/>
        <v>0.15616869674821177</v>
      </c>
    </row>
    <row r="163" spans="1:20" x14ac:dyDescent="0.25">
      <c r="A163">
        <v>0.16127254869327301</v>
      </c>
      <c r="B163">
        <v>7.7454842539737001E-2</v>
      </c>
      <c r="D163">
        <v>0.15991720968303091</v>
      </c>
      <c r="E163">
        <v>3.055655039361227</v>
      </c>
      <c r="I163">
        <v>0.33533033415166313</v>
      </c>
      <c r="J163">
        <v>15</v>
      </c>
      <c r="K163">
        <v>-0.17158223878747472</v>
      </c>
      <c r="L163">
        <v>12.532344113272233</v>
      </c>
      <c r="M163">
        <v>15</v>
      </c>
      <c r="N163">
        <v>0.52028985578544962</v>
      </c>
      <c r="O163">
        <v>83.296181621867333</v>
      </c>
      <c r="P163" s="1">
        <f t="shared" si="10"/>
        <v>3.4224473476835557</v>
      </c>
      <c r="Q163" s="1">
        <f t="shared" si="11"/>
        <v>0.45632631302447407</v>
      </c>
      <c r="R163" s="1">
        <f t="shared" si="12"/>
        <v>0.67551929137847277</v>
      </c>
      <c r="S163" s="1">
        <f t="shared" si="13"/>
        <v>-1.0242077515818708</v>
      </c>
      <c r="T163" s="56">
        <f t="shared" si="14"/>
        <v>0.15725245179304623</v>
      </c>
    </row>
    <row r="164" spans="1:20" x14ac:dyDescent="0.25">
      <c r="A164">
        <v>0.16154926383286961</v>
      </c>
      <c r="B164">
        <v>-0.79430947153014131</v>
      </c>
      <c r="D164">
        <v>0.16164783749775846</v>
      </c>
      <c r="E164">
        <v>4.0481411326709349</v>
      </c>
      <c r="I164">
        <v>0.11287272440761598</v>
      </c>
      <c r="J164">
        <v>15</v>
      </c>
      <c r="K164">
        <v>-0.10121493687620386</v>
      </c>
      <c r="L164">
        <v>15.668781910283622</v>
      </c>
      <c r="M164">
        <v>15</v>
      </c>
      <c r="N164">
        <v>0.5641697919145372</v>
      </c>
      <c r="O164">
        <v>73.658482177496396</v>
      </c>
      <c r="P164" s="1">
        <f t="shared" si="10"/>
        <v>3.1902594317064294</v>
      </c>
      <c r="Q164" s="1">
        <f t="shared" si="11"/>
        <v>0.4253679242275239</v>
      </c>
      <c r="R164" s="1">
        <f t="shared" si="12"/>
        <v>0.65220236447556967</v>
      </c>
      <c r="S164" s="1">
        <f t="shared" si="13"/>
        <v>-1.020212076854047</v>
      </c>
      <c r="T164" s="56">
        <f t="shared" si="14"/>
        <v>0.15818120150333898</v>
      </c>
    </row>
    <row r="165" spans="1:20" x14ac:dyDescent="0.25">
      <c r="A165">
        <v>0.16272659329457706</v>
      </c>
      <c r="B165">
        <v>-1.2643022273550741</v>
      </c>
      <c r="D165">
        <v>0.16296997401672464</v>
      </c>
      <c r="E165">
        <v>-0.2810661533203529</v>
      </c>
      <c r="I165">
        <v>0.89729004232971921</v>
      </c>
      <c r="J165">
        <v>15</v>
      </c>
      <c r="K165">
        <v>-0.26913562578556594</v>
      </c>
      <c r="L165">
        <v>11.039352368021945</v>
      </c>
      <c r="M165">
        <v>15</v>
      </c>
      <c r="N165">
        <v>0.69644351810893568</v>
      </c>
      <c r="O165">
        <v>177.73174761656239</v>
      </c>
      <c r="P165" s="1">
        <f t="shared" si="10"/>
        <v>6.7418249994494408</v>
      </c>
      <c r="Q165" s="1">
        <f t="shared" si="11"/>
        <v>0.89890999992659204</v>
      </c>
      <c r="R165" s="1">
        <f t="shared" si="12"/>
        <v>0.94810864352488211</v>
      </c>
      <c r="S165" s="1">
        <f t="shared" si="13"/>
        <v>-1.0184266861070559</v>
      </c>
      <c r="T165" s="56">
        <f t="shared" si="14"/>
        <v>0.15859741999867935</v>
      </c>
    </row>
    <row r="166" spans="1:20" x14ac:dyDescent="0.25">
      <c r="A166">
        <v>0.16296591084383882</v>
      </c>
      <c r="B166">
        <v>-0.95807990874163806</v>
      </c>
      <c r="D166">
        <v>0.16332668407423223</v>
      </c>
      <c r="E166">
        <v>-0.22771405724597571</v>
      </c>
      <c r="I166">
        <v>0.22957335033997373</v>
      </c>
      <c r="J166">
        <v>15</v>
      </c>
      <c r="K166">
        <v>-0.23623344228932788</v>
      </c>
      <c r="L166">
        <v>17.947714419711449</v>
      </c>
      <c r="M166">
        <v>15</v>
      </c>
      <c r="N166">
        <v>0.74567651267898327</v>
      </c>
      <c r="O166">
        <v>178.11411718333238</v>
      </c>
      <c r="P166" s="1">
        <f t="shared" si="10"/>
        <v>7.0022082715372793</v>
      </c>
      <c r="Q166" s="1">
        <f t="shared" si="11"/>
        <v>0.93362776953830384</v>
      </c>
      <c r="R166" s="1">
        <f t="shared" si="12"/>
        <v>0.96624415627640603</v>
      </c>
      <c r="S166" s="1">
        <f t="shared" si="13"/>
        <v>-1.0162130850573794</v>
      </c>
      <c r="T166" s="56">
        <f t="shared" si="14"/>
        <v>0.15911451531311999</v>
      </c>
    </row>
    <row r="167" spans="1:20" x14ac:dyDescent="0.25">
      <c r="A167">
        <v>0.16577401809517756</v>
      </c>
      <c r="B167">
        <v>-4.8021320253610611E-2</v>
      </c>
      <c r="D167">
        <v>0.16360116616391474</v>
      </c>
      <c r="E167">
        <v>1.5378470800442301</v>
      </c>
      <c r="I167">
        <v>0.37049585348775504</v>
      </c>
      <c r="J167">
        <v>15</v>
      </c>
      <c r="K167">
        <v>0.2303154360561166</v>
      </c>
      <c r="L167">
        <v>13.938754846677929</v>
      </c>
      <c r="M167">
        <v>15</v>
      </c>
      <c r="N167">
        <v>1.5319028500471177</v>
      </c>
      <c r="O167">
        <v>331.00313655788108</v>
      </c>
      <c r="P167" s="1">
        <f t="shared" si="10"/>
        <v>12.319353264448536</v>
      </c>
      <c r="Q167" s="1">
        <f t="shared" si="11"/>
        <v>1.6425804352598048</v>
      </c>
      <c r="R167" s="1">
        <f t="shared" si="12"/>
        <v>1.2816319421970588</v>
      </c>
      <c r="S167" s="1">
        <f t="shared" si="13"/>
        <v>-1.0155703608320914</v>
      </c>
      <c r="T167" s="56">
        <f t="shared" si="14"/>
        <v>0.15926487303151118</v>
      </c>
    </row>
    <row r="168" spans="1:20" x14ac:dyDescent="0.25">
      <c r="A168">
        <v>0.16600650810321005</v>
      </c>
      <c r="B168">
        <v>-2.2381937014870346</v>
      </c>
      <c r="D168">
        <v>0.16361849094586134</v>
      </c>
      <c r="E168">
        <v>-1.9393194213535025</v>
      </c>
      <c r="I168">
        <v>0.20366451452476486</v>
      </c>
      <c r="J168">
        <v>15</v>
      </c>
      <c r="K168">
        <v>0.15736676080753872</v>
      </c>
      <c r="L168">
        <v>12.93132955471614</v>
      </c>
      <c r="M168">
        <v>15</v>
      </c>
      <c r="N168">
        <v>1.2419181950917846</v>
      </c>
      <c r="O168">
        <v>226.61883660905301</v>
      </c>
      <c r="P168" s="1">
        <f t="shared" si="10"/>
        <v>8.5553630772774696</v>
      </c>
      <c r="Q168" s="1">
        <f t="shared" si="11"/>
        <v>1.1407150769703294</v>
      </c>
      <c r="R168" s="1">
        <f t="shared" si="12"/>
        <v>1.0680426381799228</v>
      </c>
      <c r="S168" s="1">
        <f t="shared" si="13"/>
        <v>-1.0154570571568717</v>
      </c>
      <c r="T168" s="56">
        <f t="shared" si="14"/>
        <v>0.1592913892518654</v>
      </c>
    </row>
    <row r="169" spans="1:20" x14ac:dyDescent="0.25">
      <c r="A169">
        <v>0.16812518791741404</v>
      </c>
      <c r="B169">
        <v>-0.5142544523550896</v>
      </c>
      <c r="D169">
        <v>0.1650850230381895</v>
      </c>
      <c r="E169">
        <v>2.2153740212615958</v>
      </c>
      <c r="I169">
        <v>0.11971695511674307</v>
      </c>
      <c r="J169">
        <v>15</v>
      </c>
      <c r="K169">
        <v>-0.62611403942961863</v>
      </c>
      <c r="L169">
        <v>13.318699070605792</v>
      </c>
      <c r="M169">
        <v>15</v>
      </c>
      <c r="N169">
        <v>0.13510975463759678</v>
      </c>
      <c r="O169">
        <v>105.9609275289792</v>
      </c>
      <c r="P169" s="1">
        <f t="shared" si="10"/>
        <v>4.2599866642708921</v>
      </c>
      <c r="Q169" s="1">
        <f t="shared" si="11"/>
        <v>0.56799822190278559</v>
      </c>
      <c r="R169" s="1">
        <f t="shared" si="12"/>
        <v>0.75365656761072919</v>
      </c>
      <c r="S169" s="1">
        <f t="shared" si="13"/>
        <v>-1.010040682695138</v>
      </c>
      <c r="T169" s="56">
        <f t="shared" si="14"/>
        <v>0.16056252778179889</v>
      </c>
    </row>
    <row r="170" spans="1:20" x14ac:dyDescent="0.25">
      <c r="A170">
        <v>0.16841442446272104</v>
      </c>
      <c r="B170">
        <v>-0.76681772043230012</v>
      </c>
      <c r="D170">
        <v>0.16671577963522843</v>
      </c>
      <c r="E170">
        <v>-0.13423619179775415</v>
      </c>
      <c r="I170">
        <v>0.30148511107417442</v>
      </c>
      <c r="J170">
        <v>15</v>
      </c>
      <c r="K170">
        <v>0.2595554633444408</v>
      </c>
      <c r="L170">
        <v>17.384321102794722</v>
      </c>
      <c r="M170">
        <v>15</v>
      </c>
      <c r="N170">
        <v>0.90207276684850513</v>
      </c>
      <c r="O170">
        <v>69.479630808132768</v>
      </c>
      <c r="P170" s="1">
        <f t="shared" si="10"/>
        <v>3.1022839968188385</v>
      </c>
      <c r="Q170" s="1">
        <f t="shared" si="11"/>
        <v>0.41363786624251181</v>
      </c>
      <c r="R170" s="1">
        <f t="shared" si="12"/>
        <v>0.64314684656189658</v>
      </c>
      <c r="S170" s="1">
        <f t="shared" si="13"/>
        <v>-0.99902115191701923</v>
      </c>
      <c r="T170" s="56">
        <f t="shared" si="14"/>
        <v>0.16317015266932744</v>
      </c>
    </row>
    <row r="171" spans="1:20" x14ac:dyDescent="0.25">
      <c r="A171">
        <v>0.16849445322517587</v>
      </c>
      <c r="B171">
        <v>-0.59784497352666222</v>
      </c>
      <c r="D171">
        <v>0.16710963969724169</v>
      </c>
      <c r="E171">
        <v>-2.9403047426512785</v>
      </c>
      <c r="I171">
        <v>0.68951763912580544</v>
      </c>
      <c r="J171">
        <v>15</v>
      </c>
      <c r="K171">
        <v>-0.27322638137169025</v>
      </c>
      <c r="L171">
        <v>10.589514452264302</v>
      </c>
      <c r="M171">
        <v>15</v>
      </c>
      <c r="N171">
        <v>0.53584221518576669</v>
      </c>
      <c r="O171">
        <v>127.29600329780824</v>
      </c>
      <c r="P171" s="1">
        <f t="shared" si="10"/>
        <v>4.924482776788305</v>
      </c>
      <c r="Q171" s="1">
        <f t="shared" si="11"/>
        <v>0.65659770357177405</v>
      </c>
      <c r="R171" s="1">
        <f t="shared" si="12"/>
        <v>0.81030716618562248</v>
      </c>
      <c r="S171" s="1">
        <f t="shared" si="13"/>
        <v>-0.99847148133466979</v>
      </c>
      <c r="T171" s="56">
        <f t="shared" si="14"/>
        <v>0.16330098057512948</v>
      </c>
    </row>
    <row r="172" spans="1:20" x14ac:dyDescent="0.25">
      <c r="A172">
        <v>0.16919848366189261</v>
      </c>
      <c r="B172">
        <v>-0.40188979255617596</v>
      </c>
      <c r="D172">
        <v>0.16710990200572451</v>
      </c>
      <c r="E172">
        <v>0.55940244806151895</v>
      </c>
      <c r="I172">
        <v>0.27247599530033861</v>
      </c>
      <c r="J172">
        <v>15</v>
      </c>
      <c r="K172">
        <v>9.4531969807576388E-2</v>
      </c>
      <c r="L172">
        <v>10.973139123507682</v>
      </c>
      <c r="M172">
        <v>15</v>
      </c>
      <c r="N172">
        <v>0.97142196523236635</v>
      </c>
      <c r="O172">
        <v>156.03616137602009</v>
      </c>
      <c r="P172" s="1">
        <f t="shared" si="10"/>
        <v>5.9646178749831344</v>
      </c>
      <c r="Q172" s="1">
        <f t="shared" si="11"/>
        <v>0.79528238333108459</v>
      </c>
      <c r="R172" s="1">
        <f t="shared" si="12"/>
        <v>0.89178606365601198</v>
      </c>
      <c r="S172" s="1">
        <f t="shared" si="13"/>
        <v>-0.98329636575598267</v>
      </c>
      <c r="T172" s="56">
        <f t="shared" si="14"/>
        <v>0.16694120543518765</v>
      </c>
    </row>
    <row r="173" spans="1:20" x14ac:dyDescent="0.25">
      <c r="A173">
        <v>0.17043201723693424</v>
      </c>
      <c r="B173">
        <v>-0.2249919361929642</v>
      </c>
      <c r="D173">
        <v>0.16946741703206014</v>
      </c>
      <c r="E173">
        <v>-3.9340936871212762</v>
      </c>
      <c r="I173">
        <v>0.59444619482227901</v>
      </c>
      <c r="J173">
        <v>15</v>
      </c>
      <c r="K173">
        <v>-0.40675172385817859</v>
      </c>
      <c r="L173">
        <v>10.29928987306965</v>
      </c>
      <c r="M173">
        <v>15</v>
      </c>
      <c r="N173">
        <v>0.43503768779373786</v>
      </c>
      <c r="O173">
        <v>145.89220363366934</v>
      </c>
      <c r="P173" s="1">
        <f t="shared" si="10"/>
        <v>5.5782676252406782</v>
      </c>
      <c r="Q173" s="1">
        <f t="shared" si="11"/>
        <v>0.74376901669875706</v>
      </c>
      <c r="R173" s="1">
        <f t="shared" si="12"/>
        <v>0.86242044079367519</v>
      </c>
      <c r="S173" s="1">
        <f t="shared" si="13"/>
        <v>-0.97607775956380138</v>
      </c>
      <c r="T173" s="56">
        <f t="shared" si="14"/>
        <v>0.1686920410743567</v>
      </c>
    </row>
    <row r="174" spans="1:20" x14ac:dyDescent="0.25">
      <c r="A174">
        <v>0.17055591306374795</v>
      </c>
      <c r="B174">
        <v>-1.1204542715859134</v>
      </c>
      <c r="D174">
        <v>0.16955661959294854</v>
      </c>
      <c r="E174">
        <v>-1.2954790270214289</v>
      </c>
      <c r="I174">
        <v>0.70630635680587162</v>
      </c>
      <c r="J174">
        <v>15</v>
      </c>
      <c r="K174">
        <v>-9.8927330327569507E-2</v>
      </c>
      <c r="L174">
        <v>9.7816232677588335</v>
      </c>
      <c r="M174">
        <v>15</v>
      </c>
      <c r="N174">
        <v>0.71398721615878458</v>
      </c>
      <c r="O174">
        <v>139.99463541167205</v>
      </c>
      <c r="P174" s="1">
        <f t="shared" si="10"/>
        <v>5.3491520956939604</v>
      </c>
      <c r="Q174" s="1">
        <f t="shared" si="11"/>
        <v>0.71322027942586141</v>
      </c>
      <c r="R174" s="1">
        <f t="shared" si="12"/>
        <v>0.84452369974196784</v>
      </c>
      <c r="S174" s="1">
        <f t="shared" si="13"/>
        <v>-0.96257162082571335</v>
      </c>
      <c r="T174" s="56">
        <f t="shared" si="14"/>
        <v>0.17200119098567385</v>
      </c>
    </row>
    <row r="175" spans="1:20" x14ac:dyDescent="0.25">
      <c r="A175">
        <v>0.17151358353639012</v>
      </c>
      <c r="B175">
        <v>1.3139924703864381</v>
      </c>
      <c r="D175">
        <v>0.1697046917045909</v>
      </c>
      <c r="E175">
        <v>-1.2298555736833805</v>
      </c>
      <c r="I175">
        <v>5.3146035899123367E-2</v>
      </c>
      <c r="J175">
        <v>15</v>
      </c>
      <c r="K175">
        <v>-0.18124759056566594</v>
      </c>
      <c r="L175">
        <v>18.265299409042001</v>
      </c>
      <c r="M175">
        <v>15</v>
      </c>
      <c r="N175">
        <v>0.6022019044849003</v>
      </c>
      <c r="O175">
        <v>121.25629222155604</v>
      </c>
      <c r="P175" s="1">
        <f t="shared" si="10"/>
        <v>4.9829139868070724</v>
      </c>
      <c r="Q175" s="1">
        <f t="shared" si="11"/>
        <v>0.66438853157427635</v>
      </c>
      <c r="R175" s="1">
        <f t="shared" si="12"/>
        <v>0.81510031994489873</v>
      </c>
      <c r="S175" s="1">
        <f t="shared" si="13"/>
        <v>-0.96116941176458859</v>
      </c>
      <c r="T175" s="56">
        <f t="shared" si="14"/>
        <v>0.1723472349055904</v>
      </c>
    </row>
    <row r="176" spans="1:20" x14ac:dyDescent="0.25">
      <c r="A176">
        <v>0.17187665771111016</v>
      </c>
      <c r="B176">
        <v>0.81077814684249461</v>
      </c>
      <c r="D176">
        <v>0.17031141526645832</v>
      </c>
      <c r="E176">
        <v>-1.4252457310703903</v>
      </c>
      <c r="I176">
        <v>0.65404518276631318</v>
      </c>
      <c r="J176">
        <v>15</v>
      </c>
      <c r="K176">
        <v>2.7577925720834173E-2</v>
      </c>
      <c r="L176">
        <v>10.243368803739441</v>
      </c>
      <c r="M176">
        <v>15</v>
      </c>
      <c r="N176">
        <v>0.69653401283176208</v>
      </c>
      <c r="O176">
        <v>92.880908634328335</v>
      </c>
      <c r="P176" s="1">
        <f t="shared" si="10"/>
        <v>3.6830099085024206</v>
      </c>
      <c r="Q176" s="1">
        <f t="shared" si="11"/>
        <v>0.49106798780032274</v>
      </c>
      <c r="R176" s="1">
        <f t="shared" si="12"/>
        <v>0.7007624332113721</v>
      </c>
      <c r="S176" s="1">
        <f t="shared" si="13"/>
        <v>-0.95461179910189276</v>
      </c>
      <c r="T176" s="56">
        <f t="shared" si="14"/>
        <v>0.17397176522489671</v>
      </c>
    </row>
    <row r="177" spans="1:20" x14ac:dyDescent="0.25">
      <c r="A177">
        <v>0.17545931282901095</v>
      </c>
      <c r="B177">
        <v>-1.0682470019673929</v>
      </c>
      <c r="D177">
        <v>0.17075234658909721</v>
      </c>
      <c r="E177">
        <v>-4.1894593357483245</v>
      </c>
      <c r="I177">
        <v>0.26948308185133274</v>
      </c>
      <c r="J177">
        <v>15</v>
      </c>
      <c r="K177">
        <v>-6.5489302869536914E-2</v>
      </c>
      <c r="L177">
        <v>10.391258503304085</v>
      </c>
      <c r="M177">
        <v>15</v>
      </c>
      <c r="N177">
        <v>0.67840846554645395</v>
      </c>
      <c r="O177">
        <v>117.5666209633404</v>
      </c>
      <c r="P177" s="1">
        <f t="shared" si="10"/>
        <v>4.5699242666658746</v>
      </c>
      <c r="Q177" s="1">
        <f t="shared" si="11"/>
        <v>0.60932323555544998</v>
      </c>
      <c r="R177" s="1">
        <f t="shared" si="12"/>
        <v>0.78059159331589656</v>
      </c>
      <c r="S177" s="1">
        <f t="shared" si="13"/>
        <v>-0.95299228788253665</v>
      </c>
      <c r="T177" s="56">
        <f t="shared" si="14"/>
        <v>0.17437454563608507</v>
      </c>
    </row>
    <row r="178" spans="1:20" x14ac:dyDescent="0.25">
      <c r="A178">
        <v>0.1759339786550469</v>
      </c>
      <c r="B178">
        <v>0.33887658901221585</v>
      </c>
      <c r="D178">
        <v>0.17222268395323004</v>
      </c>
      <c r="E178">
        <v>-0.51319534918548015</v>
      </c>
      <c r="I178">
        <v>0.87136565493538598</v>
      </c>
      <c r="J178">
        <v>15</v>
      </c>
      <c r="K178">
        <v>2.1517886731696006E-2</v>
      </c>
      <c r="L178">
        <v>10.339598410204596</v>
      </c>
      <c r="M178">
        <v>15</v>
      </c>
      <c r="N178">
        <v>1.0074604654164432</v>
      </c>
      <c r="O178">
        <v>217.82212685628355</v>
      </c>
      <c r="P178" s="1">
        <f t="shared" si="10"/>
        <v>8.1486330452317191</v>
      </c>
      <c r="Q178" s="1">
        <f t="shared" si="11"/>
        <v>1.0864844060308958</v>
      </c>
      <c r="R178" s="1">
        <f t="shared" si="12"/>
        <v>1.0423456269543687</v>
      </c>
      <c r="S178" s="1">
        <f t="shared" si="13"/>
        <v>-0.94588834374023745</v>
      </c>
      <c r="T178" s="56">
        <f t="shared" si="14"/>
        <v>0.17614870410252931</v>
      </c>
    </row>
    <row r="179" spans="1:20" x14ac:dyDescent="0.25">
      <c r="A179">
        <v>0.17671275205591963</v>
      </c>
      <c r="B179">
        <v>2.8227805159986019</v>
      </c>
      <c r="D179">
        <v>0.1725918872859239</v>
      </c>
      <c r="E179">
        <v>4.7374380721976195</v>
      </c>
      <c r="I179">
        <v>0.44760417822961118</v>
      </c>
      <c r="J179">
        <v>15</v>
      </c>
      <c r="K179">
        <v>-0.12002290835274228</v>
      </c>
      <c r="L179">
        <v>3.2364267863809526</v>
      </c>
      <c r="M179">
        <v>15</v>
      </c>
      <c r="N179">
        <v>0.77948561397533922</v>
      </c>
      <c r="O179">
        <v>187.58636863674849</v>
      </c>
      <c r="P179" s="1">
        <f t="shared" si="10"/>
        <v>6.8150998365403366</v>
      </c>
      <c r="Q179" s="1">
        <f t="shared" si="11"/>
        <v>0.90867997820537816</v>
      </c>
      <c r="R179" s="1">
        <f t="shared" si="12"/>
        <v>0.95324707091361061</v>
      </c>
      <c r="S179" s="1">
        <f t="shared" si="13"/>
        <v>-0.94362579206876029</v>
      </c>
      <c r="T179" s="56">
        <f t="shared" si="14"/>
        <v>0.17671628083193619</v>
      </c>
    </row>
    <row r="180" spans="1:20" x14ac:dyDescent="0.25">
      <c r="A180">
        <v>0.17690734416189668</v>
      </c>
      <c r="B180">
        <v>-0.16425133253505919</v>
      </c>
      <c r="D180">
        <v>0.1731152138928016</v>
      </c>
      <c r="E180">
        <v>1.7568829628089588</v>
      </c>
      <c r="I180">
        <v>0.82578468791336312</v>
      </c>
      <c r="J180">
        <v>15</v>
      </c>
      <c r="K180">
        <v>9.9823485773716428E-2</v>
      </c>
      <c r="L180">
        <v>12.611329023781826</v>
      </c>
      <c r="M180">
        <v>15</v>
      </c>
      <c r="N180">
        <v>0.80299923524762562</v>
      </c>
      <c r="O180">
        <v>104.83524633329327</v>
      </c>
      <c r="P180" s="1">
        <f t="shared" si="10"/>
        <v>4.1945205484669676</v>
      </c>
      <c r="Q180" s="1">
        <f t="shared" si="11"/>
        <v>0.55926940646226231</v>
      </c>
      <c r="R180" s="1">
        <f t="shared" si="12"/>
        <v>0.74784316969687059</v>
      </c>
      <c r="S180" s="1">
        <f t="shared" si="13"/>
        <v>-0.94027167455301242</v>
      </c>
      <c r="T180" s="56">
        <f t="shared" si="14"/>
        <v>0.17755992494940198</v>
      </c>
    </row>
    <row r="181" spans="1:20" x14ac:dyDescent="0.25">
      <c r="A181">
        <v>0.17786122530553494</v>
      </c>
      <c r="B181">
        <v>0.36091705624130554</v>
      </c>
      <c r="D181">
        <v>0.17338139820771992</v>
      </c>
      <c r="E181">
        <v>-1.0390526801984379</v>
      </c>
      <c r="I181">
        <v>0.77472409480599225</v>
      </c>
      <c r="J181">
        <v>15</v>
      </c>
      <c r="K181">
        <v>-0.15884711501712445</v>
      </c>
      <c r="L181">
        <v>15.912136506680636</v>
      </c>
      <c r="M181">
        <v>15</v>
      </c>
      <c r="N181">
        <v>0.55291797821155342</v>
      </c>
      <c r="O181">
        <v>106.4050080466758</v>
      </c>
      <c r="P181" s="1">
        <f t="shared" si="10"/>
        <v>4.3684694483341584</v>
      </c>
      <c r="Q181" s="1">
        <f t="shared" si="11"/>
        <v>0.58246259311122106</v>
      </c>
      <c r="R181" s="1">
        <f t="shared" si="12"/>
        <v>0.76319236966260418</v>
      </c>
      <c r="S181" s="1">
        <f t="shared" si="13"/>
        <v>-0.93261557835456144</v>
      </c>
      <c r="T181" s="56">
        <f t="shared" si="14"/>
        <v>0.17949564687403968</v>
      </c>
    </row>
    <row r="182" spans="1:20" x14ac:dyDescent="0.25">
      <c r="A182">
        <v>0.18011839616476588</v>
      </c>
      <c r="B182">
        <v>-0.86578438640572131</v>
      </c>
      <c r="D182">
        <v>0.1740179758302145</v>
      </c>
      <c r="E182">
        <v>3.9131834876116045</v>
      </c>
      <c r="I182">
        <v>0.93893150437823358</v>
      </c>
      <c r="J182">
        <v>15</v>
      </c>
      <c r="K182">
        <v>2.3171348099519189E-2</v>
      </c>
      <c r="L182">
        <v>16.002470584560118</v>
      </c>
      <c r="M182">
        <v>15</v>
      </c>
      <c r="N182">
        <v>0.91487731538109074</v>
      </c>
      <c r="O182">
        <v>181.28174483427838</v>
      </c>
      <c r="P182" s="1">
        <f t="shared" si="10"/>
        <v>7.0458648363870893</v>
      </c>
      <c r="Q182" s="1">
        <f t="shared" si="11"/>
        <v>0.93944864485161184</v>
      </c>
      <c r="R182" s="1">
        <f t="shared" si="12"/>
        <v>0.96925159006916872</v>
      </c>
      <c r="S182" s="1">
        <f t="shared" si="13"/>
        <v>-0.91999433007681397</v>
      </c>
      <c r="T182" s="56">
        <f t="shared" si="14"/>
        <v>0.1827171425860748</v>
      </c>
    </row>
    <row r="183" spans="1:20" x14ac:dyDescent="0.25">
      <c r="A183">
        <v>0.18202886307695998</v>
      </c>
      <c r="B183">
        <v>0.46790773922111839</v>
      </c>
      <c r="D183">
        <v>0.17470045352075969</v>
      </c>
      <c r="E183">
        <v>2.7742391887386475</v>
      </c>
      <c r="I183">
        <v>0.87924678782957622</v>
      </c>
      <c r="J183">
        <v>15</v>
      </c>
      <c r="K183">
        <v>-5.1461332380616419E-2</v>
      </c>
      <c r="L183">
        <v>9.5966625377480614</v>
      </c>
      <c r="M183">
        <v>15</v>
      </c>
      <c r="N183">
        <v>0.72088391448232869</v>
      </c>
      <c r="O183">
        <v>139.35472553117143</v>
      </c>
      <c r="P183" s="1">
        <f t="shared" si="10"/>
        <v>5.3196924310328395</v>
      </c>
      <c r="Q183" s="1">
        <f t="shared" si="11"/>
        <v>0.70929232413771193</v>
      </c>
      <c r="R183" s="1">
        <f t="shared" si="12"/>
        <v>0.84219494426036057</v>
      </c>
      <c r="S183" s="1">
        <f t="shared" si="13"/>
        <v>-0.91706231689771134</v>
      </c>
      <c r="T183" s="56">
        <f t="shared" si="14"/>
        <v>0.18347093680620391</v>
      </c>
    </row>
    <row r="184" spans="1:20" x14ac:dyDescent="0.25">
      <c r="A184">
        <v>0.18267806320379709</v>
      </c>
      <c r="B184">
        <v>0.25048848328879103</v>
      </c>
      <c r="D184">
        <v>0.17528856843474616</v>
      </c>
      <c r="E184">
        <v>-0.23070174734129978</v>
      </c>
      <c r="I184">
        <v>7.2292560560841657E-2</v>
      </c>
      <c r="J184">
        <v>15</v>
      </c>
      <c r="K184">
        <v>0.11779608636667642</v>
      </c>
      <c r="L184">
        <v>14.200583603552554</v>
      </c>
      <c r="M184">
        <v>15</v>
      </c>
      <c r="N184">
        <v>0.75120032875020115</v>
      </c>
      <c r="O184">
        <v>86.694296892819864</v>
      </c>
      <c r="P184" s="1">
        <f t="shared" si="10"/>
        <v>3.6033885891561579</v>
      </c>
      <c r="Q184" s="1">
        <f t="shared" si="11"/>
        <v>0.4804518118874877</v>
      </c>
      <c r="R184" s="1">
        <f t="shared" si="12"/>
        <v>0.69314631347752809</v>
      </c>
      <c r="S184" s="1">
        <f t="shared" si="13"/>
        <v>-0.91381030248249284</v>
      </c>
      <c r="T184" s="56">
        <f t="shared" si="14"/>
        <v>0.18430938744852865</v>
      </c>
    </row>
    <row r="185" spans="1:20" x14ac:dyDescent="0.25">
      <c r="A185">
        <v>0.18328983493025375</v>
      </c>
      <c r="B185">
        <v>0.34025447348540183</v>
      </c>
      <c r="D185">
        <v>0.18156811311751198</v>
      </c>
      <c r="E185">
        <v>1.6544693119158183</v>
      </c>
      <c r="I185">
        <v>0.92327890673666091</v>
      </c>
      <c r="J185">
        <v>15</v>
      </c>
      <c r="K185">
        <v>0.10787092226867874</v>
      </c>
      <c r="L185">
        <v>19.03520825811469</v>
      </c>
      <c r="M185">
        <v>15</v>
      </c>
      <c r="N185">
        <v>0.66190886741424038</v>
      </c>
      <c r="O185">
        <v>58.858078557130533</v>
      </c>
      <c r="P185" s="1">
        <f t="shared" si="10"/>
        <v>2.7819031005444721</v>
      </c>
      <c r="Q185" s="1">
        <f t="shared" si="11"/>
        <v>0.37092041340592963</v>
      </c>
      <c r="R185" s="1">
        <f t="shared" si="12"/>
        <v>0.6090323582585162</v>
      </c>
      <c r="S185" s="1">
        <f t="shared" si="13"/>
        <v>-0.90970198484985731</v>
      </c>
      <c r="T185" s="56">
        <f t="shared" si="14"/>
        <v>0.18537220224287237</v>
      </c>
    </row>
    <row r="186" spans="1:20" x14ac:dyDescent="0.25">
      <c r="A186">
        <v>0.18332979981412278</v>
      </c>
      <c r="B186">
        <v>1.1693668966472615</v>
      </c>
      <c r="D186">
        <v>0.18274884158948057</v>
      </c>
      <c r="E186">
        <v>0.76503465265886916</v>
      </c>
      <c r="I186">
        <v>0.2949331096249469</v>
      </c>
      <c r="J186">
        <v>15</v>
      </c>
      <c r="K186">
        <v>0.33455861133309855</v>
      </c>
      <c r="L186">
        <v>23.633681821507817</v>
      </c>
      <c r="M186">
        <v>15</v>
      </c>
      <c r="N186">
        <v>1.025294974397184</v>
      </c>
      <c r="O186">
        <v>98.639872693098567</v>
      </c>
      <c r="P186" s="1">
        <f t="shared" si="10"/>
        <v>4.3669126612359426</v>
      </c>
      <c r="Q186" s="1">
        <f t="shared" si="11"/>
        <v>0.58225502149812569</v>
      </c>
      <c r="R186" s="1">
        <f t="shared" si="12"/>
        <v>0.76305636849326253</v>
      </c>
      <c r="S186" s="1">
        <f t="shared" si="13"/>
        <v>-0.90522324638744478</v>
      </c>
      <c r="T186" s="56">
        <f t="shared" si="14"/>
        <v>0.18653540529928697</v>
      </c>
    </row>
    <row r="187" spans="1:20" x14ac:dyDescent="0.25">
      <c r="A187">
        <v>0.18605104437247244</v>
      </c>
      <c r="B187">
        <v>2.0235120246070437E-2</v>
      </c>
      <c r="D187">
        <v>0.18302002030020093</v>
      </c>
      <c r="E187">
        <v>2.0488614575242536</v>
      </c>
      <c r="I187">
        <v>0.80327376629103375</v>
      </c>
      <c r="J187">
        <v>15</v>
      </c>
      <c r="K187">
        <v>-0.12494804953651813</v>
      </c>
      <c r="L187">
        <v>14.499773376484853</v>
      </c>
      <c r="M187">
        <v>15</v>
      </c>
      <c r="N187">
        <v>0.90400657995814981</v>
      </c>
      <c r="O187">
        <v>258.28550041442838</v>
      </c>
      <c r="P187" s="1">
        <f t="shared" si="10"/>
        <v>9.7423312068183314</v>
      </c>
      <c r="Q187" s="1">
        <f t="shared" si="11"/>
        <v>1.2989774942424441</v>
      </c>
      <c r="R187" s="1">
        <f t="shared" si="12"/>
        <v>1.1397269384560691</v>
      </c>
      <c r="S187" s="1">
        <f t="shared" si="13"/>
        <v>-0.90280802776193136</v>
      </c>
      <c r="T187" s="56">
        <f t="shared" si="14"/>
        <v>0.18716465157873868</v>
      </c>
    </row>
    <row r="188" spans="1:20" x14ac:dyDescent="0.25">
      <c r="A188">
        <v>0.18656300960910499</v>
      </c>
      <c r="B188">
        <v>0.76435640039562713</v>
      </c>
      <c r="D188">
        <v>0.18364181350518982</v>
      </c>
      <c r="E188">
        <v>3.4606302926931676</v>
      </c>
      <c r="I188">
        <v>0.69424160991428963</v>
      </c>
      <c r="J188">
        <v>15</v>
      </c>
      <c r="K188">
        <v>-0.11839089590163591</v>
      </c>
      <c r="L188">
        <v>5.5603082719597632</v>
      </c>
      <c r="M188">
        <v>15</v>
      </c>
      <c r="N188">
        <v>0.55842769711489382</v>
      </c>
      <c r="O188">
        <v>112.95804027753447</v>
      </c>
      <c r="P188" s="1">
        <f t="shared" si="10"/>
        <v>4.2327981624819371</v>
      </c>
      <c r="Q188" s="1">
        <f t="shared" si="11"/>
        <v>0.56437308833092492</v>
      </c>
      <c r="R188" s="1">
        <f t="shared" si="12"/>
        <v>0.75124768773748973</v>
      </c>
      <c r="S188" s="1">
        <f t="shared" si="13"/>
        <v>-0.90092602488386231</v>
      </c>
      <c r="T188" s="56">
        <f t="shared" si="14"/>
        <v>0.18765593539411912</v>
      </c>
    </row>
    <row r="189" spans="1:20" x14ac:dyDescent="0.25">
      <c r="A189">
        <v>0.18815196857329131</v>
      </c>
      <c r="B189">
        <v>0.21597770683001727</v>
      </c>
      <c r="D189">
        <v>0.18374643114021461</v>
      </c>
      <c r="E189">
        <v>1.9471333382625744</v>
      </c>
      <c r="I189">
        <v>0.2888843440420984</v>
      </c>
      <c r="J189">
        <v>15</v>
      </c>
      <c r="K189">
        <v>0.54845493953810853</v>
      </c>
      <c r="L189">
        <v>12.221759270524446</v>
      </c>
      <c r="M189">
        <v>15</v>
      </c>
      <c r="N189">
        <v>1.3030758020704525</v>
      </c>
      <c r="O189">
        <v>135.51743280668379</v>
      </c>
      <c r="P189" s="1">
        <f t="shared" si="10"/>
        <v>5.2763997170431507</v>
      </c>
      <c r="Q189" s="1">
        <f t="shared" si="11"/>
        <v>0.70351996227242009</v>
      </c>
      <c r="R189" s="1">
        <f t="shared" si="12"/>
        <v>0.83876096849604298</v>
      </c>
      <c r="S189" s="1">
        <f t="shared" si="13"/>
        <v>-0.89968523915154497</v>
      </c>
      <c r="T189" s="56">
        <f t="shared" si="14"/>
        <v>0.1879802929269288</v>
      </c>
    </row>
    <row r="190" spans="1:20" x14ac:dyDescent="0.25">
      <c r="A190">
        <v>0.18915396307510846</v>
      </c>
      <c r="B190">
        <v>-0.60968659454374574</v>
      </c>
      <c r="D190">
        <v>0.18518686666382655</v>
      </c>
      <c r="E190">
        <v>-3.8593468650560681</v>
      </c>
      <c r="I190">
        <v>3.8308473118410236E-3</v>
      </c>
      <c r="J190">
        <v>15</v>
      </c>
      <c r="K190">
        <v>-0.29660297210890957</v>
      </c>
      <c r="L190">
        <v>6.7313843159168467</v>
      </c>
      <c r="M190">
        <v>15</v>
      </c>
      <c r="N190">
        <v>0.45742421775685216</v>
      </c>
      <c r="O190">
        <v>142.33705571212644</v>
      </c>
      <c r="P190" s="1">
        <f t="shared" si="10"/>
        <v>5.3238728581444033</v>
      </c>
      <c r="Q190" s="1">
        <f t="shared" si="11"/>
        <v>0.70984971441925371</v>
      </c>
      <c r="R190" s="1">
        <f t="shared" si="12"/>
        <v>0.84252579451269838</v>
      </c>
      <c r="S190" s="1">
        <f t="shared" si="13"/>
        <v>-0.89496036177963834</v>
      </c>
      <c r="T190" s="56">
        <f t="shared" si="14"/>
        <v>0.18921877522109121</v>
      </c>
    </row>
    <row r="191" spans="1:20" x14ac:dyDescent="0.25">
      <c r="A191">
        <v>0.18999292708699356</v>
      </c>
      <c r="B191">
        <v>1.4349188859341666</v>
      </c>
      <c r="D191">
        <v>0.18783741647107743</v>
      </c>
      <c r="E191">
        <v>-0.23874736484685855</v>
      </c>
      <c r="I191">
        <v>2.9253183953250939E-2</v>
      </c>
      <c r="J191">
        <v>15</v>
      </c>
      <c r="K191">
        <v>0.19777795993528949</v>
      </c>
      <c r="L191">
        <v>22.896258408474978</v>
      </c>
      <c r="M191">
        <v>15</v>
      </c>
      <c r="N191">
        <v>0.81262487242383941</v>
      </c>
      <c r="O191">
        <v>76.629355904995748</v>
      </c>
      <c r="P191" s="1">
        <f t="shared" si="10"/>
        <v>3.5544862254810972</v>
      </c>
      <c r="Q191" s="1">
        <f t="shared" si="11"/>
        <v>0.47393149673081297</v>
      </c>
      <c r="R191" s="1">
        <f t="shared" si="12"/>
        <v>0.68842682743397865</v>
      </c>
      <c r="S191" s="1">
        <f t="shared" si="13"/>
        <v>-0.89311875712384969</v>
      </c>
      <c r="T191" s="56">
        <f t="shared" si="14"/>
        <v>0.18970292710402237</v>
      </c>
    </row>
    <row r="192" spans="1:20" x14ac:dyDescent="0.25">
      <c r="A192">
        <v>0.19058306535212022</v>
      </c>
      <c r="B192">
        <v>-1.6485182641190477</v>
      </c>
      <c r="D192">
        <v>0.18950021938971262</v>
      </c>
      <c r="E192">
        <v>1.8991256604294904</v>
      </c>
      <c r="I192">
        <v>0.48782989703937496</v>
      </c>
      <c r="J192">
        <v>15</v>
      </c>
      <c r="K192">
        <v>-0.33404027514431317</v>
      </c>
      <c r="L192">
        <v>5.1801888182495164</v>
      </c>
      <c r="M192">
        <v>15</v>
      </c>
      <c r="N192">
        <v>0.50286007194699778</v>
      </c>
      <c r="O192">
        <v>181.3718208599891</v>
      </c>
      <c r="P192" s="1">
        <f t="shared" si="10"/>
        <v>6.6625717742228074</v>
      </c>
      <c r="Q192" s="1">
        <f t="shared" si="11"/>
        <v>0.88834290322970766</v>
      </c>
      <c r="R192" s="1">
        <f t="shared" si="12"/>
        <v>0.94251944448361791</v>
      </c>
      <c r="S192" s="1">
        <f t="shared" si="13"/>
        <v>-0.88793960908660841</v>
      </c>
      <c r="T192" s="56">
        <f t="shared" si="14"/>
        <v>0.19106880989148156</v>
      </c>
    </row>
    <row r="193" spans="1:20" x14ac:dyDescent="0.25">
      <c r="A193">
        <v>0.19067753024905143</v>
      </c>
      <c r="B193">
        <v>1.8008995539275929</v>
      </c>
      <c r="D193">
        <v>0.18970690495316334</v>
      </c>
      <c r="E193">
        <v>0.71317981223728566</v>
      </c>
      <c r="I193">
        <v>0.56251621046280997</v>
      </c>
      <c r="J193">
        <v>15</v>
      </c>
      <c r="K193">
        <v>-0.19530246693951389</v>
      </c>
      <c r="L193">
        <v>7.3809683247926605</v>
      </c>
      <c r="M193">
        <v>15</v>
      </c>
      <c r="N193">
        <v>0.41243674445468059</v>
      </c>
      <c r="O193">
        <v>91.086796958289327</v>
      </c>
      <c r="P193" s="1">
        <f t="shared" si="10"/>
        <v>3.5167059029672139</v>
      </c>
      <c r="Q193" s="1">
        <f t="shared" si="11"/>
        <v>0.4688941203956285</v>
      </c>
      <c r="R193" s="1">
        <f t="shared" si="12"/>
        <v>0.68475843944826886</v>
      </c>
      <c r="S193" s="1">
        <f t="shared" si="13"/>
        <v>-0.88752350666005497</v>
      </c>
      <c r="T193" s="56">
        <f t="shared" si="14"/>
        <v>0.19117882278134535</v>
      </c>
    </row>
    <row r="194" spans="1:20" x14ac:dyDescent="0.25">
      <c r="A194">
        <v>0.19310887101742535</v>
      </c>
      <c r="B194">
        <v>-3.116438165307045</v>
      </c>
      <c r="D194">
        <v>0.18975249222644752</v>
      </c>
      <c r="E194">
        <v>0.22998915142125043</v>
      </c>
      <c r="I194">
        <v>0.30587956820521656</v>
      </c>
      <c r="J194">
        <v>15</v>
      </c>
      <c r="K194">
        <v>-6.9924681156408042E-2</v>
      </c>
      <c r="L194">
        <v>10.844395921168669</v>
      </c>
      <c r="M194">
        <v>15</v>
      </c>
      <c r="N194">
        <v>0.75667366786547063</v>
      </c>
      <c r="O194">
        <v>172.9928513398134</v>
      </c>
      <c r="P194" s="1">
        <f t="shared" ref="P194:P257" si="15">(L194+O194)/(J194+M194-2)</f>
        <v>6.5656159736065023</v>
      </c>
      <c r="Q194" s="1">
        <f t="shared" ref="Q194:Q257" si="16">P194*(2/15)</f>
        <v>0.8754154631475336</v>
      </c>
      <c r="R194" s="1">
        <f t="shared" ref="R194:R257" si="17">SQRT(Q194)</f>
        <v>0.93563639473223448</v>
      </c>
      <c r="S194" s="1">
        <f t="shared" ref="S194:S257" si="18">(K194-N194)/R194</f>
        <v>-0.88346108988036864</v>
      </c>
      <c r="T194" s="56">
        <f t="shared" ref="T194:T257" si="19">_xlfn.T.DIST(S194,28,TRUE)</f>
        <v>0.19225503121623994</v>
      </c>
    </row>
    <row r="195" spans="1:20" x14ac:dyDescent="0.25">
      <c r="A195">
        <v>0.19347531414792518</v>
      </c>
      <c r="B195">
        <v>0.47200728658935986</v>
      </c>
      <c r="D195">
        <v>0.19296326719802903</v>
      </c>
      <c r="E195">
        <v>-2.8338188292309496</v>
      </c>
      <c r="I195">
        <v>0.18436751784392591</v>
      </c>
      <c r="J195">
        <v>15</v>
      </c>
      <c r="K195">
        <v>6.2899365123788201E-2</v>
      </c>
      <c r="L195">
        <v>17.665998578632326</v>
      </c>
      <c r="M195">
        <v>15</v>
      </c>
      <c r="N195">
        <v>1.0142480243757745</v>
      </c>
      <c r="O195">
        <v>228.00434026213918</v>
      </c>
      <c r="P195" s="1">
        <f t="shared" si="15"/>
        <v>8.7739406728846969</v>
      </c>
      <c r="Q195" s="1">
        <f t="shared" si="16"/>
        <v>1.1698587563846263</v>
      </c>
      <c r="R195" s="1">
        <f t="shared" si="17"/>
        <v>1.0816000907843093</v>
      </c>
      <c r="S195" s="1">
        <f t="shared" si="18"/>
        <v>-0.87957523983021046</v>
      </c>
      <c r="T195" s="56">
        <f t="shared" si="19"/>
        <v>0.19328811241982541</v>
      </c>
    </row>
    <row r="196" spans="1:20" x14ac:dyDescent="0.25">
      <c r="A196">
        <v>0.19460224393097103</v>
      </c>
      <c r="B196">
        <v>0.21668256522389129</v>
      </c>
      <c r="D196">
        <v>0.19308478880745572</v>
      </c>
      <c r="E196">
        <v>-1.510514269966734</v>
      </c>
      <c r="I196">
        <v>5.5259130279324165E-2</v>
      </c>
      <c r="J196">
        <v>15</v>
      </c>
      <c r="K196">
        <v>6.3109079443772016E-3</v>
      </c>
      <c r="L196">
        <v>7.3721766902072856</v>
      </c>
      <c r="M196">
        <v>15</v>
      </c>
      <c r="N196">
        <v>0.77105778132136038</v>
      </c>
      <c r="O196">
        <v>151.71953737922183</v>
      </c>
      <c r="P196" s="1">
        <f t="shared" si="15"/>
        <v>5.68184693105104</v>
      </c>
      <c r="Q196" s="1">
        <f t="shared" si="16"/>
        <v>0.75757959080680537</v>
      </c>
      <c r="R196" s="1">
        <f t="shared" si="17"/>
        <v>0.87039048179929301</v>
      </c>
      <c r="S196" s="1">
        <f t="shared" si="18"/>
        <v>-0.87862504171240396</v>
      </c>
      <c r="T196" s="56">
        <f t="shared" si="19"/>
        <v>0.19354127196298315</v>
      </c>
    </row>
    <row r="197" spans="1:20" x14ac:dyDescent="0.25">
      <c r="A197">
        <v>0.19738781629561064</v>
      </c>
      <c r="B197">
        <v>0.84319253801368177</v>
      </c>
      <c r="D197">
        <v>0.19316558379890203</v>
      </c>
      <c r="E197">
        <v>1.4804465956785862</v>
      </c>
      <c r="I197">
        <v>0.39885565141989532</v>
      </c>
      <c r="J197">
        <v>15</v>
      </c>
      <c r="K197">
        <v>0.16075856971535055</v>
      </c>
      <c r="L197">
        <v>12.432481354874982</v>
      </c>
      <c r="M197">
        <v>15</v>
      </c>
      <c r="N197">
        <v>1.0335329500321677</v>
      </c>
      <c r="O197">
        <v>198.61395220752308</v>
      </c>
      <c r="P197" s="1">
        <f t="shared" si="15"/>
        <v>7.5373726272285024</v>
      </c>
      <c r="Q197" s="1">
        <f t="shared" si="16"/>
        <v>1.0049830169638003</v>
      </c>
      <c r="R197" s="1">
        <f t="shared" si="17"/>
        <v>1.0024884123838043</v>
      </c>
      <c r="S197" s="1">
        <f t="shared" si="18"/>
        <v>-0.87060794871579439</v>
      </c>
      <c r="T197" s="56">
        <f t="shared" si="19"/>
        <v>0.19568573226295577</v>
      </c>
    </row>
    <row r="198" spans="1:20" x14ac:dyDescent="0.25">
      <c r="A198">
        <v>0.19773134611221377</v>
      </c>
      <c r="B198">
        <v>0.5367382982512936</v>
      </c>
      <c r="D198">
        <v>0.19323970186883632</v>
      </c>
      <c r="E198">
        <v>-4.1782657297062542</v>
      </c>
      <c r="I198">
        <v>0.5304648761723002</v>
      </c>
      <c r="J198">
        <v>15</v>
      </c>
      <c r="K198">
        <v>0.10611499116445582</v>
      </c>
      <c r="L198">
        <v>18.594575692750954</v>
      </c>
      <c r="M198">
        <v>15</v>
      </c>
      <c r="N198">
        <v>0.85207920733409992</v>
      </c>
      <c r="O198">
        <v>141.79980951980255</v>
      </c>
      <c r="P198" s="1">
        <f t="shared" si="15"/>
        <v>5.7283709004483399</v>
      </c>
      <c r="Q198" s="1">
        <f t="shared" si="16"/>
        <v>0.76378278672644528</v>
      </c>
      <c r="R198" s="1">
        <f t="shared" si="17"/>
        <v>0.87394667270174176</v>
      </c>
      <c r="S198" s="1">
        <f t="shared" si="18"/>
        <v>-0.85355804818565273</v>
      </c>
      <c r="T198" s="56">
        <f t="shared" si="19"/>
        <v>0.20029666879091901</v>
      </c>
    </row>
    <row r="199" spans="1:20" x14ac:dyDescent="0.25">
      <c r="A199">
        <v>0.19928363350351164</v>
      </c>
      <c r="B199">
        <v>-0.73567434810684063</v>
      </c>
      <c r="D199">
        <v>0.19358376560901569</v>
      </c>
      <c r="E199">
        <v>1.5275368207312567</v>
      </c>
      <c r="I199">
        <v>6.1818282050578599E-2</v>
      </c>
      <c r="J199">
        <v>15</v>
      </c>
      <c r="K199">
        <v>0.36002976836850092</v>
      </c>
      <c r="L199">
        <v>15.095633925398852</v>
      </c>
      <c r="M199">
        <v>15</v>
      </c>
      <c r="N199">
        <v>1.0420108048947441</v>
      </c>
      <c r="O199">
        <v>120.46113930866356</v>
      </c>
      <c r="P199" s="1">
        <f t="shared" si="15"/>
        <v>4.8413133297879432</v>
      </c>
      <c r="Q199" s="1">
        <f t="shared" si="16"/>
        <v>0.6455084439717258</v>
      </c>
      <c r="R199" s="1">
        <f t="shared" si="17"/>
        <v>0.80343540124376256</v>
      </c>
      <c r="S199" s="1">
        <f t="shared" si="18"/>
        <v>-0.84883120095342901</v>
      </c>
      <c r="T199" s="56">
        <f t="shared" si="19"/>
        <v>0.20158708017308391</v>
      </c>
    </row>
    <row r="200" spans="1:20" x14ac:dyDescent="0.25">
      <c r="A200">
        <v>0.19984770227394</v>
      </c>
      <c r="B200">
        <v>-0.44236685425858013</v>
      </c>
      <c r="D200">
        <v>0.19396451041636564</v>
      </c>
      <c r="E200">
        <v>4.5302506316602376</v>
      </c>
      <c r="I200">
        <v>0.98888344906261116</v>
      </c>
      <c r="J200">
        <v>15</v>
      </c>
      <c r="K200">
        <v>-1.5611552347157462E-2</v>
      </c>
      <c r="L200">
        <v>7.8014966307381055</v>
      </c>
      <c r="M200">
        <v>15</v>
      </c>
      <c r="N200">
        <v>0.84482143961395195</v>
      </c>
      <c r="O200">
        <v>209.00203006932642</v>
      </c>
      <c r="P200" s="1">
        <f t="shared" si="15"/>
        <v>7.7429830964308763</v>
      </c>
      <c r="Q200" s="1">
        <f t="shared" si="16"/>
        <v>1.0323977461907834</v>
      </c>
      <c r="R200" s="1">
        <f t="shared" si="17"/>
        <v>1.0160697545891144</v>
      </c>
      <c r="S200" s="1">
        <f t="shared" si="18"/>
        <v>-0.84682472642742679</v>
      </c>
      <c r="T200" s="56">
        <f t="shared" si="19"/>
        <v>0.20213642427666578</v>
      </c>
    </row>
    <row r="201" spans="1:20" x14ac:dyDescent="0.25">
      <c r="A201">
        <v>0.20011201874500129</v>
      </c>
      <c r="B201">
        <v>-0.92600657808361575</v>
      </c>
      <c r="D201">
        <v>0.19575079076604807</v>
      </c>
      <c r="E201">
        <v>2.1380249074809399</v>
      </c>
      <c r="I201">
        <v>0.9955635097842378</v>
      </c>
      <c r="J201">
        <v>15</v>
      </c>
      <c r="K201">
        <v>-5.2149440913732782E-2</v>
      </c>
      <c r="L201">
        <v>7.8275664364976096</v>
      </c>
      <c r="M201">
        <v>15</v>
      </c>
      <c r="N201">
        <v>0.73267574066449015</v>
      </c>
      <c r="O201">
        <v>174.84452738886253</v>
      </c>
      <c r="P201" s="1">
        <f t="shared" si="15"/>
        <v>6.52400335090572</v>
      </c>
      <c r="Q201" s="1">
        <f t="shared" si="16"/>
        <v>0.86986711345409595</v>
      </c>
      <c r="R201" s="1">
        <f t="shared" si="17"/>
        <v>0.93266666792273434</v>
      </c>
      <c r="S201" s="1">
        <f t="shared" si="18"/>
        <v>-0.84148518283194484</v>
      </c>
      <c r="T201" s="56">
        <f t="shared" si="19"/>
        <v>0.20360290955868166</v>
      </c>
    </row>
    <row r="202" spans="1:20" x14ac:dyDescent="0.25">
      <c r="A202">
        <v>0.20284593163095388</v>
      </c>
      <c r="B202">
        <v>-1.4538045434164815</v>
      </c>
      <c r="D202">
        <v>0.19687338504595786</v>
      </c>
      <c r="E202">
        <v>0.72695524636401387</v>
      </c>
      <c r="I202">
        <v>0.73823623179021536</v>
      </c>
      <c r="J202">
        <v>15</v>
      </c>
      <c r="K202">
        <v>-0.24004278505647866</v>
      </c>
      <c r="L202">
        <v>9.8729235394701025</v>
      </c>
      <c r="M202">
        <v>15</v>
      </c>
      <c r="N202">
        <v>0.33951277714550088</v>
      </c>
      <c r="O202">
        <v>90.407771544380125</v>
      </c>
      <c r="P202" s="1">
        <f t="shared" si="15"/>
        <v>3.5814533958517942</v>
      </c>
      <c r="Q202" s="1">
        <f t="shared" si="16"/>
        <v>0.4775271194469059</v>
      </c>
      <c r="R202" s="1">
        <f t="shared" si="17"/>
        <v>0.69103337071874171</v>
      </c>
      <c r="S202" s="1">
        <f t="shared" si="18"/>
        <v>-0.83867955841146369</v>
      </c>
      <c r="T202" s="56">
        <f t="shared" si="19"/>
        <v>0.20437613784929476</v>
      </c>
    </row>
    <row r="203" spans="1:20" x14ac:dyDescent="0.25">
      <c r="A203">
        <v>0.20564753349500398</v>
      </c>
      <c r="B203">
        <v>-0.2317449343536282</v>
      </c>
      <c r="D203">
        <v>0.20086353132713319</v>
      </c>
      <c r="E203">
        <v>-4.6916845838040899</v>
      </c>
      <c r="I203">
        <v>0.33411670346802247</v>
      </c>
      <c r="J203">
        <v>15</v>
      </c>
      <c r="K203">
        <v>7.3991410924160547E-2</v>
      </c>
      <c r="L203">
        <v>15.994248574886857</v>
      </c>
      <c r="M203">
        <v>15</v>
      </c>
      <c r="N203">
        <v>0.69249790271896927</v>
      </c>
      <c r="O203">
        <v>98.223924548943401</v>
      </c>
      <c r="P203" s="1">
        <f t="shared" si="15"/>
        <v>4.0792204687082236</v>
      </c>
      <c r="Q203" s="1">
        <f t="shared" si="16"/>
        <v>0.54389606249442979</v>
      </c>
      <c r="R203" s="1">
        <f t="shared" si="17"/>
        <v>0.73749309318422085</v>
      </c>
      <c r="S203" s="1">
        <f t="shared" si="18"/>
        <v>-0.83866072443380835</v>
      </c>
      <c r="T203" s="56">
        <f t="shared" si="19"/>
        <v>0.20438133470185105</v>
      </c>
    </row>
    <row r="204" spans="1:20" x14ac:dyDescent="0.25">
      <c r="A204">
        <v>0.20615285595002164</v>
      </c>
      <c r="B204">
        <v>0.58563273341860622</v>
      </c>
      <c r="D204">
        <v>0.20122058664224818</v>
      </c>
      <c r="E204">
        <v>4.1888217731411714</v>
      </c>
      <c r="I204">
        <v>0.77628859541058892</v>
      </c>
      <c r="J204">
        <v>15</v>
      </c>
      <c r="K204">
        <v>0.11536129325880513</v>
      </c>
      <c r="L204">
        <v>20.134403412200811</v>
      </c>
      <c r="M204">
        <v>15</v>
      </c>
      <c r="N204">
        <v>0.7163077918903582</v>
      </c>
      <c r="O204">
        <v>91.091930748142744</v>
      </c>
      <c r="P204" s="1">
        <f t="shared" si="15"/>
        <v>3.9723690771551268</v>
      </c>
      <c r="Q204" s="1">
        <f t="shared" si="16"/>
        <v>0.52964921028735024</v>
      </c>
      <c r="R204" s="1">
        <f t="shared" si="17"/>
        <v>0.72777002568623983</v>
      </c>
      <c r="S204" s="1">
        <f t="shared" si="18"/>
        <v>-0.82573680891144086</v>
      </c>
      <c r="T204" s="56">
        <f t="shared" si="19"/>
        <v>0.2079669556100851</v>
      </c>
    </row>
    <row r="205" spans="1:20" x14ac:dyDescent="0.25">
      <c r="A205">
        <v>0.2073514562092702</v>
      </c>
      <c r="B205">
        <v>-1.3327235137694515</v>
      </c>
      <c r="D205">
        <v>0.20167990222395338</v>
      </c>
      <c r="E205">
        <v>-4.0260913499423623</v>
      </c>
      <c r="I205">
        <v>0.86619983924649624</v>
      </c>
      <c r="J205">
        <v>15</v>
      </c>
      <c r="K205">
        <v>0.1512457098821566</v>
      </c>
      <c r="L205">
        <v>14.564306626997794</v>
      </c>
      <c r="M205">
        <v>15</v>
      </c>
      <c r="N205">
        <v>0.69215365897434822</v>
      </c>
      <c r="O205">
        <v>79.321668595291811</v>
      </c>
      <c r="P205" s="1">
        <f t="shared" si="15"/>
        <v>3.3530705436532</v>
      </c>
      <c r="Q205" s="1">
        <f t="shared" si="16"/>
        <v>0.4470760724870933</v>
      </c>
      <c r="R205" s="1">
        <f t="shared" si="17"/>
        <v>0.6686374746356154</v>
      </c>
      <c r="S205" s="1">
        <f t="shared" si="18"/>
        <v>-0.80897043556669934</v>
      </c>
      <c r="T205" s="56">
        <f t="shared" si="19"/>
        <v>0.21267657134861256</v>
      </c>
    </row>
    <row r="206" spans="1:20" x14ac:dyDescent="0.25">
      <c r="A206">
        <v>0.20835004699808735</v>
      </c>
      <c r="B206">
        <v>0.93532662504003383</v>
      </c>
      <c r="D206">
        <v>0.20231823070324029</v>
      </c>
      <c r="E206">
        <v>-4.4828873376445699</v>
      </c>
      <c r="I206">
        <v>0.1617153379856564</v>
      </c>
      <c r="J206">
        <v>15</v>
      </c>
      <c r="K206">
        <v>-8.9160721472580917E-2</v>
      </c>
      <c r="L206">
        <v>19.606127106550886</v>
      </c>
      <c r="M206">
        <v>15</v>
      </c>
      <c r="N206">
        <v>0.6072914368360216</v>
      </c>
      <c r="O206">
        <v>136.61019479757394</v>
      </c>
      <c r="P206" s="1">
        <f t="shared" si="15"/>
        <v>5.5791543537187431</v>
      </c>
      <c r="Q206" s="1">
        <f t="shared" si="16"/>
        <v>0.7438872471624991</v>
      </c>
      <c r="R206" s="1">
        <f t="shared" si="17"/>
        <v>0.86248898379196648</v>
      </c>
      <c r="S206" s="1">
        <f t="shared" si="18"/>
        <v>-0.80749107686758315</v>
      </c>
      <c r="T206" s="56">
        <f t="shared" si="19"/>
        <v>0.21309524889288095</v>
      </c>
    </row>
    <row r="207" spans="1:20" x14ac:dyDescent="0.25">
      <c r="A207">
        <v>0.21010554806941095</v>
      </c>
      <c r="B207">
        <v>-0.6296136234595906</v>
      </c>
      <c r="D207">
        <v>0.20646431787056618</v>
      </c>
      <c r="E207">
        <v>1.0426544997699239</v>
      </c>
      <c r="I207">
        <v>0.75418280195674237</v>
      </c>
      <c r="J207">
        <v>15</v>
      </c>
      <c r="K207">
        <v>0.42340146440740983</v>
      </c>
      <c r="L207">
        <v>9.5985743380008159</v>
      </c>
      <c r="M207">
        <v>15</v>
      </c>
      <c r="N207">
        <v>0.92342065386219474</v>
      </c>
      <c r="O207">
        <v>71.706960015976748</v>
      </c>
      <c r="P207" s="1">
        <f t="shared" si="15"/>
        <v>2.9037690840706274</v>
      </c>
      <c r="Q207" s="1">
        <f t="shared" si="16"/>
        <v>0.387169211209417</v>
      </c>
      <c r="R207" s="1">
        <f t="shared" si="17"/>
        <v>0.62222922722210416</v>
      </c>
      <c r="S207" s="1">
        <f t="shared" si="18"/>
        <v>-0.80359322188557947</v>
      </c>
      <c r="T207" s="56">
        <f t="shared" si="19"/>
        <v>0.21420081678494074</v>
      </c>
    </row>
    <row r="208" spans="1:20" x14ac:dyDescent="0.25">
      <c r="A208">
        <v>0.21053763294907479</v>
      </c>
      <c r="B208">
        <v>1.3769658835371956</v>
      </c>
      <c r="D208">
        <v>0.20800915824117094</v>
      </c>
      <c r="E208">
        <v>3.2577879630935058</v>
      </c>
      <c r="I208">
        <v>0.90620259031561523</v>
      </c>
      <c r="J208">
        <v>15</v>
      </c>
      <c r="K208">
        <v>7.4750687417690642E-2</v>
      </c>
      <c r="L208">
        <v>9.1583942309866071</v>
      </c>
      <c r="M208">
        <v>15</v>
      </c>
      <c r="N208">
        <v>0.75807701819030626</v>
      </c>
      <c r="O208">
        <v>143.32830513434143</v>
      </c>
      <c r="P208" s="1">
        <f t="shared" si="15"/>
        <v>5.4459535487617154</v>
      </c>
      <c r="Q208" s="1">
        <f t="shared" si="16"/>
        <v>0.72612713983489541</v>
      </c>
      <c r="R208" s="1">
        <f t="shared" si="17"/>
        <v>0.85213094054546301</v>
      </c>
      <c r="S208" s="1">
        <f t="shared" si="18"/>
        <v>-0.8019029684982536</v>
      </c>
      <c r="T208" s="56">
        <f t="shared" si="19"/>
        <v>0.21468132347846047</v>
      </c>
    </row>
    <row r="209" spans="1:20" x14ac:dyDescent="0.25">
      <c r="A209">
        <v>0.21193165441172901</v>
      </c>
      <c r="B209">
        <v>-8.2213773566763848E-2</v>
      </c>
      <c r="D209">
        <v>0.20818635131660823</v>
      </c>
      <c r="E209">
        <v>-4.7266910348753299</v>
      </c>
      <c r="I209">
        <v>0.98382584941409967</v>
      </c>
      <c r="J209">
        <v>15</v>
      </c>
      <c r="K209">
        <v>-0.13048641752296439</v>
      </c>
      <c r="L209">
        <v>6.3916362030040519</v>
      </c>
      <c r="M209">
        <v>15</v>
      </c>
      <c r="N209">
        <v>0.50258494979971147</v>
      </c>
      <c r="O209">
        <v>126.50082760689753</v>
      </c>
      <c r="P209" s="1">
        <f t="shared" si="15"/>
        <v>4.7461594217821998</v>
      </c>
      <c r="Q209" s="1">
        <f t="shared" si="16"/>
        <v>0.63282125623762664</v>
      </c>
      <c r="R209" s="1">
        <f t="shared" si="17"/>
        <v>0.79550063245583069</v>
      </c>
      <c r="S209" s="1">
        <f t="shared" si="18"/>
        <v>-0.79581503960378874</v>
      </c>
      <c r="T209" s="56">
        <f t="shared" si="19"/>
        <v>0.21641747054060528</v>
      </c>
    </row>
    <row r="210" spans="1:20" x14ac:dyDescent="0.25">
      <c r="A210">
        <v>0.21802197964779901</v>
      </c>
      <c r="B210">
        <v>0.93248672783374786</v>
      </c>
      <c r="D210">
        <v>0.20914850091075143</v>
      </c>
      <c r="E210">
        <v>-0.32803359658828413</v>
      </c>
      <c r="I210">
        <v>0.84419772675999005</v>
      </c>
      <c r="J210">
        <v>15</v>
      </c>
      <c r="K210">
        <v>-6.6887120434936762E-2</v>
      </c>
      <c r="L210">
        <v>12.170881546726548</v>
      </c>
      <c r="M210">
        <v>15</v>
      </c>
      <c r="N210">
        <v>0.53395751479001774</v>
      </c>
      <c r="O210">
        <v>108.25140285104563</v>
      </c>
      <c r="P210" s="1">
        <f t="shared" si="15"/>
        <v>4.3007958713490062</v>
      </c>
      <c r="Q210" s="1">
        <f t="shared" si="16"/>
        <v>0.57343944951320081</v>
      </c>
      <c r="R210" s="1">
        <f t="shared" si="17"/>
        <v>0.7572578487630226</v>
      </c>
      <c r="S210" s="1">
        <f t="shared" si="18"/>
        <v>-0.79344788067423999</v>
      </c>
      <c r="T210" s="56">
        <f t="shared" si="19"/>
        <v>0.2170948406252905</v>
      </c>
    </row>
    <row r="211" spans="1:20" x14ac:dyDescent="0.25">
      <c r="A211">
        <v>0.21846827869171137</v>
      </c>
      <c r="B211">
        <v>0.55565351431141607</v>
      </c>
      <c r="D211">
        <v>0.20922800195448688</v>
      </c>
      <c r="E211">
        <v>-0.65438758042546397</v>
      </c>
      <c r="I211">
        <v>0.18458001489135711</v>
      </c>
      <c r="J211">
        <v>15</v>
      </c>
      <c r="K211">
        <v>-0.21229190375985732</v>
      </c>
      <c r="L211">
        <v>4.8678418743952641</v>
      </c>
      <c r="M211">
        <v>15</v>
      </c>
      <c r="N211">
        <v>0.66326992623544356</v>
      </c>
      <c r="O211">
        <v>257.85420840966185</v>
      </c>
      <c r="P211" s="1">
        <f t="shared" si="15"/>
        <v>9.382930367287754</v>
      </c>
      <c r="Q211" s="1">
        <f t="shared" si="16"/>
        <v>1.2510573823050339</v>
      </c>
      <c r="R211" s="1">
        <f t="shared" si="17"/>
        <v>1.1185067645325324</v>
      </c>
      <c r="S211" s="1">
        <f t="shared" si="18"/>
        <v>-0.78279529258031111</v>
      </c>
      <c r="T211" s="56">
        <f t="shared" si="19"/>
        <v>0.220159058711281</v>
      </c>
    </row>
    <row r="212" spans="1:20" x14ac:dyDescent="0.25">
      <c r="A212">
        <v>0.21865318363900499</v>
      </c>
      <c r="B212">
        <v>-0.37589870771626011</v>
      </c>
      <c r="D212">
        <v>0.2131404232440709</v>
      </c>
      <c r="E212">
        <v>-3.424822128863525</v>
      </c>
      <c r="I212">
        <v>1.5263303730641775E-2</v>
      </c>
      <c r="J212">
        <v>15</v>
      </c>
      <c r="K212">
        <v>-4.2902001951006241E-2</v>
      </c>
      <c r="L212">
        <v>8.0232898248396598</v>
      </c>
      <c r="M212">
        <v>15</v>
      </c>
      <c r="N212">
        <v>0.55980194360927271</v>
      </c>
      <c r="O212">
        <v>117.1836753802896</v>
      </c>
      <c r="P212" s="1">
        <f t="shared" si="15"/>
        <v>4.471677328754617</v>
      </c>
      <c r="Q212" s="1">
        <f t="shared" si="16"/>
        <v>0.59622364383394888</v>
      </c>
      <c r="R212" s="1">
        <f t="shared" si="17"/>
        <v>0.77215519413777756</v>
      </c>
      <c r="S212" s="1">
        <f t="shared" si="18"/>
        <v>-0.78054768022804621</v>
      </c>
      <c r="T212" s="56">
        <f t="shared" si="19"/>
        <v>0.2208089111925205</v>
      </c>
    </row>
    <row r="213" spans="1:20" x14ac:dyDescent="0.25">
      <c r="A213">
        <v>0.21948123335709901</v>
      </c>
      <c r="B213">
        <v>1.2877853805548511</v>
      </c>
      <c r="D213">
        <v>0.21367588243717117</v>
      </c>
      <c r="E213">
        <v>3.821131255108412</v>
      </c>
      <c r="I213">
        <v>0.90538061590414098</v>
      </c>
      <c r="J213">
        <v>15</v>
      </c>
      <c r="K213">
        <v>-0.1928747982068065</v>
      </c>
      <c r="L213">
        <v>23.062381731000485</v>
      </c>
      <c r="M213">
        <v>15</v>
      </c>
      <c r="N213">
        <v>0.83675399423555064</v>
      </c>
      <c r="O213">
        <v>342.81741703128438</v>
      </c>
      <c r="P213" s="1">
        <f t="shared" si="15"/>
        <v>13.067135670081601</v>
      </c>
      <c r="Q213" s="1">
        <f t="shared" si="16"/>
        <v>1.7422847560108801</v>
      </c>
      <c r="R213" s="1">
        <f t="shared" si="17"/>
        <v>1.3199563462519812</v>
      </c>
      <c r="S213" s="1">
        <f t="shared" si="18"/>
        <v>-0.78004760942738005</v>
      </c>
      <c r="T213" s="56">
        <f t="shared" si="19"/>
        <v>0.2209536540781547</v>
      </c>
    </row>
    <row r="214" spans="1:20" x14ac:dyDescent="0.25">
      <c r="A214">
        <v>0.22133895412766513</v>
      </c>
      <c r="B214">
        <v>-0.47012690629344434</v>
      </c>
      <c r="D214">
        <v>0.21406808906161523</v>
      </c>
      <c r="E214">
        <v>4.7970281650577817</v>
      </c>
      <c r="I214">
        <v>0.30735276125513078</v>
      </c>
      <c r="J214">
        <v>15</v>
      </c>
      <c r="K214">
        <v>-6.9362840804387815E-2</v>
      </c>
      <c r="L214">
        <v>14.01397392044489</v>
      </c>
      <c r="M214">
        <v>15</v>
      </c>
      <c r="N214">
        <v>0.54719407330594549</v>
      </c>
      <c r="O214">
        <v>118.37641474106022</v>
      </c>
      <c r="P214" s="1">
        <f t="shared" si="15"/>
        <v>4.7282281664823254</v>
      </c>
      <c r="Q214" s="1">
        <f t="shared" si="16"/>
        <v>0.63043042219764334</v>
      </c>
      <c r="R214" s="1">
        <f t="shared" si="17"/>
        <v>0.79399648752223284</v>
      </c>
      <c r="S214" s="1">
        <f t="shared" si="18"/>
        <v>-0.7765234781256749</v>
      </c>
      <c r="T214" s="56">
        <f t="shared" si="19"/>
        <v>0.22197531801048681</v>
      </c>
    </row>
    <row r="215" spans="1:20" x14ac:dyDescent="0.25">
      <c r="A215">
        <v>0.2227639937295306</v>
      </c>
      <c r="B215">
        <v>0.40703753256821074</v>
      </c>
      <c r="D215">
        <v>0.21451215592811523</v>
      </c>
      <c r="E215">
        <v>-3.8773002904690657</v>
      </c>
      <c r="I215">
        <v>5.2583453527035529E-2</v>
      </c>
      <c r="J215">
        <v>15</v>
      </c>
      <c r="K215">
        <v>-0.65678553558730834</v>
      </c>
      <c r="L215">
        <v>10.431310776932746</v>
      </c>
      <c r="M215">
        <v>15</v>
      </c>
      <c r="N215">
        <v>-4.3334697465979843E-2</v>
      </c>
      <c r="O215">
        <v>121.58270613238398</v>
      </c>
      <c r="P215" s="1">
        <f t="shared" si="15"/>
        <v>4.7147863181898826</v>
      </c>
      <c r="Q215" s="1">
        <f t="shared" si="16"/>
        <v>0.628638175758651</v>
      </c>
      <c r="R215" s="1">
        <f t="shared" si="17"/>
        <v>0.79286706058370904</v>
      </c>
      <c r="S215" s="1">
        <f t="shared" si="18"/>
        <v>-0.77371209956648435</v>
      </c>
      <c r="T215" s="56">
        <f t="shared" si="19"/>
        <v>0.22279238694025733</v>
      </c>
    </row>
    <row r="216" spans="1:20" x14ac:dyDescent="0.25">
      <c r="A216">
        <v>0.22325146158410636</v>
      </c>
      <c r="B216">
        <v>0.48547690312261693</v>
      </c>
      <c r="D216">
        <v>0.2153252353799161</v>
      </c>
      <c r="E216">
        <v>0.21846130607627856</v>
      </c>
      <c r="I216">
        <v>0.83710048422325878</v>
      </c>
      <c r="J216">
        <v>15</v>
      </c>
      <c r="K216">
        <v>0.28277183143169776</v>
      </c>
      <c r="L216">
        <v>23.128621306040042</v>
      </c>
      <c r="M216">
        <v>15</v>
      </c>
      <c r="N216">
        <v>1.0107983109719498</v>
      </c>
      <c r="O216">
        <v>164.06133755016299</v>
      </c>
      <c r="P216" s="1">
        <f t="shared" si="15"/>
        <v>6.6853556734358222</v>
      </c>
      <c r="Q216" s="1">
        <f t="shared" si="16"/>
        <v>0.89138075645810966</v>
      </c>
      <c r="R216" s="1">
        <f t="shared" si="17"/>
        <v>0.9441296290542468</v>
      </c>
      <c r="S216" s="1">
        <f t="shared" si="18"/>
        <v>-0.7711086032428941</v>
      </c>
      <c r="T216" s="56">
        <f t="shared" si="19"/>
        <v>0.22355064829164417</v>
      </c>
    </row>
    <row r="217" spans="1:20" x14ac:dyDescent="0.25">
      <c r="A217">
        <v>0.22329614034871792</v>
      </c>
      <c r="B217">
        <v>-0.57522129282006063</v>
      </c>
      <c r="D217">
        <v>0.21983971478537723</v>
      </c>
      <c r="E217">
        <v>-1.6042956792716723</v>
      </c>
      <c r="I217">
        <v>0.5059354780250348</v>
      </c>
      <c r="J217">
        <v>15</v>
      </c>
      <c r="K217">
        <v>0.11694108555578471</v>
      </c>
      <c r="L217">
        <v>12.071942333325307</v>
      </c>
      <c r="M217">
        <v>15</v>
      </c>
      <c r="N217">
        <v>0.96758298809618282</v>
      </c>
      <c r="O217">
        <v>248.01276272788962</v>
      </c>
      <c r="P217" s="1">
        <f t="shared" si="15"/>
        <v>9.2887394664719629</v>
      </c>
      <c r="Q217" s="1">
        <f t="shared" si="16"/>
        <v>1.2384985955295951</v>
      </c>
      <c r="R217" s="1">
        <f t="shared" si="17"/>
        <v>1.1128785178668852</v>
      </c>
      <c r="S217" s="1">
        <f t="shared" si="18"/>
        <v>-0.76436186779026849</v>
      </c>
      <c r="T217" s="56">
        <f t="shared" si="19"/>
        <v>0.22552280385231599</v>
      </c>
    </row>
    <row r="218" spans="1:20" x14ac:dyDescent="0.25">
      <c r="A218">
        <v>0.22369825612340422</v>
      </c>
      <c r="B218">
        <v>1.0918233783741016</v>
      </c>
      <c r="D218">
        <v>0.22206895307555896</v>
      </c>
      <c r="E218">
        <v>-2.2745273361124418</v>
      </c>
      <c r="I218">
        <v>0.31633554972580158</v>
      </c>
      <c r="J218">
        <v>15</v>
      </c>
      <c r="K218">
        <v>-8.7241005530813709E-2</v>
      </c>
      <c r="L218">
        <v>7.8798797050098788</v>
      </c>
      <c r="M218">
        <v>15</v>
      </c>
      <c r="N218">
        <v>0.37758377061436477</v>
      </c>
      <c r="O218">
        <v>72.310913851110712</v>
      </c>
      <c r="P218" s="1">
        <f t="shared" si="15"/>
        <v>2.8639569127185927</v>
      </c>
      <c r="Q218" s="1">
        <f t="shared" si="16"/>
        <v>0.38186092169581237</v>
      </c>
      <c r="R218" s="1">
        <f t="shared" si="17"/>
        <v>0.61794896366594254</v>
      </c>
      <c r="S218" s="1">
        <f t="shared" si="18"/>
        <v>-0.75220577017822854</v>
      </c>
      <c r="T218" s="56">
        <f t="shared" si="19"/>
        <v>0.2291022732225349</v>
      </c>
    </row>
    <row r="219" spans="1:20" x14ac:dyDescent="0.25">
      <c r="A219">
        <v>0.2263374998455544</v>
      </c>
      <c r="B219">
        <v>-1.0806456884893123</v>
      </c>
      <c r="D219">
        <v>0.22438767752482414</v>
      </c>
      <c r="E219">
        <v>0.29463035048138408</v>
      </c>
      <c r="I219">
        <v>0.26033033201306466</v>
      </c>
      <c r="J219">
        <v>15</v>
      </c>
      <c r="K219">
        <v>-0.1819410802757678</v>
      </c>
      <c r="L219">
        <v>13.537774177223524</v>
      </c>
      <c r="M219">
        <v>15</v>
      </c>
      <c r="N219">
        <v>0.45793740014232753</v>
      </c>
      <c r="O219">
        <v>139.04513567015391</v>
      </c>
      <c r="P219" s="1">
        <f t="shared" si="15"/>
        <v>5.4493896374063366</v>
      </c>
      <c r="Q219" s="1">
        <f t="shared" si="16"/>
        <v>0.72658528498751151</v>
      </c>
      <c r="R219" s="1">
        <f t="shared" si="17"/>
        <v>0.85239972136757036</v>
      </c>
      <c r="S219" s="1">
        <f t="shared" si="18"/>
        <v>-0.75067889439415714</v>
      </c>
      <c r="T219" s="56">
        <f t="shared" si="19"/>
        <v>0.22955423927726115</v>
      </c>
    </row>
    <row r="220" spans="1:20" x14ac:dyDescent="0.25">
      <c r="A220">
        <v>0.22821496524067453</v>
      </c>
      <c r="B220">
        <v>1.3681346899829805</v>
      </c>
      <c r="D220">
        <v>0.22555971322444401</v>
      </c>
      <c r="E220">
        <v>2.6655227395622205</v>
      </c>
      <c r="I220">
        <v>0.7315254327127394</v>
      </c>
      <c r="J220">
        <v>15</v>
      </c>
      <c r="K220">
        <v>-0.14949705473554786</v>
      </c>
      <c r="L220">
        <v>19.965965240295866</v>
      </c>
      <c r="M220">
        <v>15</v>
      </c>
      <c r="N220">
        <v>0.62979460949463828</v>
      </c>
      <c r="O220">
        <v>206.42029506421468</v>
      </c>
      <c r="P220" s="1">
        <f t="shared" si="15"/>
        <v>8.0852235823039482</v>
      </c>
      <c r="Q220" s="1">
        <f t="shared" si="16"/>
        <v>1.0780298109738597</v>
      </c>
      <c r="R220" s="1">
        <f t="shared" si="17"/>
        <v>1.0382821442044834</v>
      </c>
      <c r="S220" s="1">
        <f t="shared" si="18"/>
        <v>-0.75055866902851154</v>
      </c>
      <c r="T220" s="56">
        <f t="shared" si="19"/>
        <v>0.22958984919329428</v>
      </c>
    </row>
    <row r="221" spans="1:20" x14ac:dyDescent="0.25">
      <c r="A221">
        <v>0.22902162471628329</v>
      </c>
      <c r="B221">
        <v>-0.52968289310229011</v>
      </c>
      <c r="D221">
        <v>0.22732993237132793</v>
      </c>
      <c r="E221">
        <v>-2.0149802855939924</v>
      </c>
      <c r="I221">
        <v>0.56320464421600014</v>
      </c>
      <c r="J221">
        <v>15</v>
      </c>
      <c r="K221">
        <v>-0.12650495288350308</v>
      </c>
      <c r="L221">
        <v>8.1441767922839645</v>
      </c>
      <c r="M221">
        <v>15</v>
      </c>
      <c r="N221">
        <v>0.91764854573739285</v>
      </c>
      <c r="O221">
        <v>399.16250980461308</v>
      </c>
      <c r="P221" s="1">
        <f t="shared" si="15"/>
        <v>14.54666737846061</v>
      </c>
      <c r="Q221" s="1">
        <f t="shared" si="16"/>
        <v>1.9395556504614146</v>
      </c>
      <c r="R221" s="1">
        <f t="shared" si="17"/>
        <v>1.3926793063951997</v>
      </c>
      <c r="S221" s="1">
        <f t="shared" si="18"/>
        <v>-0.74974439113594271</v>
      </c>
      <c r="T221" s="56">
        <f t="shared" si="19"/>
        <v>0.22983111850396792</v>
      </c>
    </row>
    <row r="222" spans="1:20" x14ac:dyDescent="0.25">
      <c r="A222">
        <v>0.22934274907773611</v>
      </c>
      <c r="B222">
        <v>-0.37819972931174561</v>
      </c>
      <c r="D222">
        <v>0.22800416555931036</v>
      </c>
      <c r="E222">
        <v>-3.1834331400659721</v>
      </c>
      <c r="I222">
        <v>0.16372123547819228</v>
      </c>
      <c r="J222">
        <v>15</v>
      </c>
      <c r="K222">
        <v>3.891652037661212E-2</v>
      </c>
      <c r="L222">
        <v>13.617947487146619</v>
      </c>
      <c r="M222">
        <v>15</v>
      </c>
      <c r="N222">
        <v>0.60165620766383654</v>
      </c>
      <c r="O222">
        <v>105.66910658414399</v>
      </c>
      <c r="P222" s="1">
        <f t="shared" si="15"/>
        <v>4.260251931117522</v>
      </c>
      <c r="Q222" s="1">
        <f t="shared" si="16"/>
        <v>0.56803359081566962</v>
      </c>
      <c r="R222" s="1">
        <f t="shared" si="17"/>
        <v>0.75368003211951262</v>
      </c>
      <c r="S222" s="1">
        <f t="shared" si="18"/>
        <v>-0.7466559591670191</v>
      </c>
      <c r="T222" s="56">
        <f t="shared" si="19"/>
        <v>0.23074757544757196</v>
      </c>
    </row>
    <row r="223" spans="1:20" x14ac:dyDescent="0.25">
      <c r="A223">
        <v>0.22970991589087486</v>
      </c>
      <c r="B223">
        <v>-1.0308281161997002</v>
      </c>
      <c r="D223">
        <v>0.22815723738215565</v>
      </c>
      <c r="E223">
        <v>-0.27600481530498655</v>
      </c>
      <c r="I223">
        <v>0.10705833453056612</v>
      </c>
      <c r="J223">
        <v>15</v>
      </c>
      <c r="K223">
        <v>3.3261888650789238E-2</v>
      </c>
      <c r="L223">
        <v>13.774402371345735</v>
      </c>
      <c r="M223">
        <v>15</v>
      </c>
      <c r="N223">
        <v>0.92040818003624736</v>
      </c>
      <c r="O223">
        <v>284.17944781451632</v>
      </c>
      <c r="P223" s="1">
        <f t="shared" si="15"/>
        <v>10.64120893520936</v>
      </c>
      <c r="Q223" s="1">
        <f t="shared" si="16"/>
        <v>1.4188278580279146</v>
      </c>
      <c r="R223" s="1">
        <f t="shared" si="17"/>
        <v>1.1911456073998319</v>
      </c>
      <c r="S223" s="1">
        <f t="shared" si="18"/>
        <v>-0.74478408506414417</v>
      </c>
      <c r="T223" s="56">
        <f t="shared" si="19"/>
        <v>0.23130407872072811</v>
      </c>
    </row>
    <row r="224" spans="1:20" x14ac:dyDescent="0.25">
      <c r="A224">
        <v>0.23020578387824875</v>
      </c>
      <c r="B224">
        <v>0.54959400586085394</v>
      </c>
      <c r="D224">
        <v>0.23003404909551151</v>
      </c>
      <c r="E224">
        <v>-3.9151784710611537</v>
      </c>
      <c r="I224">
        <v>0.7890952500704782</v>
      </c>
      <c r="J224">
        <v>15</v>
      </c>
      <c r="K224">
        <v>-0.13786893759970553</v>
      </c>
      <c r="L224">
        <v>12.67788182446551</v>
      </c>
      <c r="M224">
        <v>15</v>
      </c>
      <c r="N224">
        <v>0.37914787412773876</v>
      </c>
      <c r="O224">
        <v>88.835387544559666</v>
      </c>
      <c r="P224" s="1">
        <f t="shared" si="15"/>
        <v>3.6254739060366137</v>
      </c>
      <c r="Q224" s="1">
        <f t="shared" si="16"/>
        <v>0.48339652080488182</v>
      </c>
      <c r="R224" s="1">
        <f t="shared" si="17"/>
        <v>0.69526722977922795</v>
      </c>
      <c r="S224" s="1">
        <f t="shared" si="18"/>
        <v>-0.74362315608002338</v>
      </c>
      <c r="T224" s="56">
        <f t="shared" si="19"/>
        <v>0.23164961607898066</v>
      </c>
    </row>
    <row r="225" spans="1:20" x14ac:dyDescent="0.25">
      <c r="A225">
        <v>0.23077562545615549</v>
      </c>
      <c r="B225">
        <v>-1.1745351002900861</v>
      </c>
      <c r="D225">
        <v>0.23051136270735295</v>
      </c>
      <c r="E225">
        <v>0.51281017135806906</v>
      </c>
      <c r="I225">
        <v>0.20487627364886329</v>
      </c>
      <c r="J225">
        <v>15</v>
      </c>
      <c r="K225">
        <v>-1.5264352744755646E-2</v>
      </c>
      <c r="L225">
        <v>17.465902008537675</v>
      </c>
      <c r="M225">
        <v>15</v>
      </c>
      <c r="N225">
        <v>0.50878884053418005</v>
      </c>
      <c r="O225">
        <v>89.498059423439713</v>
      </c>
      <c r="P225" s="1">
        <f t="shared" si="15"/>
        <v>3.8201414797134783</v>
      </c>
      <c r="Q225" s="1">
        <f t="shared" si="16"/>
        <v>0.50935219729513048</v>
      </c>
      <c r="R225" s="1">
        <f t="shared" si="17"/>
        <v>0.71368914612394829</v>
      </c>
      <c r="S225" s="1">
        <f t="shared" si="18"/>
        <v>-0.73428774435631117</v>
      </c>
      <c r="T225" s="56">
        <f t="shared" si="19"/>
        <v>0.23443919774265715</v>
      </c>
    </row>
    <row r="226" spans="1:20" x14ac:dyDescent="0.25">
      <c r="A226">
        <v>0.23089273823980283</v>
      </c>
      <c r="B226">
        <v>-5.4226347856456414E-2</v>
      </c>
      <c r="D226">
        <v>0.23365189975935818</v>
      </c>
      <c r="E226">
        <v>0.58592672417034919</v>
      </c>
      <c r="I226">
        <v>7.7848391077353196E-2</v>
      </c>
      <c r="J226">
        <v>15</v>
      </c>
      <c r="K226">
        <v>0.28636009119509254</v>
      </c>
      <c r="L226">
        <v>13.325080408327988</v>
      </c>
      <c r="M226">
        <v>15</v>
      </c>
      <c r="N226">
        <v>0.86792692513881775</v>
      </c>
      <c r="O226">
        <v>118.97245455427199</v>
      </c>
      <c r="P226" s="1">
        <f t="shared" si="15"/>
        <v>4.7249119629499985</v>
      </c>
      <c r="Q226" s="1">
        <f t="shared" si="16"/>
        <v>0.62998826172666644</v>
      </c>
      <c r="R226" s="1">
        <f t="shared" si="17"/>
        <v>0.79371799886777572</v>
      </c>
      <c r="S226" s="1">
        <f t="shared" si="18"/>
        <v>-0.73271216574818732</v>
      </c>
      <c r="T226" s="56">
        <f t="shared" si="19"/>
        <v>0.23491193370121793</v>
      </c>
    </row>
    <row r="227" spans="1:20" x14ac:dyDescent="0.25">
      <c r="A227">
        <v>0.23299702851806747</v>
      </c>
      <c r="B227">
        <v>-0.2545948518672958</v>
      </c>
      <c r="D227">
        <v>0.23628068342760711</v>
      </c>
      <c r="E227">
        <v>3.2324880942269374</v>
      </c>
      <c r="I227">
        <v>0.70806918394508234</v>
      </c>
      <c r="J227">
        <v>15</v>
      </c>
      <c r="K227">
        <v>-0.4928934534594494</v>
      </c>
      <c r="L227">
        <v>10.621924120152354</v>
      </c>
      <c r="M227">
        <v>15</v>
      </c>
      <c r="N227">
        <v>0.18961076989398862</v>
      </c>
      <c r="O227">
        <v>172.55820458937166</v>
      </c>
      <c r="P227" s="1">
        <f t="shared" si="15"/>
        <v>6.5421474539115723</v>
      </c>
      <c r="Q227" s="1">
        <f t="shared" si="16"/>
        <v>0.87228632718820964</v>
      </c>
      <c r="R227" s="1">
        <f t="shared" si="17"/>
        <v>0.93396270117612812</v>
      </c>
      <c r="S227" s="1">
        <f t="shared" si="18"/>
        <v>-0.73076175578957114</v>
      </c>
      <c r="T227" s="56">
        <f t="shared" si="19"/>
        <v>0.2354979025110413</v>
      </c>
    </row>
    <row r="228" spans="1:20" x14ac:dyDescent="0.25">
      <c r="A228">
        <v>0.23399828328732397</v>
      </c>
      <c r="B228">
        <v>-1.1515180631249677</v>
      </c>
      <c r="D228">
        <v>0.23903588839010514</v>
      </c>
      <c r="E228">
        <v>-3.9905675066620461E-2</v>
      </c>
      <c r="I228">
        <v>0.8296846984198607</v>
      </c>
      <c r="J228">
        <v>15</v>
      </c>
      <c r="K228">
        <v>-0.21214653619002397</v>
      </c>
      <c r="L228">
        <v>15.662631041179601</v>
      </c>
      <c r="M228">
        <v>15</v>
      </c>
      <c r="N228">
        <v>0.22862286300551204</v>
      </c>
      <c r="O228">
        <v>62.745941358151178</v>
      </c>
      <c r="P228" s="1">
        <f t="shared" si="15"/>
        <v>2.8003061571189565</v>
      </c>
      <c r="Q228" s="1">
        <f t="shared" si="16"/>
        <v>0.37337415428252752</v>
      </c>
      <c r="R228" s="1">
        <f t="shared" si="17"/>
        <v>0.61104349622799159</v>
      </c>
      <c r="S228" s="1">
        <f t="shared" si="18"/>
        <v>-0.72133882762263601</v>
      </c>
      <c r="T228" s="56">
        <f t="shared" si="19"/>
        <v>0.23834081518064332</v>
      </c>
    </row>
    <row r="229" spans="1:20" x14ac:dyDescent="0.25">
      <c r="A229">
        <v>0.23423199037156928</v>
      </c>
      <c r="B229">
        <v>-0.49860091166920029</v>
      </c>
      <c r="D229">
        <v>0.24047223147327723</v>
      </c>
      <c r="E229">
        <v>-2.9709797252053249</v>
      </c>
      <c r="I229">
        <v>0.78436293031648519</v>
      </c>
      <c r="J229">
        <v>15</v>
      </c>
      <c r="K229">
        <v>-0.25548138182784896</v>
      </c>
      <c r="L229">
        <v>10.11236036917065</v>
      </c>
      <c r="M229">
        <v>15</v>
      </c>
      <c r="N229">
        <v>0.35097331988254155</v>
      </c>
      <c r="O229">
        <v>142.05234243083279</v>
      </c>
      <c r="P229" s="1">
        <f t="shared" si="15"/>
        <v>5.4344536714286944</v>
      </c>
      <c r="Q229" s="1">
        <f t="shared" si="16"/>
        <v>0.72459382285715923</v>
      </c>
      <c r="R229" s="1">
        <f t="shared" si="17"/>
        <v>0.85123076944924825</v>
      </c>
      <c r="S229" s="1">
        <f t="shared" si="18"/>
        <v>-0.71244452559294891</v>
      </c>
      <c r="T229" s="56">
        <f t="shared" si="19"/>
        <v>0.2410423308183417</v>
      </c>
    </row>
    <row r="230" spans="1:20" x14ac:dyDescent="0.25">
      <c r="A230">
        <v>0.23437547550454119</v>
      </c>
      <c r="B230">
        <v>-1.3069529813947156</v>
      </c>
      <c r="D230">
        <v>0.24475225175149307</v>
      </c>
      <c r="E230">
        <v>3.668540781518459</v>
      </c>
      <c r="I230">
        <v>0.2358185010128917</v>
      </c>
      <c r="J230">
        <v>15</v>
      </c>
      <c r="K230">
        <v>3.8083423229788117E-2</v>
      </c>
      <c r="L230">
        <v>24.437969053129446</v>
      </c>
      <c r="M230">
        <v>15</v>
      </c>
      <c r="N230">
        <v>0.65202311475331953</v>
      </c>
      <c r="O230">
        <v>137.99710378978895</v>
      </c>
      <c r="P230" s="1">
        <f t="shared" si="15"/>
        <v>5.8012526015328003</v>
      </c>
      <c r="Q230" s="1">
        <f t="shared" si="16"/>
        <v>0.77350034687104008</v>
      </c>
      <c r="R230" s="1">
        <f t="shared" si="17"/>
        <v>0.8794886849022221</v>
      </c>
      <c r="S230" s="1">
        <f t="shared" si="18"/>
        <v>-0.69806434359276237</v>
      </c>
      <c r="T230" s="56">
        <f t="shared" si="19"/>
        <v>0.24544701696960913</v>
      </c>
    </row>
    <row r="231" spans="1:20" x14ac:dyDescent="0.25">
      <c r="A231">
        <v>0.23608605967718743</v>
      </c>
      <c r="B231">
        <v>0.21699634089600295</v>
      </c>
      <c r="D231">
        <v>0.24624201037370175</v>
      </c>
      <c r="E231">
        <v>-2.3165937398061942</v>
      </c>
      <c r="I231">
        <v>0.48870834173715283</v>
      </c>
      <c r="J231">
        <v>15</v>
      </c>
      <c r="K231">
        <v>0.27934849337422446</v>
      </c>
      <c r="L231">
        <v>10.530466957082067</v>
      </c>
      <c r="M231">
        <v>15</v>
      </c>
      <c r="N231">
        <v>0.88968226577890164</v>
      </c>
      <c r="O231">
        <v>150.15893516631257</v>
      </c>
      <c r="P231" s="1">
        <f t="shared" si="15"/>
        <v>5.738907218692666</v>
      </c>
      <c r="Q231" s="1">
        <f t="shared" si="16"/>
        <v>0.76518762915902216</v>
      </c>
      <c r="R231" s="1">
        <f t="shared" si="17"/>
        <v>0.87475003810175522</v>
      </c>
      <c r="S231" s="1">
        <f t="shared" si="18"/>
        <v>-0.69772363054607844</v>
      </c>
      <c r="T231" s="56">
        <f t="shared" si="19"/>
        <v>0.24555192861978387</v>
      </c>
    </row>
    <row r="232" spans="1:20" x14ac:dyDescent="0.25">
      <c r="A232">
        <v>0.2363705362362426</v>
      </c>
      <c r="B232">
        <v>1.8502851162338629</v>
      </c>
      <c r="D232">
        <v>0.24735148385279127</v>
      </c>
      <c r="E232">
        <v>2.1012381205309794</v>
      </c>
      <c r="I232">
        <v>0.26975370342070226</v>
      </c>
      <c r="J232">
        <v>15</v>
      </c>
      <c r="K232">
        <v>0.23405315611550273</v>
      </c>
      <c r="L232">
        <v>5.8672409814483242</v>
      </c>
      <c r="M232">
        <v>15</v>
      </c>
      <c r="N232">
        <v>0.80507924963058031</v>
      </c>
      <c r="O232">
        <v>135.62728746677044</v>
      </c>
      <c r="P232" s="1">
        <f t="shared" si="15"/>
        <v>5.0533760160078129</v>
      </c>
      <c r="Q232" s="1">
        <f t="shared" si="16"/>
        <v>0.67378346880104167</v>
      </c>
      <c r="R232" s="1">
        <f t="shared" si="17"/>
        <v>0.82084314506551226</v>
      </c>
      <c r="S232" s="1">
        <f t="shared" si="18"/>
        <v>-0.69565799135656237</v>
      </c>
      <c r="T232" s="56">
        <f t="shared" si="19"/>
        <v>0.24618851935293889</v>
      </c>
    </row>
    <row r="233" spans="1:20" x14ac:dyDescent="0.25">
      <c r="A233">
        <v>0.236507381923732</v>
      </c>
      <c r="B233">
        <v>1.4117449609329924</v>
      </c>
      <c r="D233">
        <v>0.24836536339350324</v>
      </c>
      <c r="E233">
        <v>2.2718297680057731</v>
      </c>
      <c r="I233">
        <v>0.21431827890667232</v>
      </c>
      <c r="J233">
        <v>15</v>
      </c>
      <c r="K233">
        <v>0.26549613115397125</v>
      </c>
      <c r="L233">
        <v>19.026386860320802</v>
      </c>
      <c r="M233">
        <v>15</v>
      </c>
      <c r="N233">
        <v>0.74904732741742919</v>
      </c>
      <c r="O233">
        <v>83.645769926393442</v>
      </c>
      <c r="P233" s="1">
        <f t="shared" si="15"/>
        <v>3.6668627423826514</v>
      </c>
      <c r="Q233" s="1">
        <f t="shared" si="16"/>
        <v>0.48891503231768685</v>
      </c>
      <c r="R233" s="1">
        <f t="shared" si="17"/>
        <v>0.69922459361616196</v>
      </c>
      <c r="S233" s="1">
        <f t="shared" si="18"/>
        <v>-0.69155347320192007</v>
      </c>
      <c r="T233" s="56">
        <f t="shared" si="19"/>
        <v>0.2474562185003264</v>
      </c>
    </row>
    <row r="234" spans="1:20" x14ac:dyDescent="0.25">
      <c r="A234">
        <v>0.23671509002618607</v>
      </c>
      <c r="B234">
        <v>-6.5184622144442983E-2</v>
      </c>
      <c r="D234">
        <v>0.24892568368567403</v>
      </c>
      <c r="E234">
        <v>-8.8974109110040445</v>
      </c>
      <c r="I234">
        <v>0.30843975407771917</v>
      </c>
      <c r="J234">
        <v>15</v>
      </c>
      <c r="K234">
        <v>0.16881161476097381</v>
      </c>
      <c r="L234">
        <v>6.3609830142997694</v>
      </c>
      <c r="M234">
        <v>15</v>
      </c>
      <c r="N234">
        <v>0.77315575822467508</v>
      </c>
      <c r="O234">
        <v>154.30986160758636</v>
      </c>
      <c r="P234" s="1">
        <f t="shared" si="15"/>
        <v>5.7382444507816475</v>
      </c>
      <c r="Q234" s="1">
        <f t="shared" si="16"/>
        <v>0.76509926010421969</v>
      </c>
      <c r="R234" s="1">
        <f t="shared" si="17"/>
        <v>0.87469952561106357</v>
      </c>
      <c r="S234" s="1">
        <f t="shared" si="18"/>
        <v>-0.69091628126985372</v>
      </c>
      <c r="T234" s="56">
        <f t="shared" si="19"/>
        <v>0.24765334745153977</v>
      </c>
    </row>
    <row r="235" spans="1:20" x14ac:dyDescent="0.25">
      <c r="A235">
        <v>0.23691575620555327</v>
      </c>
      <c r="B235">
        <v>0.32545813155593351</v>
      </c>
      <c r="D235">
        <v>0.25097529558882237</v>
      </c>
      <c r="E235">
        <v>3.2270379472265631</v>
      </c>
      <c r="I235">
        <v>0.61636015630336527</v>
      </c>
      <c r="J235">
        <v>15</v>
      </c>
      <c r="K235">
        <v>-0.19500870015084124</v>
      </c>
      <c r="L235">
        <v>9.389751342290273</v>
      </c>
      <c r="M235">
        <v>15</v>
      </c>
      <c r="N235">
        <v>0.35151469660377188</v>
      </c>
      <c r="O235">
        <v>123.66369543377475</v>
      </c>
      <c r="P235" s="1">
        <f t="shared" si="15"/>
        <v>4.7519088134308936</v>
      </c>
      <c r="Q235" s="1">
        <f t="shared" si="16"/>
        <v>0.63358784179078576</v>
      </c>
      <c r="R235" s="1">
        <f t="shared" si="17"/>
        <v>0.79598231248614171</v>
      </c>
      <c r="S235" s="1">
        <f t="shared" si="18"/>
        <v>-0.68660243849844127</v>
      </c>
      <c r="T235" s="56">
        <f t="shared" si="19"/>
        <v>0.2489902500249086</v>
      </c>
    </row>
    <row r="236" spans="1:20" x14ac:dyDescent="0.25">
      <c r="A236">
        <v>0.2377938662407143</v>
      </c>
      <c r="B236">
        <v>0.71497652243124321</v>
      </c>
      <c r="D236">
        <v>0.25238186114335581</v>
      </c>
      <c r="E236">
        <v>-4.6647135184230137</v>
      </c>
      <c r="I236">
        <v>0.7394612853349315</v>
      </c>
      <c r="J236">
        <v>15</v>
      </c>
      <c r="K236">
        <v>-0.24799472460775482</v>
      </c>
      <c r="L236">
        <v>6.7923002457526813</v>
      </c>
      <c r="M236">
        <v>15</v>
      </c>
      <c r="N236">
        <v>0.64804930502759817</v>
      </c>
      <c r="O236">
        <v>352.31524959839663</v>
      </c>
      <c r="P236" s="1">
        <f t="shared" si="15"/>
        <v>12.825269637291047</v>
      </c>
      <c r="Q236" s="1">
        <f t="shared" si="16"/>
        <v>1.7100359516388062</v>
      </c>
      <c r="R236" s="1">
        <f t="shared" si="17"/>
        <v>1.3076834294426178</v>
      </c>
      <c r="S236" s="1">
        <f t="shared" si="18"/>
        <v>-0.68521479240375438</v>
      </c>
      <c r="T236" s="56">
        <f t="shared" si="19"/>
        <v>0.24942115453879393</v>
      </c>
    </row>
    <row r="237" spans="1:20" x14ac:dyDescent="0.25">
      <c r="A237">
        <v>0.23779476558024593</v>
      </c>
      <c r="B237">
        <v>-0.64828554968698882</v>
      </c>
      <c r="D237">
        <v>0.25326116175350977</v>
      </c>
      <c r="E237">
        <v>-4.0670800024145137</v>
      </c>
      <c r="I237">
        <v>0.50882201241934799</v>
      </c>
      <c r="J237">
        <v>15</v>
      </c>
      <c r="K237">
        <v>-0.18549667402112391</v>
      </c>
      <c r="L237">
        <v>17.123336966459892</v>
      </c>
      <c r="M237">
        <v>15</v>
      </c>
      <c r="N237">
        <v>0.51737583476096916</v>
      </c>
      <c r="O237">
        <v>203.99479355186307</v>
      </c>
      <c r="P237" s="1">
        <f t="shared" si="15"/>
        <v>7.8970760899401062</v>
      </c>
      <c r="Q237" s="1">
        <f t="shared" si="16"/>
        <v>1.0529434786586809</v>
      </c>
      <c r="R237" s="1">
        <f t="shared" si="17"/>
        <v>1.026130341944278</v>
      </c>
      <c r="S237" s="1">
        <f t="shared" si="18"/>
        <v>-0.6849739063853364</v>
      </c>
      <c r="T237" s="56">
        <f t="shared" si="19"/>
        <v>0.24949599920642734</v>
      </c>
    </row>
    <row r="238" spans="1:20" x14ac:dyDescent="0.25">
      <c r="A238">
        <v>0.23802379743985813</v>
      </c>
      <c r="B238">
        <v>0.36802930480916984</v>
      </c>
      <c r="D238">
        <v>0.2547724715344003</v>
      </c>
      <c r="E238">
        <v>1.9056672010719922</v>
      </c>
      <c r="I238">
        <v>0.54634168694729479</v>
      </c>
      <c r="J238">
        <v>15</v>
      </c>
      <c r="K238">
        <v>4.221343867053899E-3</v>
      </c>
      <c r="L238">
        <v>9.1848846914091844</v>
      </c>
      <c r="M238">
        <v>15</v>
      </c>
      <c r="N238">
        <v>0.42483247511881927</v>
      </c>
      <c r="O238">
        <v>70.136260128653689</v>
      </c>
      <c r="P238" s="1">
        <f t="shared" si="15"/>
        <v>2.8328980292879598</v>
      </c>
      <c r="Q238" s="1">
        <f t="shared" si="16"/>
        <v>0.37771973723839464</v>
      </c>
      <c r="R238" s="1">
        <f t="shared" si="17"/>
        <v>0.6145890799862902</v>
      </c>
      <c r="S238" s="1">
        <f t="shared" si="18"/>
        <v>-0.6843778142969088</v>
      </c>
      <c r="T238" s="56">
        <f t="shared" si="19"/>
        <v>0.24968126251829631</v>
      </c>
    </row>
    <row r="239" spans="1:20" x14ac:dyDescent="0.25">
      <c r="A239">
        <v>0.23821980550712718</v>
      </c>
      <c r="B239">
        <v>-0.79085339166340418</v>
      </c>
      <c r="D239">
        <v>0.25493594235349892</v>
      </c>
      <c r="E239">
        <v>-0.19531671910044679</v>
      </c>
      <c r="I239">
        <v>0.97400736981526936</v>
      </c>
      <c r="J239">
        <v>15</v>
      </c>
      <c r="K239">
        <v>0.34331568106911919</v>
      </c>
      <c r="L239">
        <v>12.743783322958592</v>
      </c>
      <c r="M239">
        <v>15</v>
      </c>
      <c r="N239">
        <v>0.82651740399342088</v>
      </c>
      <c r="O239">
        <v>92.44759858540607</v>
      </c>
      <c r="P239" s="1">
        <f t="shared" si="15"/>
        <v>3.7568350681558806</v>
      </c>
      <c r="Q239" s="1">
        <f t="shared" si="16"/>
        <v>0.50091134242078406</v>
      </c>
      <c r="R239" s="1">
        <f t="shared" si="17"/>
        <v>0.70775090421756726</v>
      </c>
      <c r="S239" s="1">
        <f t="shared" si="18"/>
        <v>-0.68272851372544818</v>
      </c>
      <c r="T239" s="56">
        <f t="shared" si="19"/>
        <v>0.25019426049023658</v>
      </c>
    </row>
    <row r="240" spans="1:20" x14ac:dyDescent="0.25">
      <c r="A240">
        <v>0.2385273636467804</v>
      </c>
      <c r="B240">
        <v>-0.89749164544628002</v>
      </c>
      <c r="D240">
        <v>0.2550540834650562</v>
      </c>
      <c r="E240">
        <v>5.9267160816034448</v>
      </c>
      <c r="I240">
        <v>0.49737448694762232</v>
      </c>
      <c r="J240">
        <v>15</v>
      </c>
      <c r="K240">
        <v>0.16136399002183074</v>
      </c>
      <c r="L240">
        <v>13.17463754133645</v>
      </c>
      <c r="M240">
        <v>15</v>
      </c>
      <c r="N240">
        <v>0.78920333749010751</v>
      </c>
      <c r="O240">
        <v>169.09260981689943</v>
      </c>
      <c r="P240" s="1">
        <f t="shared" si="15"/>
        <v>6.5095445485084236</v>
      </c>
      <c r="Q240" s="1">
        <f t="shared" si="16"/>
        <v>0.86793927313445651</v>
      </c>
      <c r="R240" s="1">
        <f t="shared" si="17"/>
        <v>0.93163258483935418</v>
      </c>
      <c r="S240" s="1">
        <f t="shared" si="18"/>
        <v>-0.67391304006024866</v>
      </c>
      <c r="T240" s="56">
        <f t="shared" si="19"/>
        <v>0.25294619006545993</v>
      </c>
    </row>
    <row r="241" spans="1:20" x14ac:dyDescent="0.25">
      <c r="A241">
        <v>0.2408441280039354</v>
      </c>
      <c r="B241">
        <v>-2.3531174520030618</v>
      </c>
      <c r="D241">
        <v>0.25514219884966616</v>
      </c>
      <c r="E241">
        <v>2.4438129423742794</v>
      </c>
      <c r="I241">
        <v>1.9695954151619954E-2</v>
      </c>
      <c r="J241">
        <v>15</v>
      </c>
      <c r="K241">
        <v>-0.17500011987673739</v>
      </c>
      <c r="L241">
        <v>20.094966461586097</v>
      </c>
      <c r="M241">
        <v>15</v>
      </c>
      <c r="N241">
        <v>0.40246095181828423</v>
      </c>
      <c r="O241">
        <v>136.09530738151309</v>
      </c>
      <c r="P241" s="1">
        <f t="shared" si="15"/>
        <v>5.5782240658249709</v>
      </c>
      <c r="Q241" s="1">
        <f t="shared" si="16"/>
        <v>0.7437632087766628</v>
      </c>
      <c r="R241" s="1">
        <f t="shared" si="17"/>
        <v>0.86241707356514152</v>
      </c>
      <c r="S241" s="1">
        <f t="shared" si="18"/>
        <v>-0.66958446138810568</v>
      </c>
      <c r="T241" s="56">
        <f t="shared" si="19"/>
        <v>0.25430356883739763</v>
      </c>
    </row>
    <row r="242" spans="1:20" x14ac:dyDescent="0.25">
      <c r="A242">
        <v>0.24406568564949482</v>
      </c>
      <c r="B242">
        <v>-0.69877160058240406</v>
      </c>
      <c r="D242">
        <v>0.25696347682508858</v>
      </c>
      <c r="E242">
        <v>-0.78390189969468338</v>
      </c>
      <c r="I242">
        <v>0.78356140586659351</v>
      </c>
      <c r="J242">
        <v>15</v>
      </c>
      <c r="K242">
        <v>-9.8264157107526742E-2</v>
      </c>
      <c r="L242">
        <v>3.9234317108919559</v>
      </c>
      <c r="M242">
        <v>15</v>
      </c>
      <c r="N242">
        <v>0.40240842849925684</v>
      </c>
      <c r="O242">
        <v>115.04902027461787</v>
      </c>
      <c r="P242" s="1">
        <f t="shared" si="15"/>
        <v>4.2490161423396371</v>
      </c>
      <c r="Q242" s="1">
        <f t="shared" si="16"/>
        <v>0.56653548564528489</v>
      </c>
      <c r="R242" s="1">
        <f t="shared" si="17"/>
        <v>0.75268551576690046</v>
      </c>
      <c r="S242" s="1">
        <f t="shared" si="18"/>
        <v>-0.66518163976711508</v>
      </c>
      <c r="T242" s="56">
        <f t="shared" si="19"/>
        <v>0.2556883493231551</v>
      </c>
    </row>
    <row r="243" spans="1:20" x14ac:dyDescent="0.25">
      <c r="A243">
        <v>0.24634751156642754</v>
      </c>
      <c r="B243">
        <v>-1.8348328012507409</v>
      </c>
      <c r="D243">
        <v>0.25762581049972988</v>
      </c>
      <c r="E243">
        <v>-0.29280204557835532</v>
      </c>
      <c r="I243">
        <v>0.38743838732991476</v>
      </c>
      <c r="J243">
        <v>15</v>
      </c>
      <c r="K243">
        <v>0.1289086715890638</v>
      </c>
      <c r="L243">
        <v>9.7134836921702128</v>
      </c>
      <c r="M243">
        <v>15</v>
      </c>
      <c r="N243">
        <v>0.59176863601351215</v>
      </c>
      <c r="O243">
        <v>92.987242402411908</v>
      </c>
      <c r="P243" s="1">
        <f t="shared" si="15"/>
        <v>3.6678830748065043</v>
      </c>
      <c r="Q243" s="1">
        <f t="shared" si="16"/>
        <v>0.48905107664086722</v>
      </c>
      <c r="R243" s="1">
        <f t="shared" si="17"/>
        <v>0.69932186912813421</v>
      </c>
      <c r="S243" s="1">
        <f t="shared" si="18"/>
        <v>-0.66186971244229764</v>
      </c>
      <c r="T243" s="56">
        <f t="shared" si="19"/>
        <v>0.25673275049996924</v>
      </c>
    </row>
    <row r="244" spans="1:20" x14ac:dyDescent="0.25">
      <c r="A244">
        <v>0.2521145883128707</v>
      </c>
      <c r="B244">
        <v>-0.10395751814940013</v>
      </c>
      <c r="D244">
        <v>0.25763161607063323</v>
      </c>
      <c r="E244">
        <v>-1.005966399816316</v>
      </c>
      <c r="I244">
        <v>0.16063627326111052</v>
      </c>
      <c r="J244">
        <v>15</v>
      </c>
      <c r="K244">
        <v>-0.23139599155304799</v>
      </c>
      <c r="L244">
        <v>7.2479785362633899</v>
      </c>
      <c r="M244">
        <v>15</v>
      </c>
      <c r="N244">
        <v>0.35456900718600082</v>
      </c>
      <c r="O244">
        <v>160.60433725856444</v>
      </c>
      <c r="P244" s="1">
        <f t="shared" si="15"/>
        <v>5.9947255641009942</v>
      </c>
      <c r="Q244" s="1">
        <f t="shared" si="16"/>
        <v>0.79929674188013256</v>
      </c>
      <c r="R244" s="1">
        <f t="shared" si="17"/>
        <v>0.89403397132331197</v>
      </c>
      <c r="S244" s="1">
        <f t="shared" si="18"/>
        <v>-0.65541692769428861</v>
      </c>
      <c r="T244" s="56">
        <f t="shared" si="19"/>
        <v>0.25877431419126534</v>
      </c>
    </row>
    <row r="245" spans="1:20" x14ac:dyDescent="0.25">
      <c r="A245">
        <v>0.25348743425614806</v>
      </c>
      <c r="B245">
        <v>0.65670860749378335</v>
      </c>
      <c r="D245">
        <v>0.25956428412171861</v>
      </c>
      <c r="E245">
        <v>3.8275022654943314</v>
      </c>
      <c r="I245">
        <v>0.57542909385303631</v>
      </c>
      <c r="J245">
        <v>15</v>
      </c>
      <c r="K245">
        <v>-0.24997545248576594</v>
      </c>
      <c r="L245">
        <v>10.91472157677925</v>
      </c>
      <c r="M245">
        <v>15</v>
      </c>
      <c r="N245">
        <v>0.1842477070113091</v>
      </c>
      <c r="O245">
        <v>81.543208530584195</v>
      </c>
      <c r="P245" s="1">
        <f t="shared" si="15"/>
        <v>3.3020689324058372</v>
      </c>
      <c r="Q245" s="1">
        <f t="shared" si="16"/>
        <v>0.44027585765411165</v>
      </c>
      <c r="R245" s="1">
        <f t="shared" si="17"/>
        <v>0.66353286102054632</v>
      </c>
      <c r="S245" s="1">
        <f t="shared" si="18"/>
        <v>-0.6544109342666441</v>
      </c>
      <c r="T245" s="56">
        <f t="shared" si="19"/>
        <v>0.25909339179557489</v>
      </c>
    </row>
    <row r="246" spans="1:20" x14ac:dyDescent="0.25">
      <c r="A246">
        <v>0.25368898173874965</v>
      </c>
      <c r="B246">
        <v>-0.31298100111598615</v>
      </c>
      <c r="D246">
        <v>0.26199482070146318</v>
      </c>
      <c r="E246">
        <v>4.1863252101848047</v>
      </c>
      <c r="I246">
        <v>0.57290129482520613</v>
      </c>
      <c r="J246">
        <v>15</v>
      </c>
      <c r="K246">
        <v>0.3657396518974565</v>
      </c>
      <c r="L246">
        <v>18.776792665402979</v>
      </c>
      <c r="M246">
        <v>15</v>
      </c>
      <c r="N246">
        <v>0.91227775214974827</v>
      </c>
      <c r="O246">
        <v>127.91927818769786</v>
      </c>
      <c r="P246" s="1">
        <f t="shared" si="15"/>
        <v>5.2391453876107432</v>
      </c>
      <c r="Q246" s="1">
        <f t="shared" si="16"/>
        <v>0.69855271834809907</v>
      </c>
      <c r="R246" s="1">
        <f t="shared" si="17"/>
        <v>0.83579466278990977</v>
      </c>
      <c r="S246" s="1">
        <f t="shared" si="18"/>
        <v>-0.65391432200336119</v>
      </c>
      <c r="T246" s="56">
        <f t="shared" si="19"/>
        <v>0.25925098463758345</v>
      </c>
    </row>
    <row r="247" spans="1:20" x14ac:dyDescent="0.25">
      <c r="A247">
        <v>0.25602000038883199</v>
      </c>
      <c r="B247">
        <v>-1.0381427273387089</v>
      </c>
      <c r="D247">
        <v>0.26243533967878241</v>
      </c>
      <c r="E247">
        <v>-2.9128084440799284</v>
      </c>
      <c r="I247">
        <v>0.45981168738801814</v>
      </c>
      <c r="J247">
        <v>15</v>
      </c>
      <c r="K247">
        <v>-1.0778497501936121E-2</v>
      </c>
      <c r="L247">
        <v>8.4020504961017703</v>
      </c>
      <c r="M247">
        <v>15</v>
      </c>
      <c r="N247">
        <v>0.57802253309091611</v>
      </c>
      <c r="O247">
        <v>163.1867547058759</v>
      </c>
      <c r="P247" s="1">
        <f t="shared" si="15"/>
        <v>6.1281716143563454</v>
      </c>
      <c r="Q247" s="1">
        <f t="shared" si="16"/>
        <v>0.81708954858084604</v>
      </c>
      <c r="R247" s="1">
        <f t="shared" si="17"/>
        <v>0.90393005735003973</v>
      </c>
      <c r="S247" s="1">
        <f t="shared" si="18"/>
        <v>-0.65137897097810937</v>
      </c>
      <c r="T247" s="56">
        <f t="shared" si="19"/>
        <v>0.2600563555609427</v>
      </c>
    </row>
    <row r="248" spans="1:20" x14ac:dyDescent="0.25">
      <c r="A248">
        <v>0.25674082026432443</v>
      </c>
      <c r="B248">
        <v>-1.7212187231052667E-3</v>
      </c>
      <c r="D248">
        <v>0.2638673393970572</v>
      </c>
      <c r="E248">
        <v>-2.1199621221512643</v>
      </c>
      <c r="I248">
        <v>0.24641356972013673</v>
      </c>
      <c r="J248">
        <v>15</v>
      </c>
      <c r="K248">
        <v>0.16250313213580134</v>
      </c>
      <c r="L248">
        <v>11.244419008673939</v>
      </c>
      <c r="M248">
        <v>15</v>
      </c>
      <c r="N248">
        <v>0.73435989747849817</v>
      </c>
      <c r="O248">
        <v>151.42808406456888</v>
      </c>
      <c r="P248" s="1">
        <f t="shared" si="15"/>
        <v>5.8097322526158148</v>
      </c>
      <c r="Q248" s="1">
        <f t="shared" si="16"/>
        <v>0.77463096701544198</v>
      </c>
      <c r="R248" s="1">
        <f t="shared" si="17"/>
        <v>0.88013122147520817</v>
      </c>
      <c r="S248" s="1">
        <f t="shared" si="18"/>
        <v>-0.64974034710891693</v>
      </c>
      <c r="T248" s="56">
        <f t="shared" si="19"/>
        <v>0.26057759793006829</v>
      </c>
    </row>
    <row r="249" spans="1:20" x14ac:dyDescent="0.25">
      <c r="A249">
        <v>0.25696907649226475</v>
      </c>
      <c r="B249">
        <v>0.86344925875891931</v>
      </c>
      <c r="D249">
        <v>0.26444312622810318</v>
      </c>
      <c r="E249">
        <v>2.4402352175911801</v>
      </c>
      <c r="I249">
        <v>0.80725457067216788</v>
      </c>
      <c r="J249">
        <v>15</v>
      </c>
      <c r="K249">
        <v>-0.26283964871254284</v>
      </c>
      <c r="L249">
        <v>6.6824743083835205</v>
      </c>
      <c r="M249">
        <v>15</v>
      </c>
      <c r="N249">
        <v>0.27614305167844577</v>
      </c>
      <c r="O249">
        <v>141.84860466700661</v>
      </c>
      <c r="P249" s="1">
        <f t="shared" si="15"/>
        <v>5.3046813919782192</v>
      </c>
      <c r="Q249" s="1">
        <f t="shared" si="16"/>
        <v>0.70729085226376254</v>
      </c>
      <c r="R249" s="1">
        <f t="shared" si="17"/>
        <v>0.84100585744913958</v>
      </c>
      <c r="S249" s="1">
        <f t="shared" si="18"/>
        <v>-0.6408786521722698</v>
      </c>
      <c r="T249" s="56">
        <f t="shared" si="19"/>
        <v>0.26340627903216518</v>
      </c>
    </row>
    <row r="250" spans="1:20" x14ac:dyDescent="0.25">
      <c r="A250">
        <v>0.25719981937390812</v>
      </c>
      <c r="B250">
        <v>0.42547299017314799</v>
      </c>
      <c r="D250">
        <v>0.26494853632093318</v>
      </c>
      <c r="E250">
        <v>1.3518770140308334</v>
      </c>
      <c r="I250">
        <v>0.58762184948401952</v>
      </c>
      <c r="J250">
        <v>15</v>
      </c>
      <c r="K250">
        <v>-2.838570859845883E-2</v>
      </c>
      <c r="L250">
        <v>22.044798907110057</v>
      </c>
      <c r="M250">
        <v>15</v>
      </c>
      <c r="N250">
        <v>0.61092009332242014</v>
      </c>
      <c r="O250">
        <v>189.84143193322333</v>
      </c>
      <c r="P250" s="1">
        <f t="shared" si="15"/>
        <v>7.5673653871547639</v>
      </c>
      <c r="Q250" s="1">
        <f t="shared" si="16"/>
        <v>1.0089820516206351</v>
      </c>
      <c r="R250" s="1">
        <f t="shared" si="17"/>
        <v>1.0044809861916926</v>
      </c>
      <c r="S250" s="1">
        <f t="shared" si="18"/>
        <v>-0.6364538609582755</v>
      </c>
      <c r="T250" s="56">
        <f t="shared" si="19"/>
        <v>0.26482485011898615</v>
      </c>
    </row>
    <row r="251" spans="1:20" x14ac:dyDescent="0.25">
      <c r="A251">
        <v>0.25720970173796276</v>
      </c>
      <c r="B251">
        <v>-0.48263814278470818</v>
      </c>
      <c r="D251">
        <v>0.26498326159948726</v>
      </c>
      <c r="E251">
        <v>-1.1660124562240526</v>
      </c>
      <c r="I251">
        <v>0.83773848242034632</v>
      </c>
      <c r="J251">
        <v>15</v>
      </c>
      <c r="K251">
        <v>8.1249936556559987E-2</v>
      </c>
      <c r="L251">
        <v>6.3852586690829325</v>
      </c>
      <c r="M251">
        <v>15</v>
      </c>
      <c r="N251">
        <v>0.96579901423865522</v>
      </c>
      <c r="O251">
        <v>399.97663007033123</v>
      </c>
      <c r="P251" s="1">
        <f t="shared" si="15"/>
        <v>14.51292459783622</v>
      </c>
      <c r="Q251" s="1">
        <f t="shared" si="16"/>
        <v>1.9350566130448292</v>
      </c>
      <c r="R251" s="1">
        <f t="shared" si="17"/>
        <v>1.3910631233142619</v>
      </c>
      <c r="S251" s="1">
        <f t="shared" si="18"/>
        <v>-0.63587989851576454</v>
      </c>
      <c r="T251" s="56">
        <f t="shared" si="19"/>
        <v>0.26500915988492163</v>
      </c>
    </row>
    <row r="252" spans="1:20" x14ac:dyDescent="0.25">
      <c r="A252">
        <v>0.2580615418817549</v>
      </c>
      <c r="B252">
        <v>-5.0854396249633282E-2</v>
      </c>
      <c r="D252">
        <v>0.26566342438912105</v>
      </c>
      <c r="E252">
        <v>2.4817661562792637</v>
      </c>
      <c r="I252">
        <v>0.12324754625407819</v>
      </c>
      <c r="J252">
        <v>15</v>
      </c>
      <c r="K252">
        <v>0.29637802375267103</v>
      </c>
      <c r="L252">
        <v>21.104538062319474</v>
      </c>
      <c r="M252">
        <v>15</v>
      </c>
      <c r="N252">
        <v>0.9322241078280058</v>
      </c>
      <c r="O252">
        <v>189.12329143903821</v>
      </c>
      <c r="P252" s="1">
        <f t="shared" si="15"/>
        <v>7.5081367679056319</v>
      </c>
      <c r="Q252" s="1">
        <f t="shared" si="16"/>
        <v>1.0010849023874175</v>
      </c>
      <c r="R252" s="1">
        <f t="shared" si="17"/>
        <v>1.0005423041468149</v>
      </c>
      <c r="S252" s="1">
        <f t="shared" si="18"/>
        <v>-0.635501449004233</v>
      </c>
      <c r="T252" s="56">
        <f t="shared" si="19"/>
        <v>0.26513072447779085</v>
      </c>
    </row>
    <row r="253" spans="1:20" x14ac:dyDescent="0.25">
      <c r="A253">
        <v>0.25877601372796588</v>
      </c>
      <c r="B253">
        <v>0.23504640012106393</v>
      </c>
      <c r="D253">
        <v>0.26721321677066079</v>
      </c>
      <c r="E253">
        <v>-5.3706542109921429</v>
      </c>
      <c r="I253">
        <v>0.448577420140163</v>
      </c>
      <c r="J253">
        <v>15</v>
      </c>
      <c r="K253">
        <v>-0.24292489797517192</v>
      </c>
      <c r="L253">
        <v>10.043613859803875</v>
      </c>
      <c r="M253">
        <v>15</v>
      </c>
      <c r="N253">
        <v>0.39088467588044296</v>
      </c>
      <c r="O253">
        <v>201.71192898471492</v>
      </c>
      <c r="P253" s="1">
        <f t="shared" si="15"/>
        <v>7.562697958732814</v>
      </c>
      <c r="Q253" s="1">
        <f t="shared" si="16"/>
        <v>1.0083597278310419</v>
      </c>
      <c r="R253" s="1">
        <f t="shared" si="17"/>
        <v>1.0041711646084257</v>
      </c>
      <c r="S253" s="1">
        <f t="shared" si="18"/>
        <v>-0.63117683139484237</v>
      </c>
      <c r="T253" s="56">
        <f t="shared" si="19"/>
        <v>0.26652198449191283</v>
      </c>
    </row>
    <row r="254" spans="1:20" x14ac:dyDescent="0.25">
      <c r="A254">
        <v>0.26215543937339914</v>
      </c>
      <c r="B254">
        <v>-0.35969264899904374</v>
      </c>
      <c r="D254">
        <v>0.26918207406552386</v>
      </c>
      <c r="E254">
        <v>-0.90307185359961295</v>
      </c>
      <c r="I254">
        <v>0.50489963181740372</v>
      </c>
      <c r="J254">
        <v>15</v>
      </c>
      <c r="K254">
        <v>-2.634336245440257E-2</v>
      </c>
      <c r="L254">
        <v>9.3264877196802392</v>
      </c>
      <c r="M254">
        <v>15</v>
      </c>
      <c r="N254">
        <v>0.57421493352194375</v>
      </c>
      <c r="O254">
        <v>181.56892667400447</v>
      </c>
      <c r="P254" s="1">
        <f t="shared" si="15"/>
        <v>6.8176933712030259</v>
      </c>
      <c r="Q254" s="1">
        <f t="shared" si="16"/>
        <v>0.90902578282707014</v>
      </c>
      <c r="R254" s="1">
        <f t="shared" si="17"/>
        <v>0.9534284361330273</v>
      </c>
      <c r="S254" s="1">
        <f t="shared" si="18"/>
        <v>-0.62989341749877636</v>
      </c>
      <c r="T254" s="56">
        <f t="shared" si="19"/>
        <v>0.26693561573454699</v>
      </c>
    </row>
    <row r="255" spans="1:20" x14ac:dyDescent="0.25">
      <c r="A255">
        <v>0.26536970319440878</v>
      </c>
      <c r="B255">
        <v>1.3008661881031003</v>
      </c>
      <c r="D255">
        <v>0.26938130397752191</v>
      </c>
      <c r="E255">
        <v>-3.0953303883052286</v>
      </c>
      <c r="I255">
        <v>0.26571994917191477</v>
      </c>
      <c r="J255">
        <v>15</v>
      </c>
      <c r="K255">
        <v>6.1677231618280835E-2</v>
      </c>
      <c r="L255">
        <v>5.3710173936897689</v>
      </c>
      <c r="M255">
        <v>15</v>
      </c>
      <c r="N255">
        <v>0.57827696423373709</v>
      </c>
      <c r="O255">
        <v>136.36966102079344</v>
      </c>
      <c r="P255" s="1">
        <f t="shared" si="15"/>
        <v>5.0621670862315442</v>
      </c>
      <c r="Q255" s="1">
        <f t="shared" si="16"/>
        <v>0.67495561149753924</v>
      </c>
      <c r="R255" s="1">
        <f t="shared" si="17"/>
        <v>0.82155682183129564</v>
      </c>
      <c r="S255" s="1">
        <f t="shared" si="18"/>
        <v>-0.628805846276009</v>
      </c>
      <c r="T255" s="56">
        <f t="shared" si="19"/>
        <v>0.26728639630214479</v>
      </c>
    </row>
    <row r="256" spans="1:20" x14ac:dyDescent="0.25">
      <c r="A256">
        <v>0.26539382240339282</v>
      </c>
      <c r="B256">
        <v>-0.2851402314263396</v>
      </c>
      <c r="D256">
        <v>0.26976885189471489</v>
      </c>
      <c r="E256">
        <v>-2.3117302168884635</v>
      </c>
      <c r="I256">
        <v>0.39600555670461368</v>
      </c>
      <c r="J256">
        <v>15</v>
      </c>
      <c r="K256">
        <v>0.16542079113908889</v>
      </c>
      <c r="L256">
        <v>6.0309643013094396</v>
      </c>
      <c r="M256">
        <v>15</v>
      </c>
      <c r="N256">
        <v>0.53180837880972831</v>
      </c>
      <c r="O256">
        <v>66.311684163858246</v>
      </c>
      <c r="P256" s="1">
        <f t="shared" si="15"/>
        <v>2.5836660166131318</v>
      </c>
      <c r="Q256" s="1">
        <f t="shared" si="16"/>
        <v>0.34448880221508421</v>
      </c>
      <c r="R256" s="1">
        <f t="shared" si="17"/>
        <v>0.58693168445321153</v>
      </c>
      <c r="S256" s="1">
        <f t="shared" si="18"/>
        <v>-0.62424230515339774</v>
      </c>
      <c r="T256" s="56">
        <f t="shared" si="19"/>
        <v>0.26876097030489676</v>
      </c>
    </row>
    <row r="257" spans="1:20" x14ac:dyDescent="0.25">
      <c r="A257">
        <v>0.26927333119451513</v>
      </c>
      <c r="B257">
        <v>3.4872209653258324</v>
      </c>
      <c r="D257">
        <v>0.269977678304688</v>
      </c>
      <c r="E257">
        <v>2.6839741133244388</v>
      </c>
      <c r="I257">
        <v>0.57290843137941982</v>
      </c>
      <c r="J257">
        <v>15</v>
      </c>
      <c r="K257">
        <v>2.5286908567068167E-2</v>
      </c>
      <c r="L257">
        <v>10.79368631823359</v>
      </c>
      <c r="M257">
        <v>15</v>
      </c>
      <c r="N257">
        <v>0.8683821272370551</v>
      </c>
      <c r="O257">
        <v>372.28742614453222</v>
      </c>
      <c r="P257" s="1">
        <f t="shared" si="15"/>
        <v>13.681468302241637</v>
      </c>
      <c r="Q257" s="1">
        <f t="shared" si="16"/>
        <v>1.8241957736322183</v>
      </c>
      <c r="R257" s="1">
        <f t="shared" si="17"/>
        <v>1.3506279182780943</v>
      </c>
      <c r="S257" s="1">
        <f t="shared" si="18"/>
        <v>-0.62422463452765209</v>
      </c>
      <c r="T257" s="56">
        <f t="shared" si="19"/>
        <v>0.26876668841115092</v>
      </c>
    </row>
    <row r="258" spans="1:20" x14ac:dyDescent="0.25">
      <c r="A258">
        <v>0.27001897662272467</v>
      </c>
      <c r="B258">
        <v>7.8299535744008608E-2</v>
      </c>
      <c r="D258">
        <v>0.27039596527822607</v>
      </c>
      <c r="E258">
        <v>-0.87804142253844475</v>
      </c>
      <c r="I258">
        <v>0.89446888034404803</v>
      </c>
      <c r="J258">
        <v>15</v>
      </c>
      <c r="K258">
        <v>0.22788534200420449</v>
      </c>
      <c r="L258">
        <v>35.266524957199415</v>
      </c>
      <c r="M258">
        <v>15</v>
      </c>
      <c r="N258">
        <v>0.779256193936817</v>
      </c>
      <c r="O258">
        <v>128.94849465989816</v>
      </c>
      <c r="P258" s="1">
        <f t="shared" ref="P258:P321" si="20">(L258+O258)/(J258+M258-2)</f>
        <v>5.8648221291820564</v>
      </c>
      <c r="Q258" s="1">
        <f t="shared" ref="Q258:Q321" si="21">P258*(2/15)</f>
        <v>0.78197628389094087</v>
      </c>
      <c r="R258" s="1">
        <f t="shared" ref="R258:R321" si="22">SQRT(Q258)</f>
        <v>0.88429422925344303</v>
      </c>
      <c r="S258" s="1">
        <f t="shared" ref="S258:S321" si="23">(K258-N258)/R258</f>
        <v>-0.62351515331961638</v>
      </c>
      <c r="T258" s="56">
        <f t="shared" ref="T258:T321" si="24">_xlfn.T.DIST(S258,28,TRUE)</f>
        <v>0.26899632539824003</v>
      </c>
    </row>
    <row r="259" spans="1:20" x14ac:dyDescent="0.25">
      <c r="A259">
        <v>0.27028133030259949</v>
      </c>
      <c r="B259">
        <v>0.52801169658778235</v>
      </c>
      <c r="D259">
        <v>0.27068660699352931</v>
      </c>
      <c r="E259">
        <v>-0.77351319646368211</v>
      </c>
      <c r="I259">
        <v>0.95543471889320208</v>
      </c>
      <c r="J259">
        <v>15</v>
      </c>
      <c r="K259">
        <v>9.8123867549778268E-2</v>
      </c>
      <c r="L259">
        <v>4.6019442357130433</v>
      </c>
      <c r="M259">
        <v>15</v>
      </c>
      <c r="N259">
        <v>0.71278304517363722</v>
      </c>
      <c r="O259">
        <v>204.20048457768155</v>
      </c>
      <c r="P259" s="1">
        <f t="shared" si="20"/>
        <v>7.457229600478378</v>
      </c>
      <c r="Q259" s="1">
        <f t="shared" si="21"/>
        <v>0.99429728006378371</v>
      </c>
      <c r="R259" s="1">
        <f t="shared" si="22"/>
        <v>0.99714456327243928</v>
      </c>
      <c r="S259" s="1">
        <f t="shared" si="23"/>
        <v>-0.61641932400119004</v>
      </c>
      <c r="T259" s="56">
        <f t="shared" si="24"/>
        <v>0.27129872356304341</v>
      </c>
    </row>
    <row r="260" spans="1:20" x14ac:dyDescent="0.25">
      <c r="A260">
        <v>0.27124646894744697</v>
      </c>
      <c r="B260">
        <v>-1.0357848623243626</v>
      </c>
      <c r="D260">
        <v>0.27187821438452564</v>
      </c>
      <c r="E260">
        <v>3.2228497241248988</v>
      </c>
      <c r="I260">
        <v>0.4382781224225174</v>
      </c>
      <c r="J260">
        <v>15</v>
      </c>
      <c r="K260">
        <v>2.3957227313076146E-2</v>
      </c>
      <c r="L260">
        <v>11.766719302567136</v>
      </c>
      <c r="M260">
        <v>15</v>
      </c>
      <c r="N260">
        <v>0.60368187973836029</v>
      </c>
      <c r="O260">
        <v>174.9723531346126</v>
      </c>
      <c r="P260" s="1">
        <f t="shared" si="20"/>
        <v>6.6692525870421333</v>
      </c>
      <c r="Q260" s="1">
        <f t="shared" si="21"/>
        <v>0.88923367827228439</v>
      </c>
      <c r="R260" s="1">
        <f t="shared" si="22"/>
        <v>0.94299187603726708</v>
      </c>
      <c r="S260" s="1">
        <f t="shared" si="23"/>
        <v>-0.61477162969999266</v>
      </c>
      <c r="T260" s="56">
        <f t="shared" si="24"/>
        <v>0.27183483233600525</v>
      </c>
    </row>
    <row r="261" spans="1:20" x14ac:dyDescent="0.25">
      <c r="A261">
        <v>0.27385941541223024</v>
      </c>
      <c r="B261">
        <v>-0.16906028577068355</v>
      </c>
      <c r="D261">
        <v>0.27291038132314538</v>
      </c>
      <c r="E261">
        <v>-0.30937758651816694</v>
      </c>
      <c r="I261">
        <v>0.35062021286053724</v>
      </c>
      <c r="J261">
        <v>15</v>
      </c>
      <c r="K261">
        <v>6.2509874017753944E-2</v>
      </c>
      <c r="L261">
        <v>6.3323069212007104</v>
      </c>
      <c r="M261">
        <v>15</v>
      </c>
      <c r="N261">
        <v>0.75691422921408957</v>
      </c>
      <c r="O261">
        <v>265.0696760177463</v>
      </c>
      <c r="P261" s="1">
        <f t="shared" si="20"/>
        <v>9.6929279621052498</v>
      </c>
      <c r="Q261" s="1">
        <f t="shared" si="21"/>
        <v>1.2923903949473665</v>
      </c>
      <c r="R261" s="1">
        <f t="shared" si="22"/>
        <v>1.1368334948211927</v>
      </c>
      <c r="S261" s="1">
        <f t="shared" si="23"/>
        <v>-0.61082327214994248</v>
      </c>
      <c r="T261" s="56">
        <f t="shared" si="24"/>
        <v>0.27312176356175943</v>
      </c>
    </row>
    <row r="262" spans="1:20" x14ac:dyDescent="0.25">
      <c r="A262">
        <v>0.2764646310841844</v>
      </c>
      <c r="B262">
        <v>-1.9360777514521033</v>
      </c>
      <c r="D262">
        <v>0.273548609964826</v>
      </c>
      <c r="E262">
        <v>-7.7590873422650475</v>
      </c>
      <c r="I262">
        <v>0.17123607085936088</v>
      </c>
      <c r="J262">
        <v>15</v>
      </c>
      <c r="K262">
        <v>0.30484814791028231</v>
      </c>
      <c r="L262">
        <v>26.283782746306521</v>
      </c>
      <c r="M262">
        <v>15</v>
      </c>
      <c r="N262">
        <v>0.67763039282908721</v>
      </c>
      <c r="O262">
        <v>52.247673639194822</v>
      </c>
      <c r="P262" s="1">
        <f t="shared" si="20"/>
        <v>2.8046948709107622</v>
      </c>
      <c r="Q262" s="1">
        <f t="shared" si="21"/>
        <v>0.37395931612143496</v>
      </c>
      <c r="R262" s="1">
        <f t="shared" si="22"/>
        <v>0.61152213052467275</v>
      </c>
      <c r="S262" s="1">
        <f t="shared" si="23"/>
        <v>-0.6095973086026597</v>
      </c>
      <c r="T262" s="56">
        <f t="shared" si="24"/>
        <v>0.27352200201798238</v>
      </c>
    </row>
    <row r="263" spans="1:20" x14ac:dyDescent="0.25">
      <c r="A263">
        <v>0.27691297289593653</v>
      </c>
      <c r="B263">
        <v>0.19005142348760273</v>
      </c>
      <c r="D263">
        <v>0.27670917121103766</v>
      </c>
      <c r="E263">
        <v>-4.1398077462417859</v>
      </c>
      <c r="I263">
        <v>0.28338603158724374</v>
      </c>
      <c r="J263">
        <v>15</v>
      </c>
      <c r="K263">
        <v>-0.10810958883666899</v>
      </c>
      <c r="L263">
        <v>5.7452428476383259</v>
      </c>
      <c r="M263">
        <v>15</v>
      </c>
      <c r="N263">
        <v>0.21881259840483835</v>
      </c>
      <c r="O263">
        <v>55.787189616971297</v>
      </c>
      <c r="P263" s="1">
        <f t="shared" si="20"/>
        <v>2.197586873736058</v>
      </c>
      <c r="Q263" s="1">
        <f t="shared" si="21"/>
        <v>0.29301158316480774</v>
      </c>
      <c r="R263" s="1">
        <f t="shared" si="22"/>
        <v>0.54130544350191767</v>
      </c>
      <c r="S263" s="1">
        <f t="shared" si="23"/>
        <v>-0.60395141258236607</v>
      </c>
      <c r="T263" s="56">
        <f t="shared" si="24"/>
        <v>0.27536915109608195</v>
      </c>
    </row>
    <row r="264" spans="1:20" x14ac:dyDescent="0.25">
      <c r="A264">
        <v>0.2771402016397897</v>
      </c>
      <c r="B264">
        <v>-0.72101329351426102</v>
      </c>
      <c r="D264">
        <v>0.27736856749762606</v>
      </c>
      <c r="E264">
        <v>3.6870262613319937</v>
      </c>
      <c r="I264">
        <v>0.79244016705201337</v>
      </c>
      <c r="J264">
        <v>15</v>
      </c>
      <c r="K264">
        <v>0.15037941617871789</v>
      </c>
      <c r="L264">
        <v>6.7581148492460548</v>
      </c>
      <c r="M264">
        <v>15</v>
      </c>
      <c r="N264">
        <v>0.71772091928323789</v>
      </c>
      <c r="O264">
        <v>179.3690111099811</v>
      </c>
      <c r="P264" s="1">
        <f t="shared" si="20"/>
        <v>6.6473973556866843</v>
      </c>
      <c r="Q264" s="1">
        <f t="shared" si="21"/>
        <v>0.88631964742489122</v>
      </c>
      <c r="R264" s="1">
        <f t="shared" si="22"/>
        <v>0.94144550953567741</v>
      </c>
      <c r="S264" s="1">
        <f t="shared" si="23"/>
        <v>-0.6026280834716965</v>
      </c>
      <c r="T264" s="56">
        <f t="shared" si="24"/>
        <v>0.27580303481887225</v>
      </c>
    </row>
    <row r="265" spans="1:20" x14ac:dyDescent="0.25">
      <c r="A265">
        <v>0.27776287585737758</v>
      </c>
      <c r="B265">
        <v>-0.82660790212685242</v>
      </c>
      <c r="D265">
        <v>0.27753385958216825</v>
      </c>
      <c r="E265">
        <v>6.5221804527482163</v>
      </c>
      <c r="I265">
        <v>0.36381803484083686</v>
      </c>
      <c r="J265">
        <v>15</v>
      </c>
      <c r="K265">
        <v>-0.23559020216149898</v>
      </c>
      <c r="L265">
        <v>15.492550293610515</v>
      </c>
      <c r="M265">
        <v>15</v>
      </c>
      <c r="N265">
        <v>0.376060821736246</v>
      </c>
      <c r="O265">
        <v>204.73703581213866</v>
      </c>
      <c r="P265" s="1">
        <f t="shared" si="20"/>
        <v>7.8653423609196134</v>
      </c>
      <c r="Q265" s="1">
        <f t="shared" si="21"/>
        <v>1.0487123147892818</v>
      </c>
      <c r="R265" s="1">
        <f t="shared" si="22"/>
        <v>1.0240665577926475</v>
      </c>
      <c r="S265" s="1">
        <f t="shared" si="23"/>
        <v>-0.59727663133160502</v>
      </c>
      <c r="T265" s="56">
        <f t="shared" si="24"/>
        <v>0.277561235517021</v>
      </c>
    </row>
    <row r="266" spans="1:20" x14ac:dyDescent="0.25">
      <c r="A266">
        <v>0.27944963883949325</v>
      </c>
      <c r="B266">
        <v>-0.36189703678246588</v>
      </c>
      <c r="D266">
        <v>0.27859383439470509</v>
      </c>
      <c r="E266">
        <v>-5.4712534199552465</v>
      </c>
      <c r="I266">
        <v>0.12800540926216009</v>
      </c>
      <c r="J266">
        <v>15</v>
      </c>
      <c r="K266">
        <v>0.37302174860087689</v>
      </c>
      <c r="L266">
        <v>11.102039770347758</v>
      </c>
      <c r="M266">
        <v>15</v>
      </c>
      <c r="N266">
        <v>1.1208235230242281</v>
      </c>
      <c r="O266">
        <v>318.10772824881332</v>
      </c>
      <c r="P266" s="1">
        <f t="shared" si="20"/>
        <v>11.757491714970039</v>
      </c>
      <c r="Q266" s="1">
        <f t="shared" si="21"/>
        <v>1.5676655619960052</v>
      </c>
      <c r="R266" s="1">
        <f t="shared" si="22"/>
        <v>1.2520645199014326</v>
      </c>
      <c r="S266" s="1">
        <f t="shared" si="23"/>
        <v>-0.5972549836986204</v>
      </c>
      <c r="T266" s="56">
        <f t="shared" si="24"/>
        <v>0.27756835948195224</v>
      </c>
    </row>
    <row r="267" spans="1:20" x14ac:dyDescent="0.25">
      <c r="A267">
        <v>0.28032032667555185</v>
      </c>
      <c r="B267">
        <v>1.4876422937959433</v>
      </c>
      <c r="D267">
        <v>0.27980975740476077</v>
      </c>
      <c r="E267">
        <v>-0.24518658733541088</v>
      </c>
      <c r="I267">
        <v>0.50847736344010153</v>
      </c>
      <c r="J267">
        <v>15</v>
      </c>
      <c r="K267">
        <v>-0.43961085793853272</v>
      </c>
      <c r="L267">
        <v>7.041821110903614</v>
      </c>
      <c r="M267">
        <v>15</v>
      </c>
      <c r="N267">
        <v>-2.934826056844031E-2</v>
      </c>
      <c r="O267">
        <v>93.141280594391276</v>
      </c>
      <c r="P267" s="1">
        <f t="shared" si="20"/>
        <v>3.5779679180462458</v>
      </c>
      <c r="Q267" s="1">
        <f t="shared" si="21"/>
        <v>0.47706238907283277</v>
      </c>
      <c r="R267" s="1">
        <f t="shared" si="22"/>
        <v>0.69069703131896609</v>
      </c>
      <c r="S267" s="1">
        <f t="shared" si="23"/>
        <v>-0.59398343813154719</v>
      </c>
      <c r="T267" s="56">
        <f t="shared" si="24"/>
        <v>0.27864606577918161</v>
      </c>
    </row>
    <row r="268" spans="1:20" x14ac:dyDescent="0.25">
      <c r="A268">
        <v>0.28273263174652263</v>
      </c>
      <c r="B268">
        <v>0.33321157388854772</v>
      </c>
      <c r="D268">
        <v>0.28113847172046114</v>
      </c>
      <c r="E268">
        <v>-3.8527790593434474E-2</v>
      </c>
      <c r="I268">
        <v>6.0321219844081453E-2</v>
      </c>
      <c r="J268">
        <v>15</v>
      </c>
      <c r="K268">
        <v>-0.37300257342091453</v>
      </c>
      <c r="L268">
        <v>15.016017530139436</v>
      </c>
      <c r="M268">
        <v>15</v>
      </c>
      <c r="N268">
        <v>0.13854377925781591</v>
      </c>
      <c r="O268">
        <v>140.84764696056615</v>
      </c>
      <c r="P268" s="1">
        <f t="shared" si="20"/>
        <v>5.5665594460966279</v>
      </c>
      <c r="Q268" s="1">
        <f t="shared" si="21"/>
        <v>0.742207926146217</v>
      </c>
      <c r="R268" s="1">
        <f t="shared" si="22"/>
        <v>0.86151490187124269</v>
      </c>
      <c r="S268" s="1">
        <f t="shared" si="23"/>
        <v>-0.59377539676636193</v>
      </c>
      <c r="T268" s="56">
        <f t="shared" si="24"/>
        <v>0.2787146709559658</v>
      </c>
    </row>
    <row r="269" spans="1:20" x14ac:dyDescent="0.25">
      <c r="A269">
        <v>0.2833214506949252</v>
      </c>
      <c r="B269">
        <v>-1.8579703464638442</v>
      </c>
      <c r="D269">
        <v>0.28135884187398497</v>
      </c>
      <c r="E269">
        <v>1.0907031048645877</v>
      </c>
      <c r="I269">
        <v>0.46801235241528227</v>
      </c>
      <c r="J269">
        <v>15</v>
      </c>
      <c r="K269">
        <v>8.0361663397828423E-2</v>
      </c>
      <c r="L269">
        <v>14.867719920998059</v>
      </c>
      <c r="M269">
        <v>15</v>
      </c>
      <c r="N269">
        <v>0.47043021936588048</v>
      </c>
      <c r="O269">
        <v>76.795530806936526</v>
      </c>
      <c r="P269" s="1">
        <f t="shared" si="20"/>
        <v>3.2736875259976634</v>
      </c>
      <c r="Q269" s="1">
        <f t="shared" si="21"/>
        <v>0.43649167013302176</v>
      </c>
      <c r="R269" s="1">
        <f t="shared" si="22"/>
        <v>0.66067516234002754</v>
      </c>
      <c r="S269" s="1">
        <f t="shared" si="23"/>
        <v>-0.59040899098806554</v>
      </c>
      <c r="T269" s="56">
        <f t="shared" si="24"/>
        <v>0.27982600423027648</v>
      </c>
    </row>
    <row r="270" spans="1:20" x14ac:dyDescent="0.25">
      <c r="A270">
        <v>0.28443480212662642</v>
      </c>
      <c r="B270">
        <v>0.70180135480768513</v>
      </c>
      <c r="D270">
        <v>0.28227631326731417</v>
      </c>
      <c r="E270">
        <v>0.85290548327066062</v>
      </c>
      <c r="I270">
        <v>0.54770589197530739</v>
      </c>
      <c r="J270">
        <v>15</v>
      </c>
      <c r="K270">
        <v>9.0700420211457342E-2</v>
      </c>
      <c r="L270">
        <v>9.2855418739824618</v>
      </c>
      <c r="M270">
        <v>15</v>
      </c>
      <c r="N270">
        <v>0.56001203688538226</v>
      </c>
      <c r="O270">
        <v>125.30369945255016</v>
      </c>
      <c r="P270" s="1">
        <f t="shared" si="20"/>
        <v>4.8067586188047366</v>
      </c>
      <c r="Q270" s="1">
        <f t="shared" si="21"/>
        <v>0.6409011491739649</v>
      </c>
      <c r="R270" s="1">
        <f t="shared" si="22"/>
        <v>0.80056302011394764</v>
      </c>
      <c r="S270" s="1">
        <f t="shared" si="23"/>
        <v>-0.58622694888795357</v>
      </c>
      <c r="T270" s="56">
        <f t="shared" si="24"/>
        <v>0.28120974851742953</v>
      </c>
    </row>
    <row r="271" spans="1:20" x14ac:dyDescent="0.25">
      <c r="A271">
        <v>0.28479913665808687</v>
      </c>
      <c r="B271">
        <v>-1.0664894034562167</v>
      </c>
      <c r="D271">
        <v>0.28405862342413934</v>
      </c>
      <c r="E271">
        <v>0.35040056559410004</v>
      </c>
      <c r="I271">
        <v>0.93294347433940161</v>
      </c>
      <c r="J271">
        <v>15</v>
      </c>
      <c r="K271">
        <v>8.7330590758938342E-2</v>
      </c>
      <c r="L271">
        <v>12.402258954610707</v>
      </c>
      <c r="M271">
        <v>15</v>
      </c>
      <c r="N271">
        <v>0.63929860175448994</v>
      </c>
      <c r="O271">
        <v>175.01382146805921</v>
      </c>
      <c r="P271" s="1">
        <f t="shared" si="20"/>
        <v>6.6934314436667828</v>
      </c>
      <c r="Q271" s="1">
        <f t="shared" si="21"/>
        <v>0.8924575258222377</v>
      </c>
      <c r="R271" s="1">
        <f t="shared" si="22"/>
        <v>0.94469970139840609</v>
      </c>
      <c r="S271" s="1">
        <f t="shared" si="23"/>
        <v>-0.5842788032837235</v>
      </c>
      <c r="T271" s="56">
        <f t="shared" si="24"/>
        <v>0.28185553385603879</v>
      </c>
    </row>
    <row r="272" spans="1:20" x14ac:dyDescent="0.25">
      <c r="A272">
        <v>0.28543379338681485</v>
      </c>
      <c r="B272">
        <v>1.9306207832414657</v>
      </c>
      <c r="D272">
        <v>0.28502250056628786</v>
      </c>
      <c r="E272">
        <v>0.39005908206490858</v>
      </c>
      <c r="I272">
        <v>0.21649269690987627</v>
      </c>
      <c r="J272">
        <v>15</v>
      </c>
      <c r="K272">
        <v>0.48528833455444936</v>
      </c>
      <c r="L272">
        <v>29.946600162835672</v>
      </c>
      <c r="M272">
        <v>15</v>
      </c>
      <c r="N272">
        <v>1.04824925642788</v>
      </c>
      <c r="O272">
        <v>167.68818150131179</v>
      </c>
      <c r="P272" s="1">
        <f t="shared" si="20"/>
        <v>7.0583850594338378</v>
      </c>
      <c r="Q272" s="1">
        <f t="shared" si="21"/>
        <v>0.94111800792451172</v>
      </c>
      <c r="R272" s="1">
        <f t="shared" si="22"/>
        <v>0.97011236871019835</v>
      </c>
      <c r="S272" s="1">
        <f t="shared" si="23"/>
        <v>-0.58030485955138245</v>
      </c>
      <c r="T272" s="56">
        <f t="shared" si="24"/>
        <v>0.28317517702549672</v>
      </c>
    </row>
    <row r="273" spans="1:20" x14ac:dyDescent="0.25">
      <c r="A273">
        <v>0.28787678798465621</v>
      </c>
      <c r="B273">
        <v>-0.7616949915245641</v>
      </c>
      <c r="D273">
        <v>0.28622994746667973</v>
      </c>
      <c r="E273">
        <v>3.4496754290103127</v>
      </c>
      <c r="I273">
        <v>0.49581687487473014</v>
      </c>
      <c r="J273">
        <v>15</v>
      </c>
      <c r="K273">
        <v>9.9868960508805074E-2</v>
      </c>
      <c r="L273">
        <v>20.130612464147987</v>
      </c>
      <c r="M273">
        <v>15</v>
      </c>
      <c r="N273">
        <v>0.49757408874029352</v>
      </c>
      <c r="O273">
        <v>78.586230903104408</v>
      </c>
      <c r="P273" s="1">
        <f t="shared" si="20"/>
        <v>3.5256015488304429</v>
      </c>
      <c r="Q273" s="1">
        <f t="shared" si="21"/>
        <v>0.47008020651072568</v>
      </c>
      <c r="R273" s="1">
        <f t="shared" si="22"/>
        <v>0.68562395415469968</v>
      </c>
      <c r="S273" s="1">
        <f t="shared" si="23"/>
        <v>-0.58006305908873323</v>
      </c>
      <c r="T273" s="56">
        <f t="shared" si="24"/>
        <v>0.28325557343086183</v>
      </c>
    </row>
    <row r="274" spans="1:20" x14ac:dyDescent="0.25">
      <c r="A274">
        <v>0.28873533490553893</v>
      </c>
      <c r="B274">
        <v>0.31490912988374475</v>
      </c>
      <c r="D274">
        <v>0.28886992479364249</v>
      </c>
      <c r="E274">
        <v>2.8281949619213265</v>
      </c>
      <c r="I274">
        <v>0.79387346471103648</v>
      </c>
      <c r="J274">
        <v>15</v>
      </c>
      <c r="K274">
        <v>-0.1657376742514316</v>
      </c>
      <c r="L274">
        <v>14.920835059571772</v>
      </c>
      <c r="M274">
        <v>15</v>
      </c>
      <c r="N274">
        <v>0.19955518496317382</v>
      </c>
      <c r="O274">
        <v>68.745291206133956</v>
      </c>
      <c r="P274" s="1">
        <f t="shared" si="20"/>
        <v>2.988075938060919</v>
      </c>
      <c r="Q274" s="1">
        <f t="shared" si="21"/>
        <v>0.39841012507478918</v>
      </c>
      <c r="R274" s="1">
        <f t="shared" si="22"/>
        <v>0.6311973741032112</v>
      </c>
      <c r="S274" s="1">
        <f t="shared" si="23"/>
        <v>-0.57873000459421109</v>
      </c>
      <c r="T274" s="56">
        <f t="shared" si="24"/>
        <v>0.28369900877548682</v>
      </c>
    </row>
    <row r="275" spans="1:20" x14ac:dyDescent="0.25">
      <c r="A275">
        <v>0.28990161241759416</v>
      </c>
      <c r="B275">
        <v>0.7703124538238626</v>
      </c>
      <c r="D275">
        <v>0.28947548856231786</v>
      </c>
      <c r="E275">
        <v>3.3004819181314815</v>
      </c>
      <c r="I275">
        <v>8.7494690228967498E-3</v>
      </c>
      <c r="J275">
        <v>15</v>
      </c>
      <c r="K275">
        <v>4.1898298756374665E-2</v>
      </c>
      <c r="L275">
        <v>12.471184081312149</v>
      </c>
      <c r="M275">
        <v>15</v>
      </c>
      <c r="N275">
        <v>0.56364114811913169</v>
      </c>
      <c r="O275">
        <v>159.10749893094589</v>
      </c>
      <c r="P275" s="1">
        <f t="shared" si="20"/>
        <v>6.1278101075806442</v>
      </c>
      <c r="Q275" s="1">
        <f t="shared" si="21"/>
        <v>0.81704134767741921</v>
      </c>
      <c r="R275" s="1">
        <f t="shared" si="22"/>
        <v>0.90390339510227491</v>
      </c>
      <c r="S275" s="1">
        <f t="shared" si="23"/>
        <v>-0.57721085260856098</v>
      </c>
      <c r="T275" s="56">
        <f t="shared" si="24"/>
        <v>0.28420477572045577</v>
      </c>
    </row>
    <row r="276" spans="1:20" x14ac:dyDescent="0.25">
      <c r="A276">
        <v>0.29075298778137337</v>
      </c>
      <c r="B276">
        <v>0.77836602940806188</v>
      </c>
      <c r="D276">
        <v>0.2909789416438554</v>
      </c>
      <c r="E276">
        <v>-2.996409197066896</v>
      </c>
      <c r="I276">
        <v>5.7027424854653175E-3</v>
      </c>
      <c r="J276">
        <v>15</v>
      </c>
      <c r="K276">
        <v>-0.32475683534964145</v>
      </c>
      <c r="L276">
        <v>17.368326931557789</v>
      </c>
      <c r="M276">
        <v>15</v>
      </c>
      <c r="N276">
        <v>0.21387699803199212</v>
      </c>
      <c r="O276">
        <v>167.4453657818386</v>
      </c>
      <c r="P276" s="1">
        <f t="shared" si="20"/>
        <v>6.600489025478443</v>
      </c>
      <c r="Q276" s="1">
        <f t="shared" si="21"/>
        <v>0.88006520339712568</v>
      </c>
      <c r="R276" s="1">
        <f t="shared" si="22"/>
        <v>0.9381179048483862</v>
      </c>
      <c r="S276" s="1">
        <f t="shared" si="23"/>
        <v>-0.57416432475903423</v>
      </c>
      <c r="T276" s="56">
        <f t="shared" si="24"/>
        <v>0.28522041534807369</v>
      </c>
    </row>
    <row r="277" spans="1:20" x14ac:dyDescent="0.25">
      <c r="A277">
        <v>0.29194901505521287</v>
      </c>
      <c r="B277">
        <v>-1.2130658433306962</v>
      </c>
      <c r="D277">
        <v>0.29201895090463192</v>
      </c>
      <c r="E277">
        <v>-3.0075345910063334</v>
      </c>
      <c r="I277">
        <v>0.73262611713280501</v>
      </c>
      <c r="J277">
        <v>15</v>
      </c>
      <c r="K277">
        <v>-9.648132011837636E-2</v>
      </c>
      <c r="L277">
        <v>8.9166533235819614</v>
      </c>
      <c r="M277">
        <v>15</v>
      </c>
      <c r="N277">
        <v>0.45209321456241014</v>
      </c>
      <c r="O277">
        <v>182.95202699326805</v>
      </c>
      <c r="P277" s="1">
        <f t="shared" si="20"/>
        <v>6.8524528684589283</v>
      </c>
      <c r="Q277" s="1">
        <f t="shared" si="21"/>
        <v>0.91366038246119041</v>
      </c>
      <c r="R277" s="1">
        <f t="shared" si="22"/>
        <v>0.95585583769791893</v>
      </c>
      <c r="S277" s="1">
        <f t="shared" si="23"/>
        <v>-0.57390927904146327</v>
      </c>
      <c r="T277" s="56">
        <f t="shared" si="24"/>
        <v>0.28530552415531485</v>
      </c>
    </row>
    <row r="278" spans="1:20" x14ac:dyDescent="0.25">
      <c r="A278">
        <v>0.29210626763601732</v>
      </c>
      <c r="B278">
        <v>-1.2324517228989862</v>
      </c>
      <c r="D278">
        <v>0.29365961152808728</v>
      </c>
      <c r="E278">
        <v>-0.51830102506755793</v>
      </c>
      <c r="I278">
        <v>0.63092531853315426</v>
      </c>
      <c r="J278">
        <v>15</v>
      </c>
      <c r="K278">
        <v>-0.15226313128853994</v>
      </c>
      <c r="L278">
        <v>5.483750555308875</v>
      </c>
      <c r="M278">
        <v>15</v>
      </c>
      <c r="N278">
        <v>0.40491999811820278</v>
      </c>
      <c r="O278">
        <v>193.49968033519758</v>
      </c>
      <c r="P278" s="1">
        <f t="shared" si="20"/>
        <v>7.1065511032323743</v>
      </c>
      <c r="Q278" s="1">
        <f t="shared" si="21"/>
        <v>0.94754014709764989</v>
      </c>
      <c r="R278" s="1">
        <f t="shared" si="22"/>
        <v>0.97341673865701006</v>
      </c>
      <c r="S278" s="1">
        <f t="shared" si="23"/>
        <v>-0.57239937149166897</v>
      </c>
      <c r="T278" s="56">
        <f t="shared" si="24"/>
        <v>0.28580964173074547</v>
      </c>
    </row>
    <row r="279" spans="1:20" x14ac:dyDescent="0.25">
      <c r="A279">
        <v>0.29374855494118546</v>
      </c>
      <c r="B279">
        <v>-0.95276618594652973</v>
      </c>
      <c r="D279">
        <v>0.29412713048322481</v>
      </c>
      <c r="E279">
        <v>-3.6420572121187433</v>
      </c>
      <c r="I279">
        <v>0.7343067535017509</v>
      </c>
      <c r="J279">
        <v>15</v>
      </c>
      <c r="K279">
        <v>-0.13088697414787021</v>
      </c>
      <c r="L279">
        <v>13.36365299343746</v>
      </c>
      <c r="M279">
        <v>15</v>
      </c>
      <c r="N279">
        <v>0.45613773750119435</v>
      </c>
      <c r="O279">
        <v>208.05631190115645</v>
      </c>
      <c r="P279" s="1">
        <f t="shared" si="20"/>
        <v>7.9078558890926391</v>
      </c>
      <c r="Q279" s="1">
        <f t="shared" si="21"/>
        <v>1.0543807852123519</v>
      </c>
      <c r="R279" s="1">
        <f t="shared" si="22"/>
        <v>1.0268304559236408</v>
      </c>
      <c r="S279" s="1">
        <f t="shared" si="23"/>
        <v>-0.57168611260271973</v>
      </c>
      <c r="T279" s="56">
        <f t="shared" si="24"/>
        <v>0.28604793494704139</v>
      </c>
    </row>
    <row r="280" spans="1:20" x14ac:dyDescent="0.25">
      <c r="A280">
        <v>0.2951856316240179</v>
      </c>
      <c r="B280">
        <v>0.36108076528762467</v>
      </c>
      <c r="D280">
        <v>0.29597655866154815</v>
      </c>
      <c r="E280">
        <v>-1.8706093703713123</v>
      </c>
      <c r="I280">
        <v>0.92010207423102686</v>
      </c>
      <c r="J280">
        <v>15</v>
      </c>
      <c r="K280">
        <v>-0.18237551557831466</v>
      </c>
      <c r="L280">
        <v>11.205553421833537</v>
      </c>
      <c r="M280">
        <v>15</v>
      </c>
      <c r="N280">
        <v>0.3376542247224279</v>
      </c>
      <c r="O280">
        <v>164.97256579497318</v>
      </c>
      <c r="P280" s="1">
        <f t="shared" si="20"/>
        <v>6.2920756863145257</v>
      </c>
      <c r="Q280" s="1">
        <f t="shared" si="21"/>
        <v>0.83894342484193674</v>
      </c>
      <c r="R280" s="1">
        <f t="shared" si="22"/>
        <v>0.91593854861662893</v>
      </c>
      <c r="S280" s="1">
        <f t="shared" si="23"/>
        <v>-0.56775614596214996</v>
      </c>
      <c r="T280" s="56">
        <f t="shared" si="24"/>
        <v>0.28736268279689603</v>
      </c>
    </row>
    <row r="281" spans="1:20" x14ac:dyDescent="0.25">
      <c r="A281">
        <v>0.29603793757089347</v>
      </c>
      <c r="B281">
        <v>-0.70719352152082138</v>
      </c>
      <c r="D281">
        <v>0.30260496222499522</v>
      </c>
      <c r="E281">
        <v>-1.9774192912791477</v>
      </c>
      <c r="I281">
        <v>0.46419112918152816</v>
      </c>
      <c r="J281">
        <v>15</v>
      </c>
      <c r="K281">
        <v>-0.22599662467352269</v>
      </c>
      <c r="L281">
        <v>22.921482634517933</v>
      </c>
      <c r="M281">
        <v>15</v>
      </c>
      <c r="N281">
        <v>0.27051259735344502</v>
      </c>
      <c r="O281">
        <v>138.2108272983464</v>
      </c>
      <c r="P281" s="1">
        <f t="shared" si="20"/>
        <v>5.7547253547451547</v>
      </c>
      <c r="Q281" s="1">
        <f t="shared" si="21"/>
        <v>0.76729671396602062</v>
      </c>
      <c r="R281" s="1">
        <f t="shared" si="22"/>
        <v>0.87595474424539799</v>
      </c>
      <c r="S281" s="1">
        <f t="shared" si="23"/>
        <v>-0.56682063233151581</v>
      </c>
      <c r="T281" s="56">
        <f t="shared" si="24"/>
        <v>0.28767609715720532</v>
      </c>
    </row>
    <row r="282" spans="1:20" x14ac:dyDescent="0.25">
      <c r="A282">
        <v>0.29722953381343065</v>
      </c>
      <c r="B282">
        <v>-0.63176116782415193</v>
      </c>
      <c r="D282">
        <v>0.30588599994023324</v>
      </c>
      <c r="E282">
        <v>-2.1017119740918133</v>
      </c>
      <c r="I282">
        <v>0.72727820031216894</v>
      </c>
      <c r="J282">
        <v>15</v>
      </c>
      <c r="K282">
        <v>0.58637124311644584</v>
      </c>
      <c r="L282">
        <v>16.481833980923341</v>
      </c>
      <c r="M282">
        <v>15</v>
      </c>
      <c r="N282">
        <v>1.1942163348521717</v>
      </c>
      <c r="O282">
        <v>227.19043301320229</v>
      </c>
      <c r="P282" s="1">
        <f t="shared" si="20"/>
        <v>8.7025809640759153</v>
      </c>
      <c r="Q282" s="1">
        <f t="shared" si="21"/>
        <v>1.1603441285434553</v>
      </c>
      <c r="R282" s="1">
        <f t="shared" si="22"/>
        <v>1.0771927072457625</v>
      </c>
      <c r="S282" s="1">
        <f t="shared" si="23"/>
        <v>-0.5642863042490367</v>
      </c>
      <c r="T282" s="56">
        <f t="shared" si="24"/>
        <v>0.28852599857720662</v>
      </c>
    </row>
    <row r="283" spans="1:20" x14ac:dyDescent="0.25">
      <c r="A283">
        <v>0.29731081712888141</v>
      </c>
      <c r="B283">
        <v>9.0659568741102703E-2</v>
      </c>
      <c r="D283">
        <v>0.30657512081664262</v>
      </c>
      <c r="E283">
        <v>-0.7739838599718496</v>
      </c>
      <c r="I283">
        <v>0.55316855577806401</v>
      </c>
      <c r="J283">
        <v>15</v>
      </c>
      <c r="K283">
        <v>0.22845407935771314</v>
      </c>
      <c r="L283">
        <v>27.573659512838773</v>
      </c>
      <c r="M283">
        <v>15</v>
      </c>
      <c r="N283">
        <v>0.60530578252837586</v>
      </c>
      <c r="O283">
        <v>66.096436742981695</v>
      </c>
      <c r="P283" s="1">
        <f t="shared" si="20"/>
        <v>3.3453605805650168</v>
      </c>
      <c r="Q283" s="1">
        <f t="shared" si="21"/>
        <v>0.44604807740866892</v>
      </c>
      <c r="R283" s="1">
        <f t="shared" si="22"/>
        <v>0.66786830843263478</v>
      </c>
      <c r="S283" s="1">
        <f t="shared" si="23"/>
        <v>-0.56426049628715724</v>
      </c>
      <c r="T283" s="56">
        <f t="shared" si="24"/>
        <v>0.28853465983780552</v>
      </c>
    </row>
    <row r="284" spans="1:20" x14ac:dyDescent="0.25">
      <c r="A284">
        <v>0.29803314143558646</v>
      </c>
      <c r="B284">
        <v>-0.39932047002366744</v>
      </c>
      <c r="D284">
        <v>0.3083070361897482</v>
      </c>
      <c r="E284">
        <v>0.40956774341793789</v>
      </c>
      <c r="I284">
        <v>6.5637311185565261E-2</v>
      </c>
      <c r="J284">
        <v>15</v>
      </c>
      <c r="K284">
        <v>0.32214567606085137</v>
      </c>
      <c r="L284">
        <v>27.687941265195111</v>
      </c>
      <c r="M284">
        <v>15</v>
      </c>
      <c r="N284">
        <v>0.88696287662060058</v>
      </c>
      <c r="O284">
        <v>187.01249126328042</v>
      </c>
      <c r="P284" s="1">
        <f t="shared" si="20"/>
        <v>7.6678725903026983</v>
      </c>
      <c r="Q284" s="1">
        <f t="shared" si="21"/>
        <v>1.0223830120403599</v>
      </c>
      <c r="R284" s="1">
        <f t="shared" si="22"/>
        <v>1.0111295723300551</v>
      </c>
      <c r="S284" s="1">
        <f t="shared" si="23"/>
        <v>-0.55860021901859702</v>
      </c>
      <c r="T284" s="56">
        <f t="shared" si="24"/>
        <v>0.29043738667800789</v>
      </c>
    </row>
    <row r="285" spans="1:20" x14ac:dyDescent="0.25">
      <c r="A285">
        <v>0.29948838623361962</v>
      </c>
      <c r="B285">
        <v>0.44456214709498454</v>
      </c>
      <c r="D285">
        <v>0.30925985597623828</v>
      </c>
      <c r="E285">
        <v>-3.5865803090473491</v>
      </c>
      <c r="I285">
        <v>0.78070178433822346</v>
      </c>
      <c r="J285">
        <v>15</v>
      </c>
      <c r="K285">
        <v>0.11315448015617828</v>
      </c>
      <c r="L285">
        <v>17.218593475636705</v>
      </c>
      <c r="M285">
        <v>15</v>
      </c>
      <c r="N285">
        <v>0.50184075575998577</v>
      </c>
      <c r="O285">
        <v>85.038902688098446</v>
      </c>
      <c r="P285" s="1">
        <f t="shared" si="20"/>
        <v>3.6520534344191127</v>
      </c>
      <c r="Q285" s="1">
        <f t="shared" si="21"/>
        <v>0.48694045792254836</v>
      </c>
      <c r="R285" s="1">
        <f t="shared" si="22"/>
        <v>0.69781119074040965</v>
      </c>
      <c r="S285" s="1">
        <f t="shared" si="23"/>
        <v>-0.55700779918905219</v>
      </c>
      <c r="T285" s="56">
        <f t="shared" si="24"/>
        <v>0.29097379980383331</v>
      </c>
    </row>
    <row r="286" spans="1:20" x14ac:dyDescent="0.25">
      <c r="A286">
        <v>0.30113773894058626</v>
      </c>
      <c r="B286">
        <v>0.40936583900474943</v>
      </c>
      <c r="D286">
        <v>0.30932302860751137</v>
      </c>
      <c r="E286">
        <v>-0.89471928163220582</v>
      </c>
      <c r="I286">
        <v>0.4023839253737157</v>
      </c>
      <c r="J286">
        <v>15</v>
      </c>
      <c r="K286">
        <v>1.7327086728376646E-2</v>
      </c>
      <c r="L286">
        <v>17.648037083087424</v>
      </c>
      <c r="M286">
        <v>15</v>
      </c>
      <c r="N286">
        <v>0.53171447348177026</v>
      </c>
      <c r="O286">
        <v>164.2460712340233</v>
      </c>
      <c r="P286" s="1">
        <f t="shared" si="20"/>
        <v>6.4962181541825261</v>
      </c>
      <c r="Q286" s="1">
        <f t="shared" si="21"/>
        <v>0.86616242055767012</v>
      </c>
      <c r="R286" s="1">
        <f t="shared" si="22"/>
        <v>0.93067847324286501</v>
      </c>
      <c r="S286" s="1">
        <f t="shared" si="23"/>
        <v>-0.55270149846816297</v>
      </c>
      <c r="T286" s="56">
        <f t="shared" si="24"/>
        <v>0.29242683440096651</v>
      </c>
    </row>
    <row r="287" spans="1:20" x14ac:dyDescent="0.25">
      <c r="A287">
        <v>0.30244142517049155</v>
      </c>
      <c r="B287">
        <v>2.056494849966839</v>
      </c>
      <c r="D287">
        <v>0.30962156912048477</v>
      </c>
      <c r="E287">
        <v>2.9405266525373008</v>
      </c>
      <c r="I287">
        <v>0.87238156945390244</v>
      </c>
      <c r="J287">
        <v>15</v>
      </c>
      <c r="K287">
        <v>-8.0339759733760729E-2</v>
      </c>
      <c r="L287">
        <v>12.536995916328342</v>
      </c>
      <c r="M287">
        <v>15</v>
      </c>
      <c r="N287">
        <v>0.47984940124479181</v>
      </c>
      <c r="O287">
        <v>203.7899349132183</v>
      </c>
      <c r="P287" s="1">
        <f t="shared" si="20"/>
        <v>7.7259618153409519</v>
      </c>
      <c r="Q287" s="1">
        <f t="shared" si="21"/>
        <v>1.0301282420454603</v>
      </c>
      <c r="R287" s="1">
        <f t="shared" si="22"/>
        <v>1.0149523348637908</v>
      </c>
      <c r="S287" s="1">
        <f t="shared" si="23"/>
        <v>-0.55193642276189392</v>
      </c>
      <c r="T287" s="56">
        <f t="shared" si="24"/>
        <v>0.29268535836058274</v>
      </c>
    </row>
    <row r="288" spans="1:20" x14ac:dyDescent="0.25">
      <c r="A288">
        <v>0.30294617729567697</v>
      </c>
      <c r="B288">
        <v>0.35016000765608624</v>
      </c>
      <c r="D288">
        <v>0.31052304014772625</v>
      </c>
      <c r="E288">
        <v>-0.4295741325677227</v>
      </c>
      <c r="I288">
        <v>0.69180230591966618</v>
      </c>
      <c r="J288">
        <v>15</v>
      </c>
      <c r="K288">
        <v>-0.1682302960640906</v>
      </c>
      <c r="L288">
        <v>8.7000503693005378</v>
      </c>
      <c r="M288">
        <v>15</v>
      </c>
      <c r="N288">
        <v>0.32257161933557654</v>
      </c>
      <c r="O288">
        <v>162.01041758596256</v>
      </c>
      <c r="P288" s="1">
        <f t="shared" si="20"/>
        <v>6.0968024269736816</v>
      </c>
      <c r="Q288" s="1">
        <f t="shared" si="21"/>
        <v>0.81290699026315749</v>
      </c>
      <c r="R288" s="1">
        <f t="shared" si="22"/>
        <v>0.90161354818079209</v>
      </c>
      <c r="S288" s="1">
        <f t="shared" si="23"/>
        <v>-0.54435951676854266</v>
      </c>
      <c r="T288" s="56">
        <f t="shared" si="24"/>
        <v>0.29525166677121994</v>
      </c>
    </row>
    <row r="289" spans="1:20" x14ac:dyDescent="0.25">
      <c r="A289">
        <v>0.30322844912542612</v>
      </c>
      <c r="B289">
        <v>-0.4175308276899159</v>
      </c>
      <c r="D289">
        <v>0.31141393129131423</v>
      </c>
      <c r="E289">
        <v>-0.6745237931227166</v>
      </c>
      <c r="I289">
        <v>0.33146427444215176</v>
      </c>
      <c r="J289">
        <v>15</v>
      </c>
      <c r="K289">
        <v>-8.1282223618472926E-2</v>
      </c>
      <c r="L289">
        <v>16.567502392865187</v>
      </c>
      <c r="M289">
        <v>15</v>
      </c>
      <c r="N289">
        <v>0.35763923392551078</v>
      </c>
      <c r="O289">
        <v>120.33288729391006</v>
      </c>
      <c r="P289" s="1">
        <f t="shared" si="20"/>
        <v>4.8892996316705446</v>
      </c>
      <c r="Q289" s="1">
        <f t="shared" si="21"/>
        <v>0.6519066175560726</v>
      </c>
      <c r="R289" s="1">
        <f t="shared" si="22"/>
        <v>0.80740734301594796</v>
      </c>
      <c r="S289" s="1">
        <f t="shared" si="23"/>
        <v>-0.54361836233054184</v>
      </c>
      <c r="T289" s="56">
        <f t="shared" si="24"/>
        <v>0.295503282139287</v>
      </c>
    </row>
    <row r="290" spans="1:20" x14ac:dyDescent="0.25">
      <c r="A290">
        <v>0.30327151597388358</v>
      </c>
      <c r="B290">
        <v>-0.71626118369749747</v>
      </c>
      <c r="D290">
        <v>0.31154688959788257</v>
      </c>
      <c r="E290">
        <v>-5.7579430858822889E-2</v>
      </c>
      <c r="I290">
        <v>0.12171610288634471</v>
      </c>
      <c r="J290">
        <v>15</v>
      </c>
      <c r="K290">
        <v>0.32574136336431064</v>
      </c>
      <c r="L290">
        <v>6.4832462238832083</v>
      </c>
      <c r="M290">
        <v>15</v>
      </c>
      <c r="N290">
        <v>0.84234352129897161</v>
      </c>
      <c r="O290">
        <v>184.91498168883533</v>
      </c>
      <c r="P290" s="1">
        <f t="shared" si="20"/>
        <v>6.835650996882805</v>
      </c>
      <c r="Q290" s="1">
        <f t="shared" si="21"/>
        <v>0.91142013291770729</v>
      </c>
      <c r="R290" s="1">
        <f t="shared" si="22"/>
        <v>0.95468326313898855</v>
      </c>
      <c r="S290" s="1">
        <f t="shared" si="23"/>
        <v>-0.54112413811055871</v>
      </c>
      <c r="T290" s="56">
        <f t="shared" si="24"/>
        <v>0.29635081196650992</v>
      </c>
    </row>
    <row r="291" spans="1:20" x14ac:dyDescent="0.25">
      <c r="A291">
        <v>0.30329825823576251</v>
      </c>
      <c r="B291">
        <v>0.71043928073777352</v>
      </c>
      <c r="D291">
        <v>0.31156570680715623</v>
      </c>
      <c r="E291">
        <v>0.7176920428264566</v>
      </c>
      <c r="I291">
        <v>4.6935682663440392E-2</v>
      </c>
      <c r="J291">
        <v>15</v>
      </c>
      <c r="K291">
        <v>-0.24144863649174417</v>
      </c>
      <c r="L291">
        <v>10.495523085406209</v>
      </c>
      <c r="M291">
        <v>15</v>
      </c>
      <c r="N291">
        <v>0.20242213963683753</v>
      </c>
      <c r="O291">
        <v>133.85648019606211</v>
      </c>
      <c r="P291" s="1">
        <f t="shared" si="20"/>
        <v>5.1554286886238687</v>
      </c>
      <c r="Q291" s="1">
        <f t="shared" si="21"/>
        <v>0.68739049181651579</v>
      </c>
      <c r="R291" s="1">
        <f t="shared" si="22"/>
        <v>0.82909015903972461</v>
      </c>
      <c r="S291" s="1">
        <f t="shared" si="23"/>
        <v>-0.53537093799627933</v>
      </c>
      <c r="T291" s="56">
        <f t="shared" si="24"/>
        <v>0.29831020021477039</v>
      </c>
    </row>
    <row r="292" spans="1:20" x14ac:dyDescent="0.25">
      <c r="A292">
        <v>0.30372472489169644</v>
      </c>
      <c r="B292">
        <v>0.55860141401353758</v>
      </c>
      <c r="D292">
        <v>0.31179742408978217</v>
      </c>
      <c r="E292">
        <v>0.20302149664530589</v>
      </c>
      <c r="I292">
        <v>0.86816733120063017</v>
      </c>
      <c r="J292">
        <v>15</v>
      </c>
      <c r="K292">
        <v>0.17326988199783955</v>
      </c>
      <c r="L292">
        <v>11.338972504965989</v>
      </c>
      <c r="M292">
        <v>15</v>
      </c>
      <c r="N292">
        <v>0.61217178540573514</v>
      </c>
      <c r="O292">
        <v>134.83604231794803</v>
      </c>
      <c r="P292" s="1">
        <f t="shared" si="20"/>
        <v>5.2205362436755012</v>
      </c>
      <c r="Q292" s="1">
        <f t="shared" si="21"/>
        <v>0.6960714991567335</v>
      </c>
      <c r="R292" s="1">
        <f t="shared" si="22"/>
        <v>0.83430899501128086</v>
      </c>
      <c r="S292" s="1">
        <f t="shared" si="23"/>
        <v>-0.52606636873423751</v>
      </c>
      <c r="T292" s="56">
        <f t="shared" si="24"/>
        <v>0.3014921869273719</v>
      </c>
    </row>
    <row r="293" spans="1:20" x14ac:dyDescent="0.25">
      <c r="A293">
        <v>0.30378190971500962</v>
      </c>
      <c r="B293">
        <v>1.898124537547119</v>
      </c>
      <c r="D293">
        <v>0.31319671055502762</v>
      </c>
      <c r="E293">
        <v>6.673338472182877</v>
      </c>
      <c r="I293">
        <v>0.49586701719694426</v>
      </c>
      <c r="J293">
        <v>15</v>
      </c>
      <c r="K293">
        <v>-0.43399025647280115</v>
      </c>
      <c r="L293">
        <v>9.6601556180473072</v>
      </c>
      <c r="M293">
        <v>15</v>
      </c>
      <c r="N293">
        <v>-7.7982125503694988E-2</v>
      </c>
      <c r="O293">
        <v>86.535382688614902</v>
      </c>
      <c r="P293" s="1">
        <f t="shared" si="20"/>
        <v>3.4355549395236507</v>
      </c>
      <c r="Q293" s="1">
        <f t="shared" si="21"/>
        <v>0.45807399193648674</v>
      </c>
      <c r="R293" s="1">
        <f t="shared" si="22"/>
        <v>0.67681163696887392</v>
      </c>
      <c r="S293" s="1">
        <f t="shared" si="23"/>
        <v>-0.52600769774512424</v>
      </c>
      <c r="T293" s="56">
        <f t="shared" si="24"/>
        <v>0.3015123023096633</v>
      </c>
    </row>
    <row r="294" spans="1:20" x14ac:dyDescent="0.25">
      <c r="A294">
        <v>0.30447681890103062</v>
      </c>
      <c r="B294">
        <v>-1.306234480580315</v>
      </c>
      <c r="D294">
        <v>0.31504842983590087</v>
      </c>
      <c r="E294">
        <v>3.6071226043077331</v>
      </c>
      <c r="I294">
        <v>0.22246543789197981</v>
      </c>
      <c r="J294">
        <v>15</v>
      </c>
      <c r="K294">
        <v>0.13475134134447822</v>
      </c>
      <c r="L294">
        <v>26.536985706537632</v>
      </c>
      <c r="M294">
        <v>15</v>
      </c>
      <c r="N294">
        <v>0.57722536098481214</v>
      </c>
      <c r="O294">
        <v>122.98368282300395</v>
      </c>
      <c r="P294" s="1">
        <f t="shared" si="20"/>
        <v>5.3400238760550565</v>
      </c>
      <c r="Q294" s="1">
        <f t="shared" si="21"/>
        <v>0.71200318347400748</v>
      </c>
      <c r="R294" s="1">
        <f t="shared" si="22"/>
        <v>0.84380281077631369</v>
      </c>
      <c r="S294" s="1">
        <f t="shared" si="23"/>
        <v>-0.52438083162255633</v>
      </c>
      <c r="T294" s="56">
        <f t="shared" si="24"/>
        <v>0.30207032770860087</v>
      </c>
    </row>
    <row r="295" spans="1:20" x14ac:dyDescent="0.25">
      <c r="A295">
        <v>0.3060005736853284</v>
      </c>
      <c r="B295">
        <v>-1.1786619324993808</v>
      </c>
      <c r="D295">
        <v>0.31539182405295829</v>
      </c>
      <c r="E295">
        <v>0.14247302374315041</v>
      </c>
      <c r="I295">
        <v>0.30102171270644851</v>
      </c>
      <c r="J295">
        <v>15</v>
      </c>
      <c r="K295">
        <v>0.16226052442410341</v>
      </c>
      <c r="L295">
        <v>14.231201441809306</v>
      </c>
      <c r="M295">
        <v>15</v>
      </c>
      <c r="N295">
        <v>0.60870797483403294</v>
      </c>
      <c r="O295">
        <v>138.65467791705188</v>
      </c>
      <c r="P295" s="1">
        <f t="shared" si="20"/>
        <v>5.4602099771021857</v>
      </c>
      <c r="Q295" s="1">
        <f t="shared" si="21"/>
        <v>0.72802799694695808</v>
      </c>
      <c r="R295" s="1">
        <f t="shared" si="22"/>
        <v>0.85324556661430018</v>
      </c>
      <c r="S295" s="1">
        <f t="shared" si="23"/>
        <v>-0.52323442145904631</v>
      </c>
      <c r="T295" s="56">
        <f t="shared" si="24"/>
        <v>0.30246384711369301</v>
      </c>
    </row>
    <row r="296" spans="1:20" x14ac:dyDescent="0.25">
      <c r="A296">
        <v>0.30680174906134128</v>
      </c>
      <c r="B296">
        <v>-0.2167610091419192</v>
      </c>
      <c r="D296">
        <v>0.31605861486303688</v>
      </c>
      <c r="E296">
        <v>4.9695092877755087</v>
      </c>
      <c r="I296">
        <v>8.6487473294658002E-2</v>
      </c>
      <c r="J296">
        <v>15</v>
      </c>
      <c r="K296">
        <v>0.17499792193120811</v>
      </c>
      <c r="L296">
        <v>7.8852439286571503</v>
      </c>
      <c r="M296">
        <v>15</v>
      </c>
      <c r="N296">
        <v>0.70504870222976024</v>
      </c>
      <c r="O296">
        <v>209.52675902038791</v>
      </c>
      <c r="P296" s="1">
        <f t="shared" si="20"/>
        <v>7.764714391037324</v>
      </c>
      <c r="Q296" s="1">
        <f t="shared" si="21"/>
        <v>1.0352952521383099</v>
      </c>
      <c r="R296" s="1">
        <f t="shared" si="22"/>
        <v>1.0174945956310086</v>
      </c>
      <c r="S296" s="1">
        <f t="shared" si="23"/>
        <v>-0.52093719472764011</v>
      </c>
      <c r="T296" s="56">
        <f t="shared" si="24"/>
        <v>0.30325312699101925</v>
      </c>
    </row>
    <row r="297" spans="1:20" x14ac:dyDescent="0.25">
      <c r="A297">
        <v>0.30697096295124937</v>
      </c>
      <c r="B297">
        <v>0.61374521465040743</v>
      </c>
      <c r="D297">
        <v>0.31606680549879629</v>
      </c>
      <c r="E297">
        <v>-0.10646022360560892</v>
      </c>
      <c r="I297">
        <v>0.84250134102098162</v>
      </c>
      <c r="J297">
        <v>15</v>
      </c>
      <c r="K297">
        <v>-0.26831192675066023</v>
      </c>
      <c r="L297">
        <v>6.2445281307399982</v>
      </c>
      <c r="M297">
        <v>15</v>
      </c>
      <c r="N297">
        <v>0.10615439919092751</v>
      </c>
      <c r="O297">
        <v>102.35511141838374</v>
      </c>
      <c r="P297" s="1">
        <f t="shared" si="20"/>
        <v>3.8785585553258479</v>
      </c>
      <c r="Q297" s="1">
        <f t="shared" si="21"/>
        <v>0.51714114071011308</v>
      </c>
      <c r="R297" s="1">
        <f t="shared" si="22"/>
        <v>0.71912526079266126</v>
      </c>
      <c r="S297" s="1">
        <f t="shared" si="23"/>
        <v>-0.5207247559748206</v>
      </c>
      <c r="T297" s="56">
        <f t="shared" si="24"/>
        <v>0.30332616559714676</v>
      </c>
    </row>
    <row r="298" spans="1:20" x14ac:dyDescent="0.25">
      <c r="A298">
        <v>0.30711566847802907</v>
      </c>
      <c r="B298">
        <v>-0.37631025406881236</v>
      </c>
      <c r="D298">
        <v>0.31693114780506215</v>
      </c>
      <c r="E298">
        <v>5.972936602347545</v>
      </c>
      <c r="I298">
        <v>4.8588475277082877E-2</v>
      </c>
      <c r="J298">
        <v>15</v>
      </c>
      <c r="K298">
        <v>-7.1385102273779921E-2</v>
      </c>
      <c r="L298">
        <v>24.894434795420668</v>
      </c>
      <c r="M298">
        <v>15</v>
      </c>
      <c r="N298">
        <v>0.33169862604154332</v>
      </c>
      <c r="O298">
        <v>101.95947193688058</v>
      </c>
      <c r="P298" s="1">
        <f t="shared" si="20"/>
        <v>4.5304966690107582</v>
      </c>
      <c r="Q298" s="1">
        <f t="shared" si="21"/>
        <v>0.60406622253476772</v>
      </c>
      <c r="R298" s="1">
        <f t="shared" si="22"/>
        <v>0.77721697262396927</v>
      </c>
      <c r="S298" s="1">
        <f t="shared" si="23"/>
        <v>-0.51862445431996762</v>
      </c>
      <c r="T298" s="56">
        <f t="shared" si="24"/>
        <v>0.30404871636184228</v>
      </c>
    </row>
    <row r="299" spans="1:20" x14ac:dyDescent="0.25">
      <c r="A299">
        <v>0.30983585280833759</v>
      </c>
      <c r="B299">
        <v>-0.31466811378777493</v>
      </c>
      <c r="D299">
        <v>0.31780560754536091</v>
      </c>
      <c r="E299">
        <v>-1.1682225283493608</v>
      </c>
      <c r="I299">
        <v>0.77969305825942781</v>
      </c>
      <c r="J299">
        <v>15</v>
      </c>
      <c r="K299">
        <v>-0.36413280213309918</v>
      </c>
      <c r="L299">
        <v>11.592930924608511</v>
      </c>
      <c r="M299">
        <v>15</v>
      </c>
      <c r="N299">
        <v>0.15887462382124795</v>
      </c>
      <c r="O299">
        <v>202.30641067111537</v>
      </c>
      <c r="P299" s="1">
        <f t="shared" si="20"/>
        <v>7.6392621998472814</v>
      </c>
      <c r="Q299" s="1">
        <f t="shared" si="21"/>
        <v>1.0185682933129709</v>
      </c>
      <c r="R299" s="1">
        <f t="shared" si="22"/>
        <v>1.0092414445081865</v>
      </c>
      <c r="S299" s="1">
        <f t="shared" si="23"/>
        <v>-0.51821833992282573</v>
      </c>
      <c r="T299" s="56">
        <f t="shared" si="24"/>
        <v>0.30418852207860292</v>
      </c>
    </row>
    <row r="300" spans="1:20" x14ac:dyDescent="0.25">
      <c r="A300">
        <v>0.30985675571604576</v>
      </c>
      <c r="B300">
        <v>0.56909357226686552</v>
      </c>
      <c r="D300">
        <v>0.31850996846268631</v>
      </c>
      <c r="E300">
        <v>-3.8917544350169919</v>
      </c>
      <c r="I300">
        <v>0.7750004157991599</v>
      </c>
      <c r="J300">
        <v>15</v>
      </c>
      <c r="K300">
        <v>1.4470970199909061E-2</v>
      </c>
      <c r="L300">
        <v>15.447049922485911</v>
      </c>
      <c r="M300">
        <v>15</v>
      </c>
      <c r="N300">
        <v>0.64568689253974298</v>
      </c>
      <c r="O300">
        <v>297.03412466250063</v>
      </c>
      <c r="P300" s="1">
        <f t="shared" si="20"/>
        <v>11.160041949463805</v>
      </c>
      <c r="Q300" s="1">
        <f t="shared" si="21"/>
        <v>1.4880055932618406</v>
      </c>
      <c r="R300" s="1">
        <f t="shared" si="22"/>
        <v>1.2198383471845113</v>
      </c>
      <c r="S300" s="1">
        <f t="shared" si="23"/>
        <v>-0.5174586647458107</v>
      </c>
      <c r="T300" s="56">
        <f t="shared" si="24"/>
        <v>0.30445012285745221</v>
      </c>
    </row>
    <row r="301" spans="1:20" x14ac:dyDescent="0.25">
      <c r="A301">
        <v>0.31214061779228852</v>
      </c>
      <c r="B301">
        <v>1.5550358511973172</v>
      </c>
      <c r="D301">
        <v>0.3188031309324304</v>
      </c>
      <c r="E301">
        <v>-3.0370158617643028</v>
      </c>
      <c r="I301">
        <v>0.94630397190795834</v>
      </c>
      <c r="J301">
        <v>15</v>
      </c>
      <c r="K301">
        <v>-0.40187933336710557</v>
      </c>
      <c r="L301">
        <v>12.963805180117149</v>
      </c>
      <c r="M301">
        <v>15</v>
      </c>
      <c r="N301">
        <v>0.10499502081984247</v>
      </c>
      <c r="O301">
        <v>189.32590046891903</v>
      </c>
      <c r="P301" s="1">
        <f t="shared" si="20"/>
        <v>7.2246323446084357</v>
      </c>
      <c r="Q301" s="1">
        <f t="shared" si="21"/>
        <v>0.96328431261445813</v>
      </c>
      <c r="R301" s="1">
        <f t="shared" si="22"/>
        <v>0.98147048484121935</v>
      </c>
      <c r="S301" s="1">
        <f t="shared" si="23"/>
        <v>-0.51644380754755892</v>
      </c>
      <c r="T301" s="56">
        <f t="shared" si="24"/>
        <v>0.30479976241547507</v>
      </c>
    </row>
    <row r="302" spans="1:20" x14ac:dyDescent="0.25">
      <c r="A302">
        <v>0.31245275898786717</v>
      </c>
      <c r="B302">
        <v>0.99680846687988378</v>
      </c>
      <c r="D302">
        <v>0.31899251617313351</v>
      </c>
      <c r="E302">
        <v>1.1060371855364792</v>
      </c>
      <c r="I302">
        <v>0.95735655018917709</v>
      </c>
      <c r="J302">
        <v>15</v>
      </c>
      <c r="K302">
        <v>-0.27037261437120225</v>
      </c>
      <c r="L302">
        <v>13.222728664345579</v>
      </c>
      <c r="M302">
        <v>15</v>
      </c>
      <c r="N302">
        <v>0.10873554515455908</v>
      </c>
      <c r="O302">
        <v>100.17207264778995</v>
      </c>
      <c r="P302" s="1">
        <f t="shared" si="20"/>
        <v>4.0498143325762692</v>
      </c>
      <c r="Q302" s="1">
        <f t="shared" si="21"/>
        <v>0.53997524434350253</v>
      </c>
      <c r="R302" s="1">
        <f t="shared" si="22"/>
        <v>0.734830078551159</v>
      </c>
      <c r="S302" s="1">
        <f t="shared" si="23"/>
        <v>-0.51591268592765938</v>
      </c>
      <c r="T302" s="56">
        <f t="shared" si="24"/>
        <v>0.30498281991565646</v>
      </c>
    </row>
    <row r="303" spans="1:20" x14ac:dyDescent="0.25">
      <c r="A303">
        <v>0.31276633808022025</v>
      </c>
      <c r="B303">
        <v>-0.11796601029345766</v>
      </c>
      <c r="D303">
        <v>0.31995909018958257</v>
      </c>
      <c r="E303">
        <v>-3.0679227654673014</v>
      </c>
      <c r="I303">
        <v>0.82870104273153566</v>
      </c>
      <c r="J303">
        <v>15</v>
      </c>
      <c r="K303">
        <v>3.4446505499848477E-2</v>
      </c>
      <c r="L303">
        <v>7.4773836697698695</v>
      </c>
      <c r="M303">
        <v>15</v>
      </c>
      <c r="N303">
        <v>0.49434583729635051</v>
      </c>
      <c r="O303">
        <v>161.40813498283032</v>
      </c>
      <c r="P303" s="1">
        <f t="shared" si="20"/>
        <v>6.0316256661642926</v>
      </c>
      <c r="Q303" s="1">
        <f t="shared" si="21"/>
        <v>0.8042167554885723</v>
      </c>
      <c r="R303" s="1">
        <f t="shared" si="22"/>
        <v>0.8967813309210737</v>
      </c>
      <c r="S303" s="1">
        <f t="shared" si="23"/>
        <v>-0.51283330276751504</v>
      </c>
      <c r="T303" s="56">
        <f t="shared" si="24"/>
        <v>0.30604517973354334</v>
      </c>
    </row>
    <row r="304" spans="1:20" x14ac:dyDescent="0.25">
      <c r="A304">
        <v>0.31292566893306994</v>
      </c>
      <c r="B304">
        <v>-0.27821670300909318</v>
      </c>
      <c r="D304">
        <v>0.32020036167081145</v>
      </c>
      <c r="E304">
        <v>-6.2219958215337101</v>
      </c>
      <c r="I304">
        <v>0.98531793856410477</v>
      </c>
      <c r="J304">
        <v>15</v>
      </c>
      <c r="K304">
        <v>-2.9160219128243625E-2</v>
      </c>
      <c r="L304">
        <v>14.274285869872703</v>
      </c>
      <c r="M304">
        <v>15</v>
      </c>
      <c r="N304">
        <v>0.50506355023571814</v>
      </c>
      <c r="O304">
        <v>213.96397536645836</v>
      </c>
      <c r="P304" s="1">
        <f t="shared" si="20"/>
        <v>8.1513664727261084</v>
      </c>
      <c r="Q304" s="1">
        <f t="shared" si="21"/>
        <v>1.0868488630301478</v>
      </c>
      <c r="R304" s="1">
        <f t="shared" si="22"/>
        <v>1.042520437703812</v>
      </c>
      <c r="S304" s="1">
        <f t="shared" si="23"/>
        <v>-0.51243481666470581</v>
      </c>
      <c r="T304" s="56">
        <f t="shared" si="24"/>
        <v>0.30618277994900261</v>
      </c>
    </row>
    <row r="305" spans="1:20" x14ac:dyDescent="0.25">
      <c r="A305">
        <v>0.31438627492839277</v>
      </c>
      <c r="B305">
        <v>-0.54497263590747025</v>
      </c>
      <c r="D305">
        <v>0.32165020564549851</v>
      </c>
      <c r="E305">
        <v>-3.6458020565532934</v>
      </c>
      <c r="I305">
        <v>0.81634684134953039</v>
      </c>
      <c r="J305">
        <v>15</v>
      </c>
      <c r="K305">
        <v>-0.1159201777530446</v>
      </c>
      <c r="L305">
        <v>16.886913876396225</v>
      </c>
      <c r="M305">
        <v>15</v>
      </c>
      <c r="N305">
        <v>0.35711877558242122</v>
      </c>
      <c r="O305">
        <v>163.99585969386015</v>
      </c>
      <c r="P305" s="1">
        <f t="shared" si="20"/>
        <v>6.4600990560805851</v>
      </c>
      <c r="Q305" s="1">
        <f t="shared" si="21"/>
        <v>0.86134654081074469</v>
      </c>
      <c r="R305" s="1">
        <f t="shared" si="22"/>
        <v>0.9280875717359568</v>
      </c>
      <c r="S305" s="1">
        <f t="shared" si="23"/>
        <v>-0.50969215378098665</v>
      </c>
      <c r="T305" s="56">
        <f t="shared" si="24"/>
        <v>0.30713062317442302</v>
      </c>
    </row>
    <row r="306" spans="1:20" x14ac:dyDescent="0.25">
      <c r="A306">
        <v>0.31563537173698697</v>
      </c>
      <c r="B306">
        <v>1.6965304894256406</v>
      </c>
      <c r="D306">
        <v>0.32206573184725351</v>
      </c>
      <c r="E306">
        <v>1.513290723096361</v>
      </c>
      <c r="I306">
        <v>0.22063946165474557</v>
      </c>
      <c r="J306">
        <v>15</v>
      </c>
      <c r="K306">
        <v>0.26149731032395113</v>
      </c>
      <c r="L306">
        <v>15.630435784405677</v>
      </c>
      <c r="M306">
        <v>15</v>
      </c>
      <c r="N306">
        <v>0.73989758334391809</v>
      </c>
      <c r="O306">
        <v>170.46242463282766</v>
      </c>
      <c r="P306" s="1">
        <f t="shared" si="20"/>
        <v>6.6461735863297617</v>
      </c>
      <c r="Q306" s="1">
        <f t="shared" si="21"/>
        <v>0.88615647817730159</v>
      </c>
      <c r="R306" s="1">
        <f t="shared" si="22"/>
        <v>0.94135884665588687</v>
      </c>
      <c r="S306" s="1">
        <f t="shared" si="23"/>
        <v>-0.50820181349487636</v>
      </c>
      <c r="T306" s="56">
        <f t="shared" si="24"/>
        <v>0.30764624424378167</v>
      </c>
    </row>
    <row r="307" spans="1:20" x14ac:dyDescent="0.25">
      <c r="A307">
        <v>0.31769507285757759</v>
      </c>
      <c r="B307">
        <v>0.68584085965994745</v>
      </c>
      <c r="D307">
        <v>0.32372497506626763</v>
      </c>
      <c r="E307">
        <v>-0.90020694528902823</v>
      </c>
      <c r="I307">
        <v>0.28242153674174986</v>
      </c>
      <c r="J307">
        <v>15</v>
      </c>
      <c r="K307">
        <v>0.28689585936566192</v>
      </c>
      <c r="L307">
        <v>9.6631157747237459</v>
      </c>
      <c r="M307">
        <v>15</v>
      </c>
      <c r="N307">
        <v>1.0620626619584073</v>
      </c>
      <c r="O307">
        <v>489.52751270411807</v>
      </c>
      <c r="P307" s="1">
        <f t="shared" si="20"/>
        <v>17.828236731387207</v>
      </c>
      <c r="Q307" s="1">
        <f t="shared" si="21"/>
        <v>2.3770982308516277</v>
      </c>
      <c r="R307" s="1">
        <f t="shared" si="22"/>
        <v>1.541784106433721</v>
      </c>
      <c r="S307" s="1">
        <f t="shared" si="23"/>
        <v>-0.50277259919728501</v>
      </c>
      <c r="T307" s="56">
        <f t="shared" si="24"/>
        <v>0.30952800319662843</v>
      </c>
    </row>
    <row r="308" spans="1:20" x14ac:dyDescent="0.25">
      <c r="A308">
        <v>0.31884402334505346</v>
      </c>
      <c r="B308">
        <v>1.2116311154386494</v>
      </c>
      <c r="D308">
        <v>0.32422595639836571</v>
      </c>
      <c r="E308">
        <v>-4.2348272052095126</v>
      </c>
      <c r="I308">
        <v>0.33607977136410838</v>
      </c>
      <c r="J308">
        <v>15</v>
      </c>
      <c r="K308">
        <v>-0.21888907516161757</v>
      </c>
      <c r="L308">
        <v>22.267937855923204</v>
      </c>
      <c r="M308">
        <v>15</v>
      </c>
      <c r="N308">
        <v>0.34776007510117779</v>
      </c>
      <c r="O308">
        <v>250.01721631114174</v>
      </c>
      <c r="P308" s="1">
        <f t="shared" si="20"/>
        <v>9.7244697916808907</v>
      </c>
      <c r="Q308" s="1">
        <f t="shared" si="21"/>
        <v>1.2965959722241187</v>
      </c>
      <c r="R308" s="1">
        <f t="shared" si="22"/>
        <v>1.138681681693404</v>
      </c>
      <c r="S308" s="1">
        <f t="shared" si="23"/>
        <v>-0.49763613428829062</v>
      </c>
      <c r="T308" s="56">
        <f t="shared" si="24"/>
        <v>0.31131315668434389</v>
      </c>
    </row>
    <row r="309" spans="1:20" x14ac:dyDescent="0.25">
      <c r="A309">
        <v>0.31966531280013544</v>
      </c>
      <c r="B309">
        <v>0.26908310246653855</v>
      </c>
      <c r="D309">
        <v>0.32484682094894013</v>
      </c>
      <c r="E309">
        <v>3.3862108887205977</v>
      </c>
      <c r="I309">
        <v>0.82524508901932669</v>
      </c>
      <c r="J309">
        <v>15</v>
      </c>
      <c r="K309">
        <v>-0.2584389828067894</v>
      </c>
      <c r="L309">
        <v>13.569956788157437</v>
      </c>
      <c r="M309">
        <v>15</v>
      </c>
      <c r="N309">
        <v>0.20026754668833746</v>
      </c>
      <c r="O309">
        <v>168.2663113826232</v>
      </c>
      <c r="P309" s="1">
        <f t="shared" si="20"/>
        <v>6.4941524346707373</v>
      </c>
      <c r="Q309" s="1">
        <f t="shared" si="21"/>
        <v>0.86588699128943158</v>
      </c>
      <c r="R309" s="1">
        <f t="shared" si="22"/>
        <v>0.93053048917777625</v>
      </c>
      <c r="S309" s="1">
        <f t="shared" si="23"/>
        <v>-0.49295163869422848</v>
      </c>
      <c r="T309" s="56">
        <f t="shared" si="24"/>
        <v>0.31294532105980055</v>
      </c>
    </row>
    <row r="310" spans="1:20" x14ac:dyDescent="0.25">
      <c r="A310">
        <v>0.32209994062673275</v>
      </c>
      <c r="B310">
        <v>0.43579689190664794</v>
      </c>
      <c r="D310">
        <v>0.32534447726748772</v>
      </c>
      <c r="E310">
        <v>4.5699500753926259</v>
      </c>
      <c r="I310">
        <v>0.95200522841285529</v>
      </c>
      <c r="J310">
        <v>15</v>
      </c>
      <c r="K310">
        <v>0.43227964852121659</v>
      </c>
      <c r="L310">
        <v>14.037711700877747</v>
      </c>
      <c r="M310">
        <v>15</v>
      </c>
      <c r="N310">
        <v>0.84529846958503185</v>
      </c>
      <c r="O310">
        <v>133.57386587953127</v>
      </c>
      <c r="P310" s="1">
        <f t="shared" si="20"/>
        <v>5.2718420564431785</v>
      </c>
      <c r="Q310" s="1">
        <f t="shared" si="21"/>
        <v>0.70291227419242375</v>
      </c>
      <c r="R310" s="1">
        <f t="shared" si="22"/>
        <v>0.83839863680257953</v>
      </c>
      <c r="S310" s="1">
        <f t="shared" si="23"/>
        <v>-0.49262821160940196</v>
      </c>
      <c r="T310" s="56">
        <f t="shared" si="24"/>
        <v>0.31305815230225975</v>
      </c>
    </row>
    <row r="311" spans="1:20" x14ac:dyDescent="0.25">
      <c r="A311">
        <v>0.3224461001690706</v>
      </c>
      <c r="B311">
        <v>-0.58363639254821464</v>
      </c>
      <c r="D311">
        <v>0.32649309188253184</v>
      </c>
      <c r="E311">
        <v>1.8143311956464458</v>
      </c>
      <c r="I311">
        <v>0.60618231490020458</v>
      </c>
      <c r="J311">
        <v>15</v>
      </c>
      <c r="K311">
        <v>-3.4395725378999487E-2</v>
      </c>
      <c r="L311">
        <v>15.161223751630452</v>
      </c>
      <c r="M311">
        <v>15</v>
      </c>
      <c r="N311">
        <v>0.42602868802532612</v>
      </c>
      <c r="O311">
        <v>169.32997697044064</v>
      </c>
      <c r="P311" s="1">
        <f t="shared" si="20"/>
        <v>6.5889714543596813</v>
      </c>
      <c r="Q311" s="1">
        <f t="shared" si="21"/>
        <v>0.87852952724795752</v>
      </c>
      <c r="R311" s="1">
        <f t="shared" si="22"/>
        <v>0.93729905966450089</v>
      </c>
      <c r="S311" s="1">
        <f t="shared" si="23"/>
        <v>-0.49122466160280909</v>
      </c>
      <c r="T311" s="56">
        <f t="shared" si="24"/>
        <v>0.31354801056784615</v>
      </c>
    </row>
    <row r="312" spans="1:20" x14ac:dyDescent="0.25">
      <c r="A312">
        <v>0.32326197747983632</v>
      </c>
      <c r="B312">
        <v>-0.35365928852115758</v>
      </c>
      <c r="D312">
        <v>0.32701013153781855</v>
      </c>
      <c r="E312">
        <v>2.3357513293831289</v>
      </c>
      <c r="I312">
        <v>0.60172881383270926</v>
      </c>
      <c r="J312">
        <v>15</v>
      </c>
      <c r="K312">
        <v>-0.31885929274722002</v>
      </c>
      <c r="L312">
        <v>8.5736282445251888</v>
      </c>
      <c r="M312">
        <v>15</v>
      </c>
      <c r="N312">
        <v>9.9863424338764162E-2</v>
      </c>
      <c r="O312">
        <v>144.2799342093515</v>
      </c>
      <c r="P312" s="1">
        <f t="shared" si="20"/>
        <v>5.4590558019241673</v>
      </c>
      <c r="Q312" s="1">
        <f t="shared" si="21"/>
        <v>0.7278741069232223</v>
      </c>
      <c r="R312" s="1">
        <f t="shared" si="22"/>
        <v>0.85315538263743163</v>
      </c>
      <c r="S312" s="1">
        <f t="shared" si="23"/>
        <v>-0.49079303208701691</v>
      </c>
      <c r="T312" s="56">
        <f t="shared" si="24"/>
        <v>0.31369872499286444</v>
      </c>
    </row>
    <row r="313" spans="1:20" x14ac:dyDescent="0.25">
      <c r="A313">
        <v>0.32487771788864117</v>
      </c>
      <c r="B313">
        <v>1.8218088371213526</v>
      </c>
      <c r="D313">
        <v>0.3272683589536971</v>
      </c>
      <c r="E313">
        <v>1.5942380252909061</v>
      </c>
      <c r="I313">
        <v>0.29224056966691392</v>
      </c>
      <c r="J313">
        <v>15</v>
      </c>
      <c r="K313">
        <v>0.17292056024113359</v>
      </c>
      <c r="L313">
        <v>11.836995720141116</v>
      </c>
      <c r="M313">
        <v>15</v>
      </c>
      <c r="N313">
        <v>0.66288202674513741</v>
      </c>
      <c r="O313">
        <v>198.45100539444314</v>
      </c>
      <c r="P313" s="1">
        <f t="shared" si="20"/>
        <v>7.5102857540922949</v>
      </c>
      <c r="Q313" s="1">
        <f t="shared" si="21"/>
        <v>1.0013714338789725</v>
      </c>
      <c r="R313" s="1">
        <f t="shared" si="22"/>
        <v>1.0006854819967024</v>
      </c>
      <c r="S313" s="1">
        <f t="shared" si="23"/>
        <v>-0.48962583680775179</v>
      </c>
      <c r="T313" s="56">
        <f t="shared" si="24"/>
        <v>0.31410644507381835</v>
      </c>
    </row>
    <row r="314" spans="1:20" x14ac:dyDescent="0.25">
      <c r="A314">
        <v>0.3254349184388261</v>
      </c>
      <c r="B314">
        <v>-0.75679736255551688</v>
      </c>
      <c r="D314">
        <v>0.32879390692495369</v>
      </c>
      <c r="E314">
        <v>0.55072927921173687</v>
      </c>
      <c r="I314">
        <v>0.39603028299717746</v>
      </c>
      <c r="J314">
        <v>15</v>
      </c>
      <c r="K314">
        <v>-0.45530919123848435</v>
      </c>
      <c r="L314">
        <v>19.835580167222592</v>
      </c>
      <c r="M314">
        <v>15</v>
      </c>
      <c r="N314">
        <v>-3.2112669714479125E-2</v>
      </c>
      <c r="O314">
        <v>142.12534450112838</v>
      </c>
      <c r="P314" s="1">
        <f t="shared" si="20"/>
        <v>5.7843187381553918</v>
      </c>
      <c r="Q314" s="1">
        <f t="shared" si="21"/>
        <v>0.7712424984207189</v>
      </c>
      <c r="R314" s="1">
        <f t="shared" si="22"/>
        <v>0.87820413254591267</v>
      </c>
      <c r="S314" s="1">
        <f t="shared" si="23"/>
        <v>-0.48188855624848753</v>
      </c>
      <c r="T314" s="56">
        <f t="shared" si="24"/>
        <v>0.31681523379069737</v>
      </c>
    </row>
    <row r="315" spans="1:20" x14ac:dyDescent="0.25">
      <c r="A315">
        <v>0.32559635587439806</v>
      </c>
      <c r="B315">
        <v>1.8494392861612141</v>
      </c>
      <c r="D315">
        <v>0.32976728909840036</v>
      </c>
      <c r="E315">
        <v>-4.0704360378640558</v>
      </c>
      <c r="I315">
        <v>0.41488364396358457</v>
      </c>
      <c r="J315">
        <v>15</v>
      </c>
      <c r="K315">
        <v>-0.33986134440056048</v>
      </c>
      <c r="L315">
        <v>7.1329999593327829</v>
      </c>
      <c r="M315">
        <v>15</v>
      </c>
      <c r="N315">
        <v>0.13338626217773708</v>
      </c>
      <c r="O315">
        <v>196.69462067701124</v>
      </c>
      <c r="P315" s="1">
        <f t="shared" si="20"/>
        <v>7.2795578798694294</v>
      </c>
      <c r="Q315" s="1">
        <f t="shared" si="21"/>
        <v>0.97060771731592388</v>
      </c>
      <c r="R315" s="1">
        <f t="shared" si="22"/>
        <v>0.98519425359465218</v>
      </c>
      <c r="S315" s="1">
        <f t="shared" si="23"/>
        <v>-0.48035969033677528</v>
      </c>
      <c r="T315" s="56">
        <f t="shared" si="24"/>
        <v>0.31735171697860409</v>
      </c>
    </row>
    <row r="316" spans="1:20" x14ac:dyDescent="0.25">
      <c r="A316">
        <v>0.32575484089926232</v>
      </c>
      <c r="B316">
        <v>-1.8299124349141493</v>
      </c>
      <c r="D316">
        <v>0.33024192455611001</v>
      </c>
      <c r="E316">
        <v>1.8283146766862046</v>
      </c>
      <c r="I316">
        <v>0.56558962469715068</v>
      </c>
      <c r="J316">
        <v>15</v>
      </c>
      <c r="K316">
        <v>-0.18543740528305838</v>
      </c>
      <c r="L316">
        <v>9.6119424565742744</v>
      </c>
      <c r="M316">
        <v>15</v>
      </c>
      <c r="N316">
        <v>0.27017949491892068</v>
      </c>
      <c r="O316">
        <v>179.66697233668071</v>
      </c>
      <c r="P316" s="1">
        <f t="shared" si="20"/>
        <v>6.7599612426162494</v>
      </c>
      <c r="Q316" s="1">
        <f t="shared" si="21"/>
        <v>0.90132816568216656</v>
      </c>
      <c r="R316" s="1">
        <f t="shared" si="22"/>
        <v>0.9493830447623165</v>
      </c>
      <c r="S316" s="1">
        <f t="shared" si="23"/>
        <v>-0.47990840232041998</v>
      </c>
      <c r="T316" s="56">
        <f t="shared" si="24"/>
        <v>0.31751015260409521</v>
      </c>
    </row>
    <row r="317" spans="1:20" x14ac:dyDescent="0.25">
      <c r="A317">
        <v>0.32695296249773875</v>
      </c>
      <c r="B317">
        <v>-0.33920059649972245</v>
      </c>
      <c r="D317">
        <v>0.33164620166268333</v>
      </c>
      <c r="E317">
        <v>1.2067557656791905</v>
      </c>
      <c r="I317">
        <v>0.49175476381643579</v>
      </c>
      <c r="J317">
        <v>15</v>
      </c>
      <c r="K317">
        <v>0.21793486363700745</v>
      </c>
      <c r="L317">
        <v>10.023318790374399</v>
      </c>
      <c r="M317">
        <v>15</v>
      </c>
      <c r="N317">
        <v>0.62609523979517689</v>
      </c>
      <c r="O317">
        <v>144.00175700569426</v>
      </c>
      <c r="P317" s="1">
        <f t="shared" si="20"/>
        <v>5.500895564145309</v>
      </c>
      <c r="Q317" s="1">
        <f t="shared" si="21"/>
        <v>0.73345274188604115</v>
      </c>
      <c r="R317" s="1">
        <f t="shared" si="22"/>
        <v>0.85641855531395461</v>
      </c>
      <c r="S317" s="1">
        <f t="shared" si="23"/>
        <v>-0.47658983288672663</v>
      </c>
      <c r="T317" s="56">
        <f t="shared" si="24"/>
        <v>0.31867629820329979</v>
      </c>
    </row>
    <row r="318" spans="1:20" x14ac:dyDescent="0.25">
      <c r="A318">
        <v>0.3282250366312186</v>
      </c>
      <c r="B318">
        <v>-0.6102391125750728</v>
      </c>
      <c r="D318">
        <v>0.33245300338195627</v>
      </c>
      <c r="E318">
        <v>-4.8960344008719403</v>
      </c>
      <c r="I318">
        <v>6.4851158704205103E-2</v>
      </c>
      <c r="J318">
        <v>15</v>
      </c>
      <c r="K318">
        <v>-0.10565016358062469</v>
      </c>
      <c r="L318">
        <v>3.5547642015714094</v>
      </c>
      <c r="M318">
        <v>15</v>
      </c>
      <c r="N318">
        <v>0.33001742508531606</v>
      </c>
      <c r="O318">
        <v>173.87294384717444</v>
      </c>
      <c r="P318" s="1">
        <f t="shared" si="20"/>
        <v>6.3367038588837801</v>
      </c>
      <c r="Q318" s="1">
        <f t="shared" si="21"/>
        <v>0.84489384785117061</v>
      </c>
      <c r="R318" s="1">
        <f t="shared" si="22"/>
        <v>0.91918107457190967</v>
      </c>
      <c r="S318" s="1">
        <f t="shared" si="23"/>
        <v>-0.47397362795882658</v>
      </c>
      <c r="T318" s="56">
        <f t="shared" si="24"/>
        <v>0.31959697017511274</v>
      </c>
    </row>
    <row r="319" spans="1:20" x14ac:dyDescent="0.25">
      <c r="A319">
        <v>0.32839189181042316</v>
      </c>
      <c r="B319">
        <v>-0.47021330829011276</v>
      </c>
      <c r="D319">
        <v>0.33435893161890495</v>
      </c>
      <c r="E319">
        <v>0.64172422412411834</v>
      </c>
      <c r="I319">
        <v>0.35334526790662024</v>
      </c>
      <c r="J319">
        <v>15</v>
      </c>
      <c r="K319">
        <v>-4.3734416976803914E-2</v>
      </c>
      <c r="L319">
        <v>8.9945189862858808</v>
      </c>
      <c r="M319">
        <v>15</v>
      </c>
      <c r="N319">
        <v>0.21875370862289856</v>
      </c>
      <c r="O319">
        <v>56.291571479916669</v>
      </c>
      <c r="P319" s="1">
        <f t="shared" si="20"/>
        <v>2.3316460880786627</v>
      </c>
      <c r="Q319" s="1">
        <f t="shared" si="21"/>
        <v>0.31088614507715501</v>
      </c>
      <c r="R319" s="1">
        <f t="shared" si="22"/>
        <v>0.55757165017345978</v>
      </c>
      <c r="S319" s="1">
        <f t="shared" si="23"/>
        <v>-0.47077021494554605</v>
      </c>
      <c r="T319" s="56">
        <f t="shared" si="24"/>
        <v>0.3207258852783037</v>
      </c>
    </row>
    <row r="320" spans="1:20" x14ac:dyDescent="0.25">
      <c r="A320">
        <v>0.32904364500112315</v>
      </c>
      <c r="B320">
        <v>6.9171619543340057E-2</v>
      </c>
      <c r="D320">
        <v>0.33549237228246165</v>
      </c>
      <c r="E320">
        <v>-3.6076987760225165</v>
      </c>
      <c r="I320">
        <v>0.32441010470425025</v>
      </c>
      <c r="J320">
        <v>15</v>
      </c>
      <c r="K320">
        <v>7.3341804333419233E-2</v>
      </c>
      <c r="L320">
        <v>12.640828041698818</v>
      </c>
      <c r="M320">
        <v>15</v>
      </c>
      <c r="N320">
        <v>0.43057798052359431</v>
      </c>
      <c r="O320">
        <v>113.46232622308256</v>
      </c>
      <c r="P320" s="1">
        <f t="shared" si="20"/>
        <v>4.5036840808850496</v>
      </c>
      <c r="Q320" s="1">
        <f t="shared" si="21"/>
        <v>0.60049121078467327</v>
      </c>
      <c r="R320" s="1">
        <f t="shared" si="22"/>
        <v>0.77491367956997204</v>
      </c>
      <c r="S320" s="1">
        <f t="shared" si="23"/>
        <v>-0.46100125163414135</v>
      </c>
      <c r="T320" s="56">
        <f t="shared" si="24"/>
        <v>0.32417933897029733</v>
      </c>
    </row>
    <row r="321" spans="1:20" x14ac:dyDescent="0.25">
      <c r="A321">
        <v>0.33276820646058891</v>
      </c>
      <c r="B321">
        <v>0.73437149694655091</v>
      </c>
      <c r="D321">
        <v>0.33656391750408887</v>
      </c>
      <c r="E321">
        <v>-2.4527996663437079</v>
      </c>
      <c r="I321">
        <v>0.17079407951065895</v>
      </c>
      <c r="J321">
        <v>15</v>
      </c>
      <c r="K321">
        <v>0.4172852641204372</v>
      </c>
      <c r="L321">
        <v>11.365801123375107</v>
      </c>
      <c r="M321">
        <v>15</v>
      </c>
      <c r="N321">
        <v>1.0718615578753088</v>
      </c>
      <c r="O321">
        <v>419.8490931746706</v>
      </c>
      <c r="P321" s="1">
        <f t="shared" si="20"/>
        <v>15.400531939215918</v>
      </c>
      <c r="Q321" s="1">
        <f t="shared" si="21"/>
        <v>2.0534042585621224</v>
      </c>
      <c r="R321" s="1">
        <f t="shared" si="22"/>
        <v>1.4329704318520053</v>
      </c>
      <c r="S321" s="1">
        <f t="shared" si="23"/>
        <v>-0.45679679022328568</v>
      </c>
      <c r="T321" s="56">
        <f t="shared" si="24"/>
        <v>0.32567061746990111</v>
      </c>
    </row>
    <row r="322" spans="1:20" x14ac:dyDescent="0.25">
      <c r="A322">
        <v>0.33306053884796138</v>
      </c>
      <c r="B322">
        <v>-0.89417653725831769</v>
      </c>
      <c r="D322">
        <v>0.33663337681140393</v>
      </c>
      <c r="E322">
        <v>-4.9376437834780518</v>
      </c>
      <c r="I322">
        <v>0.77003830808308837</v>
      </c>
      <c r="J322">
        <v>15</v>
      </c>
      <c r="K322">
        <v>-0.36183594905499677</v>
      </c>
      <c r="L322">
        <v>9.1446091451540834</v>
      </c>
      <c r="M322">
        <v>15</v>
      </c>
      <c r="N322">
        <v>-7.4019002340719453E-2</v>
      </c>
      <c r="O322">
        <v>74.282910163623256</v>
      </c>
      <c r="P322" s="1">
        <f t="shared" ref="P322:P385" si="25">(L322+O322)/(J322+M322-2)</f>
        <v>2.9795542610277619</v>
      </c>
      <c r="Q322" s="1">
        <f t="shared" ref="Q322:Q385" si="26">P322*(2/15)</f>
        <v>0.39727390147036823</v>
      </c>
      <c r="R322" s="1">
        <f t="shared" ref="R322:R385" si="27">SQRT(Q322)</f>
        <v>0.63029667734358896</v>
      </c>
      <c r="S322" s="1">
        <f t="shared" ref="S322:S385" si="28">(K322-N322)/R322</f>
        <v>-0.45663725838964214</v>
      </c>
      <c r="T322" s="56">
        <f t="shared" ref="T322:T385" si="29">_xlfn.T.DIST(S322,28,TRUE)</f>
        <v>0.32572725991375684</v>
      </c>
    </row>
    <row r="323" spans="1:20" x14ac:dyDescent="0.25">
      <c r="A323">
        <v>0.33308630416457474</v>
      </c>
      <c r="B323">
        <v>-0.45658566705242265</v>
      </c>
      <c r="D323">
        <v>0.33727190348103553</v>
      </c>
      <c r="E323">
        <v>-0.50785775215445028</v>
      </c>
      <c r="I323">
        <v>0.99693624904073463</v>
      </c>
      <c r="J323">
        <v>15</v>
      </c>
      <c r="K323">
        <v>4.7977285551799774E-2</v>
      </c>
      <c r="L323">
        <v>10.51338491148066</v>
      </c>
      <c r="M323">
        <v>15</v>
      </c>
      <c r="N323">
        <v>0.41128214093077986</v>
      </c>
      <c r="O323">
        <v>125.03864630845798</v>
      </c>
      <c r="P323" s="1">
        <f t="shared" si="25"/>
        <v>4.8411439721406655</v>
      </c>
      <c r="Q323" s="1">
        <f t="shared" si="26"/>
        <v>0.64548586295208876</v>
      </c>
      <c r="R323" s="1">
        <f t="shared" si="27"/>
        <v>0.80342134832980927</v>
      </c>
      <c r="S323" s="1">
        <f t="shared" si="28"/>
        <v>-0.45219716420809036</v>
      </c>
      <c r="T323" s="56">
        <f t="shared" si="29"/>
        <v>0.32730543188846378</v>
      </c>
    </row>
    <row r="324" spans="1:20" x14ac:dyDescent="0.25">
      <c r="A324">
        <v>0.33348191423319395</v>
      </c>
      <c r="B324">
        <v>-1.3121825759299099</v>
      </c>
      <c r="D324">
        <v>0.33729632416939714</v>
      </c>
      <c r="E324">
        <v>-6.2544374975459505</v>
      </c>
      <c r="I324">
        <v>0.43704906274839994</v>
      </c>
      <c r="J324">
        <v>15</v>
      </c>
      <c r="K324">
        <v>-0.30983369470050093</v>
      </c>
      <c r="L324">
        <v>7.9181339626189127</v>
      </c>
      <c r="M324">
        <v>15</v>
      </c>
      <c r="N324">
        <v>1.2429833304850035E-2</v>
      </c>
      <c r="O324">
        <v>103.11197197246621</v>
      </c>
      <c r="P324" s="1">
        <f t="shared" si="25"/>
        <v>3.96536092625304</v>
      </c>
      <c r="Q324" s="1">
        <f t="shared" si="26"/>
        <v>0.52871479016707201</v>
      </c>
      <c r="R324" s="1">
        <f t="shared" si="27"/>
        <v>0.72712776742954333</v>
      </c>
      <c r="S324" s="1">
        <f t="shared" si="28"/>
        <v>-0.44320068967325937</v>
      </c>
      <c r="T324" s="56">
        <f t="shared" si="29"/>
        <v>0.33051308086492148</v>
      </c>
    </row>
    <row r="325" spans="1:20" x14ac:dyDescent="0.25">
      <c r="A325">
        <v>0.33392257573475959</v>
      </c>
      <c r="B325">
        <v>0.27702299121301621</v>
      </c>
      <c r="D325">
        <v>0.33786503708583593</v>
      </c>
      <c r="E325">
        <v>4.8419117285902757</v>
      </c>
      <c r="I325">
        <v>0.8851504159017437</v>
      </c>
      <c r="J325">
        <v>15</v>
      </c>
      <c r="K325">
        <v>-0.12802047422155738</v>
      </c>
      <c r="L325">
        <v>10.075991548055027</v>
      </c>
      <c r="M325">
        <v>15</v>
      </c>
      <c r="N325">
        <v>0.11500241839712544</v>
      </c>
      <c r="O325">
        <v>53.178454487998728</v>
      </c>
      <c r="P325" s="1">
        <f t="shared" si="25"/>
        <v>2.2590873584304911</v>
      </c>
      <c r="Q325" s="1">
        <f t="shared" si="26"/>
        <v>0.30121164779073217</v>
      </c>
      <c r="R325" s="1">
        <f t="shared" si="27"/>
        <v>0.54882752098517451</v>
      </c>
      <c r="S325" s="1">
        <f t="shared" si="28"/>
        <v>-0.44280376498329355</v>
      </c>
      <c r="T325" s="56">
        <f t="shared" si="29"/>
        <v>0.33065490756447635</v>
      </c>
    </row>
    <row r="326" spans="1:20" x14ac:dyDescent="0.25">
      <c r="A326">
        <v>0.33413697895560335</v>
      </c>
      <c r="B326">
        <v>-1.4752686183783226</v>
      </c>
      <c r="D326">
        <v>0.33787121115773666</v>
      </c>
      <c r="E326">
        <v>3.6880289792406984</v>
      </c>
      <c r="I326">
        <v>0.52758521019529081</v>
      </c>
      <c r="J326">
        <v>15</v>
      </c>
      <c r="K326">
        <v>7.7350478022708558E-2</v>
      </c>
      <c r="L326">
        <v>5.811799443841454</v>
      </c>
      <c r="M326">
        <v>15</v>
      </c>
      <c r="N326">
        <v>0.45321916900320502</v>
      </c>
      <c r="O326">
        <v>147.59061779486109</v>
      </c>
      <c r="P326" s="1">
        <f t="shared" si="25"/>
        <v>5.4786577585250908</v>
      </c>
      <c r="Q326" s="1">
        <f t="shared" si="26"/>
        <v>0.73048770113667882</v>
      </c>
      <c r="R326" s="1">
        <f t="shared" si="27"/>
        <v>0.85468573238160406</v>
      </c>
      <c r="S326" s="1">
        <f t="shared" si="28"/>
        <v>-0.43977414942113119</v>
      </c>
      <c r="T326" s="56">
        <f t="shared" si="29"/>
        <v>0.33173827466977784</v>
      </c>
    </row>
    <row r="327" spans="1:20" x14ac:dyDescent="0.25">
      <c r="A327">
        <v>0.3361896255592759</v>
      </c>
      <c r="B327">
        <v>-0.61994342104298994</v>
      </c>
      <c r="D327">
        <v>0.33922993866111573</v>
      </c>
      <c r="E327">
        <v>0.31336139386439754</v>
      </c>
      <c r="I327">
        <v>0.56431364893218372</v>
      </c>
      <c r="J327">
        <v>15</v>
      </c>
      <c r="K327">
        <v>-0.50273933993594255</v>
      </c>
      <c r="L327">
        <v>22.328474084222858</v>
      </c>
      <c r="M327">
        <v>15</v>
      </c>
      <c r="N327">
        <v>-0.10297958738192392</v>
      </c>
      <c r="O327">
        <v>151.21995443744441</v>
      </c>
      <c r="P327" s="1">
        <f t="shared" si="25"/>
        <v>6.1981581614881165</v>
      </c>
      <c r="Q327" s="1">
        <f t="shared" si="26"/>
        <v>0.82642108819841553</v>
      </c>
      <c r="R327" s="1">
        <f t="shared" si="27"/>
        <v>0.90907705294898711</v>
      </c>
      <c r="S327" s="1">
        <f t="shared" si="28"/>
        <v>-0.4397424302562955</v>
      </c>
      <c r="T327" s="56">
        <f t="shared" si="29"/>
        <v>0.33174962507100142</v>
      </c>
    </row>
    <row r="328" spans="1:20" x14ac:dyDescent="0.25">
      <c r="A328">
        <v>0.33660373705268765</v>
      </c>
      <c r="B328">
        <v>0.36753817767021246</v>
      </c>
      <c r="D328">
        <v>0.33997372602908726</v>
      </c>
      <c r="E328">
        <v>-1.0880596653350949</v>
      </c>
      <c r="I328">
        <v>0.27522396164992224</v>
      </c>
      <c r="J328">
        <v>15</v>
      </c>
      <c r="K328">
        <v>-0.24132358097025039</v>
      </c>
      <c r="L328">
        <v>18.383834205923758</v>
      </c>
      <c r="M328">
        <v>15</v>
      </c>
      <c r="N328">
        <v>0.16072635503405763</v>
      </c>
      <c r="O328">
        <v>160.87479240700813</v>
      </c>
      <c r="P328" s="1">
        <f t="shared" si="25"/>
        <v>6.40209380760471</v>
      </c>
      <c r="Q328" s="1">
        <f t="shared" si="26"/>
        <v>0.85361250768062802</v>
      </c>
      <c r="R328" s="1">
        <f t="shared" si="27"/>
        <v>0.92391152589445924</v>
      </c>
      <c r="S328" s="1">
        <f t="shared" si="28"/>
        <v>-0.43516064551210637</v>
      </c>
      <c r="T328" s="56">
        <f t="shared" si="29"/>
        <v>0.33339087919035759</v>
      </c>
    </row>
    <row r="329" spans="1:20" x14ac:dyDescent="0.25">
      <c r="A329">
        <v>0.33733487072824675</v>
      </c>
      <c r="B329">
        <v>0.36451183405006304</v>
      </c>
      <c r="D329">
        <v>0.34125127229558438</v>
      </c>
      <c r="E329">
        <v>-0.14479542528533784</v>
      </c>
      <c r="I329">
        <v>6.5854627297588175E-2</v>
      </c>
      <c r="J329">
        <v>15</v>
      </c>
      <c r="K329">
        <v>-0.15980155391540998</v>
      </c>
      <c r="L329">
        <v>17.352236831563623</v>
      </c>
      <c r="M329">
        <v>15</v>
      </c>
      <c r="N329">
        <v>0.13622411302094406</v>
      </c>
      <c r="O329">
        <v>80.315664949419798</v>
      </c>
      <c r="P329" s="1">
        <f t="shared" si="25"/>
        <v>3.4881393493208361</v>
      </c>
      <c r="Q329" s="1">
        <f t="shared" si="26"/>
        <v>0.4650852465761115</v>
      </c>
      <c r="R329" s="1">
        <f t="shared" si="27"/>
        <v>0.68197158780708123</v>
      </c>
      <c r="S329" s="1">
        <f t="shared" si="28"/>
        <v>-0.43407331365261348</v>
      </c>
      <c r="T329" s="56">
        <f t="shared" si="29"/>
        <v>0.33378087123242894</v>
      </c>
    </row>
    <row r="330" spans="1:20" x14ac:dyDescent="0.25">
      <c r="A330">
        <v>0.33766104010461095</v>
      </c>
      <c r="B330">
        <v>-0.81995040090987459</v>
      </c>
      <c r="D330">
        <v>0.34151899732643487</v>
      </c>
      <c r="E330">
        <v>-0.52642849709627626</v>
      </c>
      <c r="I330">
        <v>0.79128614858583024</v>
      </c>
      <c r="J330">
        <v>15</v>
      </c>
      <c r="K330">
        <v>-0.11639788984515083</v>
      </c>
      <c r="L330">
        <v>13.409450321826569</v>
      </c>
      <c r="M330">
        <v>15</v>
      </c>
      <c r="N330">
        <v>0.3106767928784393</v>
      </c>
      <c r="O330">
        <v>193.80574869984491</v>
      </c>
      <c r="P330" s="1">
        <f t="shared" si="25"/>
        <v>7.4005428222025529</v>
      </c>
      <c r="Q330" s="1">
        <f t="shared" si="26"/>
        <v>0.98673904296034032</v>
      </c>
      <c r="R330" s="1">
        <f t="shared" si="27"/>
        <v>0.9933473928894867</v>
      </c>
      <c r="S330" s="1">
        <f t="shared" si="28"/>
        <v>-0.42993487050013696</v>
      </c>
      <c r="T330" s="56">
        <f t="shared" si="29"/>
        <v>0.33526693095366311</v>
      </c>
    </row>
    <row r="331" spans="1:20" x14ac:dyDescent="0.25">
      <c r="A331">
        <v>0.3376652853303691</v>
      </c>
      <c r="B331">
        <v>-0.36263145375414751</v>
      </c>
      <c r="D331">
        <v>0.34159973457501625</v>
      </c>
      <c r="E331">
        <v>-2.5427441448755417</v>
      </c>
      <c r="I331">
        <v>0.34678991194347408</v>
      </c>
      <c r="J331">
        <v>15</v>
      </c>
      <c r="K331">
        <v>4.0769085292898431E-2</v>
      </c>
      <c r="L331">
        <v>9.0718159893269732</v>
      </c>
      <c r="M331">
        <v>15</v>
      </c>
      <c r="N331">
        <v>0.48500896468794963</v>
      </c>
      <c r="O331">
        <v>218.42562572197139</v>
      </c>
      <c r="P331" s="1">
        <f t="shared" si="25"/>
        <v>8.1249086325463704</v>
      </c>
      <c r="Q331" s="1">
        <f t="shared" si="26"/>
        <v>1.0833211510061826</v>
      </c>
      <c r="R331" s="1">
        <f t="shared" si="27"/>
        <v>1.040827147515947</v>
      </c>
      <c r="S331" s="1">
        <f t="shared" si="28"/>
        <v>-0.42681427022275553</v>
      </c>
      <c r="T331" s="56">
        <f t="shared" si="29"/>
        <v>0.33638929882534319</v>
      </c>
    </row>
    <row r="332" spans="1:20" x14ac:dyDescent="0.25">
      <c r="A332">
        <v>0.33832427684385491</v>
      </c>
      <c r="B332">
        <v>-0.91293259174562991</v>
      </c>
      <c r="D332">
        <v>0.34184926884395295</v>
      </c>
      <c r="E332">
        <v>0.30249179530983383</v>
      </c>
      <c r="I332">
        <v>0.41432442161104488</v>
      </c>
      <c r="J332">
        <v>15</v>
      </c>
      <c r="K332">
        <v>-0.1044829029221243</v>
      </c>
      <c r="L332">
        <v>19.216575842458511</v>
      </c>
      <c r="M332">
        <v>15</v>
      </c>
      <c r="N332">
        <v>0.26261363586854714</v>
      </c>
      <c r="O332">
        <v>138.37093197897761</v>
      </c>
      <c r="P332" s="1">
        <f t="shared" si="25"/>
        <v>5.6281252793370049</v>
      </c>
      <c r="Q332" s="1">
        <f t="shared" si="26"/>
        <v>0.75041670391160065</v>
      </c>
      <c r="R332" s="1">
        <f t="shared" si="27"/>
        <v>0.86626595449180654</v>
      </c>
      <c r="S332" s="1">
        <f t="shared" si="28"/>
        <v>-0.42376886323095547</v>
      </c>
      <c r="T332" s="56">
        <f t="shared" si="29"/>
        <v>0.33748610658630357</v>
      </c>
    </row>
    <row r="333" spans="1:20" x14ac:dyDescent="0.25">
      <c r="A333">
        <v>0.33883694293688738</v>
      </c>
      <c r="B333">
        <v>-0.8328674994118046</v>
      </c>
      <c r="D333">
        <v>0.34286681454245305</v>
      </c>
      <c r="E333">
        <v>2.3316449608046241</v>
      </c>
      <c r="I333">
        <v>0.31713808778997521</v>
      </c>
      <c r="J333">
        <v>15</v>
      </c>
      <c r="K333">
        <v>-0.6095081062085228</v>
      </c>
      <c r="L333">
        <v>10.023205549410923</v>
      </c>
      <c r="M333">
        <v>15</v>
      </c>
      <c r="N333">
        <v>-0.28205340981912741</v>
      </c>
      <c r="O333">
        <v>116.3628406234416</v>
      </c>
      <c r="P333" s="1">
        <f t="shared" si="25"/>
        <v>4.5137873633161609</v>
      </c>
      <c r="Q333" s="1">
        <f t="shared" si="26"/>
        <v>0.60183831510882146</v>
      </c>
      <c r="R333" s="1">
        <f t="shared" si="27"/>
        <v>0.77578238901693397</v>
      </c>
      <c r="S333" s="1">
        <f t="shared" si="28"/>
        <v>-0.42209606846624054</v>
      </c>
      <c r="T333" s="56">
        <f t="shared" si="29"/>
        <v>0.33808918682647598</v>
      </c>
    </row>
    <row r="334" spans="1:20" x14ac:dyDescent="0.25">
      <c r="A334">
        <v>0.33902978356160318</v>
      </c>
      <c r="B334">
        <v>-0.11812062439275905</v>
      </c>
      <c r="D334">
        <v>0.34346992278893618</v>
      </c>
      <c r="E334">
        <v>0.6459704275130207</v>
      </c>
      <c r="I334">
        <v>0.43918532541215427</v>
      </c>
      <c r="J334">
        <v>15</v>
      </c>
      <c r="K334">
        <v>-8.9354822800184284E-3</v>
      </c>
      <c r="L334">
        <v>12.446990697101903</v>
      </c>
      <c r="M334">
        <v>15</v>
      </c>
      <c r="N334">
        <v>0.3175839503910538</v>
      </c>
      <c r="O334">
        <v>114.98861431521301</v>
      </c>
      <c r="P334" s="1">
        <f t="shared" si="25"/>
        <v>4.5512716075826756</v>
      </c>
      <c r="Q334" s="1">
        <f t="shared" si="26"/>
        <v>0.60683621434435675</v>
      </c>
      <c r="R334" s="1">
        <f t="shared" si="27"/>
        <v>0.77899692832793421</v>
      </c>
      <c r="S334" s="1">
        <f t="shared" si="28"/>
        <v>-0.41915368443355072</v>
      </c>
      <c r="T334" s="56">
        <f t="shared" si="29"/>
        <v>0.33915104553534409</v>
      </c>
    </row>
    <row r="335" spans="1:20" x14ac:dyDescent="0.25">
      <c r="A335">
        <v>0.33942744028227378</v>
      </c>
      <c r="B335">
        <v>0.12513282854342833</v>
      </c>
      <c r="D335">
        <v>0.34418748239377028</v>
      </c>
      <c r="E335">
        <v>2.6742129614376609</v>
      </c>
      <c r="I335">
        <v>0.96721903551175448</v>
      </c>
      <c r="J335">
        <v>15</v>
      </c>
      <c r="K335">
        <v>7.2651346272323281E-2</v>
      </c>
      <c r="L335">
        <v>27.716392586744774</v>
      </c>
      <c r="M335">
        <v>15</v>
      </c>
      <c r="N335">
        <v>0.48606738914713787</v>
      </c>
      <c r="O335">
        <v>178.96702701809014</v>
      </c>
      <c r="P335" s="1">
        <f t="shared" si="25"/>
        <v>7.3815507001726752</v>
      </c>
      <c r="Q335" s="1">
        <f t="shared" si="26"/>
        <v>0.98420676002302332</v>
      </c>
      <c r="R335" s="1">
        <f t="shared" si="27"/>
        <v>0.99207195304726936</v>
      </c>
      <c r="S335" s="1">
        <f t="shared" si="28"/>
        <v>-0.41671981715132361</v>
      </c>
      <c r="T335" s="56">
        <f t="shared" si="29"/>
        <v>0.34003040838561455</v>
      </c>
    </row>
    <row r="336" spans="1:20" x14ac:dyDescent="0.25">
      <c r="A336">
        <v>0.34115802423538011</v>
      </c>
      <c r="B336">
        <v>3.4447111829649657E-4</v>
      </c>
      <c r="D336">
        <v>0.34562351540280789</v>
      </c>
      <c r="E336">
        <v>5.538643787303954</v>
      </c>
      <c r="I336">
        <v>0.62709840845303622</v>
      </c>
      <c r="J336">
        <v>15</v>
      </c>
      <c r="K336">
        <v>-0.164254818931416</v>
      </c>
      <c r="L336">
        <v>12.292194273475262</v>
      </c>
      <c r="M336">
        <v>15</v>
      </c>
      <c r="N336">
        <v>0.11643623679447046</v>
      </c>
      <c r="O336">
        <v>84.551072601863424</v>
      </c>
      <c r="P336" s="1">
        <f t="shared" si="25"/>
        <v>3.4586881026906675</v>
      </c>
      <c r="Q336" s="1">
        <f t="shared" si="26"/>
        <v>0.46115841369208899</v>
      </c>
      <c r="R336" s="1">
        <f t="shared" si="27"/>
        <v>0.67908645524122258</v>
      </c>
      <c r="S336" s="1">
        <f t="shared" si="28"/>
        <v>-0.41333626014699476</v>
      </c>
      <c r="T336" s="56">
        <f t="shared" si="29"/>
        <v>0.3412544218266429</v>
      </c>
    </row>
    <row r="337" spans="1:20" x14ac:dyDescent="0.25">
      <c r="A337">
        <v>0.34216188156380489</v>
      </c>
      <c r="B337">
        <v>-2.6789348339661956</v>
      </c>
      <c r="D337">
        <v>0.34813213286182354</v>
      </c>
      <c r="E337">
        <v>1.6938276951350417</v>
      </c>
      <c r="I337">
        <v>0.5212887191145259</v>
      </c>
      <c r="J337">
        <v>15</v>
      </c>
      <c r="K337">
        <v>0.20780438111008456</v>
      </c>
      <c r="L337">
        <v>20.623175064715941</v>
      </c>
      <c r="M337">
        <v>15</v>
      </c>
      <c r="N337">
        <v>0.5247954925380327</v>
      </c>
      <c r="O337">
        <v>103.79404756746558</v>
      </c>
      <c r="P337" s="1">
        <f t="shared" si="25"/>
        <v>4.4434722368636255</v>
      </c>
      <c r="Q337" s="1">
        <f t="shared" si="26"/>
        <v>0.59246296491515005</v>
      </c>
      <c r="R337" s="1">
        <f t="shared" si="27"/>
        <v>0.7697161586683432</v>
      </c>
      <c r="S337" s="1">
        <f t="shared" si="28"/>
        <v>-0.41182857844164589</v>
      </c>
      <c r="T337" s="56">
        <f t="shared" si="29"/>
        <v>0.3418003995621523</v>
      </c>
    </row>
    <row r="338" spans="1:20" x14ac:dyDescent="0.25">
      <c r="A338">
        <v>0.3451500776547326</v>
      </c>
      <c r="B338">
        <v>1.087391865439713</v>
      </c>
      <c r="D338">
        <v>0.34891633289406809</v>
      </c>
      <c r="E338">
        <v>-0.41778708123274555</v>
      </c>
      <c r="I338">
        <v>5.8275044957517341E-2</v>
      </c>
      <c r="J338">
        <v>15</v>
      </c>
      <c r="K338">
        <v>-0.3612959365758191</v>
      </c>
      <c r="L338">
        <v>14.19699784944782</v>
      </c>
      <c r="M338">
        <v>15</v>
      </c>
      <c r="N338">
        <v>-1.4888886425978853E-2</v>
      </c>
      <c r="O338">
        <v>138.48623286512409</v>
      </c>
      <c r="P338" s="1">
        <f t="shared" si="25"/>
        <v>5.4529725255204253</v>
      </c>
      <c r="Q338" s="1">
        <f t="shared" si="26"/>
        <v>0.72706300340272334</v>
      </c>
      <c r="R338" s="1">
        <f t="shared" si="27"/>
        <v>0.85267989503841557</v>
      </c>
      <c r="S338" s="1">
        <f t="shared" si="28"/>
        <v>-0.40625685226720826</v>
      </c>
      <c r="T338" s="56">
        <f t="shared" si="29"/>
        <v>0.3438211131525209</v>
      </c>
    </row>
    <row r="339" spans="1:20" x14ac:dyDescent="0.25">
      <c r="A339">
        <v>0.34546192756115002</v>
      </c>
      <c r="B339">
        <v>2.8711656341329217</v>
      </c>
      <c r="D339">
        <v>0.34952612415648709</v>
      </c>
      <c r="E339">
        <v>-1.0322826290121156</v>
      </c>
      <c r="I339">
        <v>0.85450251993418369</v>
      </c>
      <c r="J339">
        <v>15</v>
      </c>
      <c r="K339">
        <v>-0.18630241053566957</v>
      </c>
      <c r="L339">
        <v>4.5550976577790436</v>
      </c>
      <c r="M339">
        <v>15</v>
      </c>
      <c r="N339">
        <v>0.17952993061953748</v>
      </c>
      <c r="O339">
        <v>166.13062714902767</v>
      </c>
      <c r="P339" s="1">
        <f t="shared" si="25"/>
        <v>6.0959187431002402</v>
      </c>
      <c r="Q339" s="1">
        <f t="shared" si="26"/>
        <v>0.81278916574669868</v>
      </c>
      <c r="R339" s="1">
        <f t="shared" si="27"/>
        <v>0.90154820489350351</v>
      </c>
      <c r="S339" s="1">
        <f t="shared" si="28"/>
        <v>-0.40578234105454342</v>
      </c>
      <c r="T339" s="56">
        <f t="shared" si="29"/>
        <v>0.34399342408957506</v>
      </c>
    </row>
    <row r="340" spans="1:20" x14ac:dyDescent="0.25">
      <c r="A340">
        <v>0.34602661730541184</v>
      </c>
      <c r="B340">
        <v>0.34455297281965613</v>
      </c>
      <c r="D340">
        <v>0.35143525125230946</v>
      </c>
      <c r="E340">
        <v>-0.57549346252017131</v>
      </c>
      <c r="I340">
        <v>0.70635200145249544</v>
      </c>
      <c r="J340">
        <v>15</v>
      </c>
      <c r="K340">
        <v>-0.18118104586998621</v>
      </c>
      <c r="L340">
        <v>22.221696713309342</v>
      </c>
      <c r="M340">
        <v>15</v>
      </c>
      <c r="N340">
        <v>0.12691475262727181</v>
      </c>
      <c r="O340">
        <v>99.389249759247917</v>
      </c>
      <c r="P340" s="1">
        <f t="shared" si="25"/>
        <v>4.3432480883056162</v>
      </c>
      <c r="Q340" s="1">
        <f t="shared" si="26"/>
        <v>0.57909974510741546</v>
      </c>
      <c r="R340" s="1">
        <f t="shared" si="27"/>
        <v>0.7609860347650379</v>
      </c>
      <c r="S340" s="1">
        <f t="shared" si="28"/>
        <v>-0.40486393234849005</v>
      </c>
      <c r="T340" s="56">
        <f t="shared" si="29"/>
        <v>0.34432702612369892</v>
      </c>
    </row>
    <row r="341" spans="1:20" x14ac:dyDescent="0.25">
      <c r="A341">
        <v>0.34613957466752709</v>
      </c>
      <c r="B341">
        <v>1.3884573490940966E-2</v>
      </c>
      <c r="D341">
        <v>0.35200273197099818</v>
      </c>
      <c r="E341">
        <v>-5.0040960138630908</v>
      </c>
      <c r="I341">
        <v>0.37262038943201103</v>
      </c>
      <c r="J341">
        <v>15</v>
      </c>
      <c r="K341">
        <v>9.8210951667473026E-2</v>
      </c>
      <c r="L341">
        <v>30.64678783383135</v>
      </c>
      <c r="M341">
        <v>15</v>
      </c>
      <c r="N341">
        <v>0.40650865798852465</v>
      </c>
      <c r="O341">
        <v>91.698783252697751</v>
      </c>
      <c r="P341" s="1">
        <f t="shared" si="25"/>
        <v>4.3694846816617536</v>
      </c>
      <c r="Q341" s="1">
        <f t="shared" si="26"/>
        <v>0.58259795755490051</v>
      </c>
      <c r="R341" s="1">
        <f t="shared" si="27"/>
        <v>0.76328104755384862</v>
      </c>
      <c r="S341" s="1">
        <f t="shared" si="28"/>
        <v>-0.40391112462320317</v>
      </c>
      <c r="T341" s="56">
        <f t="shared" si="29"/>
        <v>0.34467325824377826</v>
      </c>
    </row>
    <row r="342" spans="1:20" x14ac:dyDescent="0.25">
      <c r="A342">
        <v>0.34724043923923098</v>
      </c>
      <c r="B342">
        <v>0.55119471653597429</v>
      </c>
      <c r="D342">
        <v>0.35207454188084231</v>
      </c>
      <c r="E342">
        <v>4.0836523533016589</v>
      </c>
      <c r="I342">
        <v>0.59195870173851284</v>
      </c>
      <c r="J342">
        <v>15</v>
      </c>
      <c r="K342">
        <v>-0.35251612947225414</v>
      </c>
      <c r="L342">
        <v>8.6836083725414124</v>
      </c>
      <c r="M342">
        <v>15</v>
      </c>
      <c r="N342">
        <v>-2.9758215305264457E-2</v>
      </c>
      <c r="O342">
        <v>130.92682783347371</v>
      </c>
      <c r="P342" s="1">
        <f t="shared" si="25"/>
        <v>4.9860870073576828</v>
      </c>
      <c r="Q342" s="1">
        <f t="shared" si="26"/>
        <v>0.66481160098102432</v>
      </c>
      <c r="R342" s="1">
        <f t="shared" si="27"/>
        <v>0.81535979848225548</v>
      </c>
      <c r="S342" s="1">
        <f t="shared" si="28"/>
        <v>-0.39584722568832142</v>
      </c>
      <c r="T342" s="56">
        <f t="shared" si="29"/>
        <v>0.34760899406582924</v>
      </c>
    </row>
    <row r="343" spans="1:20" x14ac:dyDescent="0.25">
      <c r="A343">
        <v>0.34831156810899999</v>
      </c>
      <c r="B343">
        <v>-0.5696335847460432</v>
      </c>
      <c r="D343">
        <v>0.35222398057884952</v>
      </c>
      <c r="E343">
        <v>-1.3791070648494497</v>
      </c>
      <c r="I343">
        <v>4.1575523033954287E-3</v>
      </c>
      <c r="J343">
        <v>15</v>
      </c>
      <c r="K343">
        <v>-9.1522906586760655E-2</v>
      </c>
      <c r="L343">
        <v>14.977518202747357</v>
      </c>
      <c r="M343">
        <v>15</v>
      </c>
      <c r="N343">
        <v>0.26041561454803741</v>
      </c>
      <c r="O343">
        <v>151.35558395790562</v>
      </c>
      <c r="P343" s="1">
        <f t="shared" si="25"/>
        <v>5.9404679343090345</v>
      </c>
      <c r="Q343" s="1">
        <f t="shared" si="26"/>
        <v>0.79206239124120459</v>
      </c>
      <c r="R343" s="1">
        <f t="shared" si="27"/>
        <v>0.88997887123302233</v>
      </c>
      <c r="S343" s="1">
        <f t="shared" si="28"/>
        <v>-0.39544592856143246</v>
      </c>
      <c r="T343" s="56">
        <f t="shared" si="29"/>
        <v>0.34775534380935952</v>
      </c>
    </row>
    <row r="344" spans="1:20" x14ac:dyDescent="0.25">
      <c r="A344">
        <v>0.34910236192949928</v>
      </c>
      <c r="B344">
        <v>1.4649003787781112</v>
      </c>
      <c r="D344">
        <v>0.35299653523790853</v>
      </c>
      <c r="E344">
        <v>3.5035493476698321</v>
      </c>
      <c r="I344">
        <v>0.29397165991909058</v>
      </c>
      <c r="J344">
        <v>15</v>
      </c>
      <c r="K344">
        <v>-0.25775602807698306</v>
      </c>
      <c r="L344">
        <v>9.8004165506495191</v>
      </c>
      <c r="M344">
        <v>15</v>
      </c>
      <c r="N344">
        <v>9.0486306589809828E-2</v>
      </c>
      <c r="O344">
        <v>155.80135681884781</v>
      </c>
      <c r="P344" s="1">
        <f t="shared" si="25"/>
        <v>5.9143490489106183</v>
      </c>
      <c r="Q344" s="1">
        <f t="shared" si="26"/>
        <v>0.78857987318808243</v>
      </c>
      <c r="R344" s="1">
        <f t="shared" si="27"/>
        <v>0.8880201986374423</v>
      </c>
      <c r="S344" s="1">
        <f t="shared" si="28"/>
        <v>-0.39215587123032547</v>
      </c>
      <c r="T344" s="56">
        <f t="shared" si="29"/>
        <v>0.34895610073590777</v>
      </c>
    </row>
    <row r="345" spans="1:20" x14ac:dyDescent="0.25">
      <c r="A345">
        <v>0.35097675667457962</v>
      </c>
      <c r="B345">
        <v>0.15054183677420951</v>
      </c>
      <c r="D345">
        <v>0.35373997753675901</v>
      </c>
      <c r="E345">
        <v>-4.1438595451381843</v>
      </c>
      <c r="I345">
        <v>0.33657541950158221</v>
      </c>
      <c r="J345">
        <v>15</v>
      </c>
      <c r="K345">
        <v>-0.47112386406903778</v>
      </c>
      <c r="L345">
        <v>18.357256900691855</v>
      </c>
      <c r="M345">
        <v>15</v>
      </c>
      <c r="N345">
        <v>-0.14984584936428291</v>
      </c>
      <c r="O345">
        <v>127.47490115094702</v>
      </c>
      <c r="P345" s="1">
        <f t="shared" si="25"/>
        <v>5.2082913589871032</v>
      </c>
      <c r="Q345" s="1">
        <f t="shared" si="26"/>
        <v>0.69443884786494703</v>
      </c>
      <c r="R345" s="1">
        <f t="shared" si="27"/>
        <v>0.83332997537886933</v>
      </c>
      <c r="S345" s="1">
        <f t="shared" si="28"/>
        <v>-0.38553517117716474</v>
      </c>
      <c r="T345" s="56">
        <f t="shared" si="29"/>
        <v>0.3513772553861535</v>
      </c>
    </row>
    <row r="346" spans="1:20" x14ac:dyDescent="0.25">
      <c r="A346">
        <v>0.3514986535899346</v>
      </c>
      <c r="B346">
        <v>0.64140976974158548</v>
      </c>
      <c r="D346">
        <v>0.35449799461386522</v>
      </c>
      <c r="E346">
        <v>-6.1059533925345022</v>
      </c>
      <c r="I346">
        <v>0.58523296426379445</v>
      </c>
      <c r="J346">
        <v>15</v>
      </c>
      <c r="K346">
        <v>-0.14234061988342242</v>
      </c>
      <c r="L346">
        <v>9.6376356669529972</v>
      </c>
      <c r="M346">
        <v>15</v>
      </c>
      <c r="N346">
        <v>0.13995144968248496</v>
      </c>
      <c r="O346">
        <v>103.34279865212568</v>
      </c>
      <c r="P346" s="1">
        <f t="shared" si="25"/>
        <v>4.0350155113956676</v>
      </c>
      <c r="Q346" s="1">
        <f t="shared" si="26"/>
        <v>0.53800206818608898</v>
      </c>
      <c r="R346" s="1">
        <f t="shared" si="27"/>
        <v>0.73348624266995555</v>
      </c>
      <c r="S346" s="1">
        <f t="shared" si="28"/>
        <v>-0.38486348229019124</v>
      </c>
      <c r="T346" s="56">
        <f t="shared" si="29"/>
        <v>0.35162324616279161</v>
      </c>
    </row>
    <row r="347" spans="1:20" x14ac:dyDescent="0.25">
      <c r="A347">
        <v>0.35162342571559591</v>
      </c>
      <c r="B347">
        <v>-0.6367190508171916</v>
      </c>
      <c r="D347">
        <v>0.35534020677637723</v>
      </c>
      <c r="E347">
        <v>-1.001143804160165</v>
      </c>
      <c r="I347">
        <v>0.90027073859850171</v>
      </c>
      <c r="J347">
        <v>15</v>
      </c>
      <c r="K347">
        <v>-0.52166304461328161</v>
      </c>
      <c r="L347">
        <v>13.241121344353722</v>
      </c>
      <c r="M347">
        <v>15</v>
      </c>
      <c r="N347">
        <v>-0.22127892748358136</v>
      </c>
      <c r="O347">
        <v>117.51475535223379</v>
      </c>
      <c r="P347" s="1">
        <f t="shared" si="25"/>
        <v>4.6698527391638391</v>
      </c>
      <c r="Q347" s="1">
        <f t="shared" si="26"/>
        <v>0.62264703188851189</v>
      </c>
      <c r="R347" s="1">
        <f t="shared" si="27"/>
        <v>0.78907986407493125</v>
      </c>
      <c r="S347" s="1">
        <f t="shared" si="28"/>
        <v>-0.38067644455970517</v>
      </c>
      <c r="T347" s="56">
        <f t="shared" si="29"/>
        <v>0.35315812700464883</v>
      </c>
    </row>
    <row r="348" spans="1:20" x14ac:dyDescent="0.25">
      <c r="A348">
        <v>0.35307601795506616</v>
      </c>
      <c r="B348">
        <v>1.2380314728943631</v>
      </c>
      <c r="D348">
        <v>0.35536935543705539</v>
      </c>
      <c r="E348">
        <v>-0.20887046389361785</v>
      </c>
      <c r="I348">
        <v>0.68312895135669982</v>
      </c>
      <c r="J348">
        <v>15</v>
      </c>
      <c r="K348">
        <v>0.18635167483201562</v>
      </c>
      <c r="L348">
        <v>9.9064465900198808</v>
      </c>
      <c r="M348">
        <v>15</v>
      </c>
      <c r="N348">
        <v>0.36311734788796457</v>
      </c>
      <c r="O348">
        <v>35.891447083950027</v>
      </c>
      <c r="P348" s="1">
        <f t="shared" si="25"/>
        <v>1.6356390597846395</v>
      </c>
      <c r="Q348" s="1">
        <f t="shared" si="26"/>
        <v>0.21808520797128528</v>
      </c>
      <c r="R348" s="1">
        <f t="shared" si="27"/>
        <v>0.46699593999443428</v>
      </c>
      <c r="S348" s="1">
        <f t="shared" si="28"/>
        <v>-0.37851650928283376</v>
      </c>
      <c r="T348" s="56">
        <f t="shared" si="29"/>
        <v>0.35395090217629577</v>
      </c>
    </row>
    <row r="349" spans="1:20" x14ac:dyDescent="0.25">
      <c r="A349">
        <v>0.3531866955648616</v>
      </c>
      <c r="B349">
        <v>1.6265903468593024</v>
      </c>
      <c r="D349">
        <v>0.3588987540446964</v>
      </c>
      <c r="E349">
        <v>-1.2303501114274695</v>
      </c>
      <c r="I349">
        <v>0.31990503233229328</v>
      </c>
      <c r="J349">
        <v>15</v>
      </c>
      <c r="K349">
        <v>-0.42805587933495798</v>
      </c>
      <c r="L349">
        <v>25.248348605688896</v>
      </c>
      <c r="M349">
        <v>15</v>
      </c>
      <c r="N349">
        <v>-8.7186666632987908E-2</v>
      </c>
      <c r="O349">
        <v>145.19550216253526</v>
      </c>
      <c r="P349" s="1">
        <f t="shared" si="25"/>
        <v>6.0872803845794348</v>
      </c>
      <c r="Q349" s="1">
        <f t="shared" si="26"/>
        <v>0.81163738461059132</v>
      </c>
      <c r="R349" s="1">
        <f t="shared" si="27"/>
        <v>0.90090919887111343</v>
      </c>
      <c r="S349" s="1">
        <f t="shared" si="28"/>
        <v>-0.37836134110862352</v>
      </c>
      <c r="T349" s="56">
        <f t="shared" si="29"/>
        <v>0.35400788032868191</v>
      </c>
    </row>
    <row r="350" spans="1:20" x14ac:dyDescent="0.25">
      <c r="A350">
        <v>0.35377533142540507</v>
      </c>
      <c r="B350">
        <v>0.74826857598964125</v>
      </c>
      <c r="D350">
        <v>0.35911234069580755</v>
      </c>
      <c r="E350">
        <v>-1.7863060327272251</v>
      </c>
      <c r="I350">
        <v>0.2895859387577312</v>
      </c>
      <c r="J350">
        <v>15</v>
      </c>
      <c r="K350">
        <v>-4.3634296768383742E-2</v>
      </c>
      <c r="L350">
        <v>11.993959025909117</v>
      </c>
      <c r="M350">
        <v>15</v>
      </c>
      <c r="N350">
        <v>0.22661742718810274</v>
      </c>
      <c r="O350">
        <v>95.176574173972185</v>
      </c>
      <c r="P350" s="1">
        <f t="shared" si="25"/>
        <v>3.8275190428529036</v>
      </c>
      <c r="Q350" s="1">
        <f t="shared" si="26"/>
        <v>0.51033587238038713</v>
      </c>
      <c r="R350" s="1">
        <f t="shared" si="27"/>
        <v>0.71437796185239866</v>
      </c>
      <c r="S350" s="1">
        <f t="shared" si="28"/>
        <v>-0.37830355692344919</v>
      </c>
      <c r="T350" s="56">
        <f t="shared" si="29"/>
        <v>0.35402909971093033</v>
      </c>
    </row>
    <row r="351" spans="1:20" x14ac:dyDescent="0.25">
      <c r="A351">
        <v>0.35403815126998872</v>
      </c>
      <c r="B351">
        <v>-0.82876113083329983</v>
      </c>
      <c r="D351">
        <v>0.35936713126580344</v>
      </c>
      <c r="E351">
        <v>-1.5143818961860234</v>
      </c>
      <c r="I351">
        <v>0.92249087270035246</v>
      </c>
      <c r="J351">
        <v>15</v>
      </c>
      <c r="K351">
        <v>0.26778767884631333</v>
      </c>
      <c r="L351">
        <v>15.750994670904051</v>
      </c>
      <c r="M351">
        <v>15</v>
      </c>
      <c r="N351">
        <v>0.55229679333024251</v>
      </c>
      <c r="O351">
        <v>104.73316270775911</v>
      </c>
      <c r="P351" s="1">
        <f t="shared" si="25"/>
        <v>4.303005620666541</v>
      </c>
      <c r="Q351" s="1">
        <f t="shared" si="26"/>
        <v>0.57373408275553883</v>
      </c>
      <c r="R351" s="1">
        <f t="shared" si="27"/>
        <v>0.7574523633572865</v>
      </c>
      <c r="S351" s="1">
        <f t="shared" si="28"/>
        <v>-0.37561321113698559</v>
      </c>
      <c r="T351" s="56">
        <f t="shared" si="29"/>
        <v>0.35501757076688223</v>
      </c>
    </row>
    <row r="352" spans="1:20" x14ac:dyDescent="0.25">
      <c r="A352">
        <v>0.35481138620971808</v>
      </c>
      <c r="B352">
        <v>0.16882722775335424</v>
      </c>
      <c r="D352">
        <v>0.36309482919446046</v>
      </c>
      <c r="E352">
        <v>2.8194365279432532</v>
      </c>
      <c r="I352">
        <v>0.27555236015336326</v>
      </c>
      <c r="J352">
        <v>15</v>
      </c>
      <c r="K352">
        <v>0.14014653970662039</v>
      </c>
      <c r="L352">
        <v>15.556751948014057</v>
      </c>
      <c r="M352">
        <v>15</v>
      </c>
      <c r="N352">
        <v>0.47107345949370938</v>
      </c>
      <c r="O352">
        <v>147.50642677807997</v>
      </c>
      <c r="P352" s="1">
        <f t="shared" si="25"/>
        <v>5.8236849545033582</v>
      </c>
      <c r="Q352" s="1">
        <f t="shared" si="26"/>
        <v>0.77649132726711445</v>
      </c>
      <c r="R352" s="1">
        <f t="shared" si="27"/>
        <v>0.88118745296736634</v>
      </c>
      <c r="S352" s="1">
        <f t="shared" si="28"/>
        <v>-0.37554656352936572</v>
      </c>
      <c r="T352" s="56">
        <f t="shared" si="29"/>
        <v>0.35504207113818775</v>
      </c>
    </row>
    <row r="353" spans="1:20" x14ac:dyDescent="0.25">
      <c r="A353">
        <v>0.35504330555260544</v>
      </c>
      <c r="B353">
        <v>1.3139924703864381</v>
      </c>
      <c r="D353">
        <v>0.36322721264173952</v>
      </c>
      <c r="E353">
        <v>0.33349419595651852</v>
      </c>
      <c r="I353">
        <v>0.89977234261359473</v>
      </c>
      <c r="J353">
        <v>15</v>
      </c>
      <c r="K353">
        <v>-0.29162030538524658</v>
      </c>
      <c r="L353">
        <v>22.382426642264527</v>
      </c>
      <c r="M353">
        <v>15</v>
      </c>
      <c r="N353">
        <v>6.5267382751699188E-2</v>
      </c>
      <c r="O353">
        <v>168.65444319796657</v>
      </c>
      <c r="P353" s="1">
        <f t="shared" si="25"/>
        <v>6.8227453514368248</v>
      </c>
      <c r="Q353" s="1">
        <f t="shared" si="26"/>
        <v>0.90969938019157659</v>
      </c>
      <c r="R353" s="1">
        <f t="shared" si="27"/>
        <v>0.95378162080823126</v>
      </c>
      <c r="S353" s="1">
        <f t="shared" si="28"/>
        <v>-0.37418176273361231</v>
      </c>
      <c r="T353" s="56">
        <f t="shared" si="29"/>
        <v>0.35554392530290879</v>
      </c>
    </row>
    <row r="354" spans="1:20" x14ac:dyDescent="0.25">
      <c r="A354">
        <v>0.35582381764153659</v>
      </c>
      <c r="B354">
        <v>1.5244995665852912</v>
      </c>
      <c r="D354">
        <v>0.36744592667237608</v>
      </c>
      <c r="E354">
        <v>-4.0872980696349259</v>
      </c>
      <c r="I354">
        <v>0.65267967586154529</v>
      </c>
      <c r="J354">
        <v>15</v>
      </c>
      <c r="K354">
        <v>-0.1705352588032838</v>
      </c>
      <c r="L354">
        <v>13.260459017723948</v>
      </c>
      <c r="M354">
        <v>15</v>
      </c>
      <c r="N354">
        <v>0.23823326614547113</v>
      </c>
      <c r="O354">
        <v>242.70602896974842</v>
      </c>
      <c r="P354" s="1">
        <f t="shared" si="25"/>
        <v>9.1416602852668696</v>
      </c>
      <c r="Q354" s="1">
        <f t="shared" si="26"/>
        <v>1.2188880380355827</v>
      </c>
      <c r="R354" s="1">
        <f t="shared" si="27"/>
        <v>1.1040326254398385</v>
      </c>
      <c r="S354" s="1">
        <f t="shared" si="28"/>
        <v>-0.37025040341167864</v>
      </c>
      <c r="T354" s="56">
        <f t="shared" si="29"/>
        <v>0.35699100854773996</v>
      </c>
    </row>
    <row r="355" spans="1:20" x14ac:dyDescent="0.25">
      <c r="A355">
        <v>0.35793499940970253</v>
      </c>
      <c r="B355">
        <v>-0.96903022495098412</v>
      </c>
      <c r="D355">
        <v>0.36860096034088474</v>
      </c>
      <c r="E355">
        <v>2.1554872057549801</v>
      </c>
      <c r="I355">
        <v>0.54362478770370037</v>
      </c>
      <c r="J355">
        <v>15</v>
      </c>
      <c r="K355">
        <v>0.16421502853821343</v>
      </c>
      <c r="L355">
        <v>18.358009141646384</v>
      </c>
      <c r="M355">
        <v>15</v>
      </c>
      <c r="N355">
        <v>0.49241679903389013</v>
      </c>
      <c r="O355">
        <v>147.67548866490662</v>
      </c>
      <c r="P355" s="1">
        <f t="shared" si="25"/>
        <v>5.9297677788054646</v>
      </c>
      <c r="Q355" s="1">
        <f t="shared" si="26"/>
        <v>0.79063570384072857</v>
      </c>
      <c r="R355" s="1">
        <f t="shared" si="27"/>
        <v>0.88917698116895072</v>
      </c>
      <c r="S355" s="1">
        <f t="shared" si="28"/>
        <v>-0.36910736270321387</v>
      </c>
      <c r="T355" s="56">
        <f t="shared" si="29"/>
        <v>0.35741215579695096</v>
      </c>
    </row>
    <row r="356" spans="1:20" x14ac:dyDescent="0.25">
      <c r="A356">
        <v>0.35900271759725633</v>
      </c>
      <c r="B356">
        <v>0.48212314140982926</v>
      </c>
      <c r="D356">
        <v>0.36887225583903627</v>
      </c>
      <c r="E356">
        <v>1.0983667345954018</v>
      </c>
      <c r="I356">
        <v>0.29185241597267175</v>
      </c>
      <c r="J356">
        <v>15</v>
      </c>
      <c r="K356">
        <v>0.22306115473232543</v>
      </c>
      <c r="L356">
        <v>18.954307328015702</v>
      </c>
      <c r="M356">
        <v>15</v>
      </c>
      <c r="N356">
        <v>0.55942495805538783</v>
      </c>
      <c r="O356">
        <v>157.70004425765902</v>
      </c>
      <c r="P356" s="1">
        <f t="shared" si="25"/>
        <v>6.3090839852026681</v>
      </c>
      <c r="Q356" s="1">
        <f t="shared" si="26"/>
        <v>0.84121119802702238</v>
      </c>
      <c r="R356" s="1">
        <f t="shared" si="27"/>
        <v>0.91717566366919179</v>
      </c>
      <c r="S356" s="1">
        <f t="shared" si="28"/>
        <v>-0.36673869210335103</v>
      </c>
      <c r="T356" s="56">
        <f t="shared" si="29"/>
        <v>0.35828546239244097</v>
      </c>
    </row>
    <row r="357" spans="1:20" x14ac:dyDescent="0.25">
      <c r="A357">
        <v>0.35967606547821163</v>
      </c>
      <c r="B357">
        <v>0.45014303395873867</v>
      </c>
      <c r="D357">
        <v>0.37042469128893918</v>
      </c>
      <c r="E357">
        <v>-5.6008291301168356</v>
      </c>
      <c r="I357">
        <v>2.2891795549298544E-2</v>
      </c>
      <c r="J357">
        <v>15</v>
      </c>
      <c r="K357">
        <v>0.3136308350804029</v>
      </c>
      <c r="L357">
        <v>4.7565399992872646</v>
      </c>
      <c r="M357">
        <v>15</v>
      </c>
      <c r="N357">
        <v>0.60422302908591519</v>
      </c>
      <c r="O357">
        <v>127.19972490687513</v>
      </c>
      <c r="P357" s="1">
        <f t="shared" si="25"/>
        <v>4.7127237466486571</v>
      </c>
      <c r="Q357" s="1">
        <f t="shared" si="26"/>
        <v>0.62836316621982091</v>
      </c>
      <c r="R357" s="1">
        <f t="shared" si="27"/>
        <v>0.79269361434278052</v>
      </c>
      <c r="S357" s="1">
        <f t="shared" si="28"/>
        <v>-0.36658828675747723</v>
      </c>
      <c r="T357" s="56">
        <f t="shared" si="29"/>
        <v>0.3583409418904514</v>
      </c>
    </row>
    <row r="358" spans="1:20" x14ac:dyDescent="0.25">
      <c r="A358">
        <v>0.35994737584007097</v>
      </c>
      <c r="B358">
        <v>0.62970684666652232</v>
      </c>
      <c r="D358">
        <v>0.37067175676913577</v>
      </c>
      <c r="E358">
        <v>1.2007326370166993</v>
      </c>
      <c r="I358">
        <v>0.74620391079961168</v>
      </c>
      <c r="J358">
        <v>15</v>
      </c>
      <c r="K358">
        <v>1.4435045159189031E-2</v>
      </c>
      <c r="L358">
        <v>8.8233606317116848</v>
      </c>
      <c r="M358">
        <v>15</v>
      </c>
      <c r="N358">
        <v>0.28687054168585746</v>
      </c>
      <c r="O358">
        <v>111.25366665287424</v>
      </c>
      <c r="P358" s="1">
        <f t="shared" si="25"/>
        <v>4.2884652601637834</v>
      </c>
      <c r="Q358" s="1">
        <f t="shared" si="26"/>
        <v>0.57179536802183772</v>
      </c>
      <c r="R358" s="1">
        <f t="shared" si="27"/>
        <v>0.75617152023984457</v>
      </c>
      <c r="S358" s="1">
        <f t="shared" si="28"/>
        <v>-0.36028267295792438</v>
      </c>
      <c r="T358" s="56">
        <f t="shared" si="29"/>
        <v>0.36066969536901594</v>
      </c>
    </row>
    <row r="359" spans="1:20" x14ac:dyDescent="0.25">
      <c r="A359">
        <v>0.3600840187755463</v>
      </c>
      <c r="B359">
        <v>-0.54914835345698521</v>
      </c>
      <c r="D359">
        <v>0.37127340284325494</v>
      </c>
      <c r="E359">
        <v>2.6693426173096668</v>
      </c>
      <c r="I359">
        <v>0.20850828861202908</v>
      </c>
      <c r="J359">
        <v>15</v>
      </c>
      <c r="K359">
        <v>1.7861414865668241E-2</v>
      </c>
      <c r="L359">
        <v>15.460531428091054</v>
      </c>
      <c r="M359">
        <v>15</v>
      </c>
      <c r="N359">
        <v>0.3410575538964622</v>
      </c>
      <c r="O359">
        <v>155.32741618604587</v>
      </c>
      <c r="P359" s="1">
        <f t="shared" si="25"/>
        <v>6.0995695576477473</v>
      </c>
      <c r="Q359" s="1">
        <f t="shared" si="26"/>
        <v>0.81327594101969958</v>
      </c>
      <c r="R359" s="1">
        <f t="shared" si="27"/>
        <v>0.90181813078896322</v>
      </c>
      <c r="S359" s="1">
        <f t="shared" si="28"/>
        <v>-0.35838283573656154</v>
      </c>
      <c r="T359" s="56">
        <f t="shared" si="29"/>
        <v>0.36137240665438708</v>
      </c>
    </row>
    <row r="360" spans="1:20" x14ac:dyDescent="0.25">
      <c r="A360">
        <v>0.36079645941667238</v>
      </c>
      <c r="B360">
        <v>0.89019067672779784</v>
      </c>
      <c r="D360">
        <v>0.37224690331989763</v>
      </c>
      <c r="E360">
        <v>2.3722720891328208</v>
      </c>
      <c r="I360">
        <v>0.87856029335056751</v>
      </c>
      <c r="J360">
        <v>15</v>
      </c>
      <c r="K360">
        <v>-0.21000300876039546</v>
      </c>
      <c r="L360">
        <v>6.3670929851231008</v>
      </c>
      <c r="M360">
        <v>15</v>
      </c>
      <c r="N360">
        <v>0.13860949025001901</v>
      </c>
      <c r="O360">
        <v>192.61283214480429</v>
      </c>
      <c r="P360" s="1">
        <f t="shared" si="25"/>
        <v>7.1064258974974068</v>
      </c>
      <c r="Q360" s="1">
        <f t="shared" si="26"/>
        <v>0.94752345299965424</v>
      </c>
      <c r="R360" s="1">
        <f t="shared" si="27"/>
        <v>0.97340816361876392</v>
      </c>
      <c r="S360" s="1">
        <f t="shared" si="28"/>
        <v>-0.35813599273135832</v>
      </c>
      <c r="T360" s="56">
        <f t="shared" si="29"/>
        <v>0.36146374514905549</v>
      </c>
    </row>
    <row r="361" spans="1:20" x14ac:dyDescent="0.25">
      <c r="A361">
        <v>0.36264599246181428</v>
      </c>
      <c r="B361">
        <v>-1.1201677807548549</v>
      </c>
      <c r="D361">
        <v>0.37375598162229218</v>
      </c>
      <c r="E361">
        <v>3.4926412126878859E-2</v>
      </c>
      <c r="I361">
        <v>0.11857755038394213</v>
      </c>
      <c r="J361">
        <v>15</v>
      </c>
      <c r="K361">
        <v>-0.53338408179115504</v>
      </c>
      <c r="L361">
        <v>11.266353612217372</v>
      </c>
      <c r="M361">
        <v>15</v>
      </c>
      <c r="N361">
        <v>-0.3032712390904635</v>
      </c>
      <c r="O361">
        <v>75.873105069767576</v>
      </c>
      <c r="P361" s="1">
        <f t="shared" si="25"/>
        <v>3.1121235243566052</v>
      </c>
      <c r="Q361" s="1">
        <f t="shared" si="26"/>
        <v>0.41494980324754738</v>
      </c>
      <c r="R361" s="1">
        <f t="shared" si="27"/>
        <v>0.64416597492226135</v>
      </c>
      <c r="S361" s="1">
        <f t="shared" si="28"/>
        <v>-0.35722601264132559</v>
      </c>
      <c r="T361" s="56">
        <f t="shared" si="29"/>
        <v>0.36180053392721928</v>
      </c>
    </row>
    <row r="362" spans="1:20" x14ac:dyDescent="0.25">
      <c r="A362">
        <v>0.3630339221552441</v>
      </c>
      <c r="B362">
        <v>-0.84482962847687304</v>
      </c>
      <c r="D362">
        <v>0.37562802015966756</v>
      </c>
      <c r="E362">
        <v>-2.0608597458249278</v>
      </c>
      <c r="I362">
        <v>0.43397917642625405</v>
      </c>
      <c r="J362">
        <v>15</v>
      </c>
      <c r="K362">
        <v>-2.0493719906274539E-2</v>
      </c>
      <c r="L362">
        <v>11.737615389491323</v>
      </c>
      <c r="M362">
        <v>15</v>
      </c>
      <c r="N362">
        <v>0.32709771971894952</v>
      </c>
      <c r="O362">
        <v>187.97859068689093</v>
      </c>
      <c r="P362" s="1">
        <f t="shared" si="25"/>
        <v>7.1327216455850797</v>
      </c>
      <c r="Q362" s="1">
        <f t="shared" si="26"/>
        <v>0.95102955274467726</v>
      </c>
      <c r="R362" s="1">
        <f t="shared" si="27"/>
        <v>0.97520744087844058</v>
      </c>
      <c r="S362" s="1">
        <f t="shared" si="28"/>
        <v>-0.35642820702036793</v>
      </c>
      <c r="T362" s="56">
        <f t="shared" si="29"/>
        <v>0.36209589918506113</v>
      </c>
    </row>
    <row r="363" spans="1:20" x14ac:dyDescent="0.25">
      <c r="A363">
        <v>0.36804009767766532</v>
      </c>
      <c r="B363">
        <v>0.10280359674652573</v>
      </c>
      <c r="D363">
        <v>0.37727887623589051</v>
      </c>
      <c r="E363">
        <v>1.1286051596925972</v>
      </c>
      <c r="I363">
        <v>0.361060514460114</v>
      </c>
      <c r="J363">
        <v>15</v>
      </c>
      <c r="K363">
        <v>0.14825711029213076</v>
      </c>
      <c r="L363">
        <v>13.295835655083582</v>
      </c>
      <c r="M363">
        <v>15</v>
      </c>
      <c r="N363">
        <v>0.50381867936266644</v>
      </c>
      <c r="O363">
        <v>198.68711286718161</v>
      </c>
      <c r="P363" s="1">
        <f t="shared" si="25"/>
        <v>7.5708195900808999</v>
      </c>
      <c r="Q363" s="1">
        <f t="shared" si="26"/>
        <v>1.0094426120107867</v>
      </c>
      <c r="R363" s="1">
        <f t="shared" si="27"/>
        <v>1.0047102129523651</v>
      </c>
      <c r="S363" s="1">
        <f t="shared" si="28"/>
        <v>-0.35389464990677211</v>
      </c>
      <c r="T363" s="56">
        <f t="shared" si="29"/>
        <v>0.36303445141318214</v>
      </c>
    </row>
    <row r="364" spans="1:20" x14ac:dyDescent="0.25">
      <c r="A364">
        <v>0.3682030465480346</v>
      </c>
      <c r="B364">
        <v>0.67235419010103215</v>
      </c>
      <c r="D364">
        <v>0.37783316348243445</v>
      </c>
      <c r="E364">
        <v>-2.2826650399565551</v>
      </c>
      <c r="I364">
        <v>0.65890101358208641</v>
      </c>
      <c r="J364">
        <v>15</v>
      </c>
      <c r="K364">
        <v>0.45731371756119188</v>
      </c>
      <c r="L364">
        <v>17.692793800994579</v>
      </c>
      <c r="M364">
        <v>15</v>
      </c>
      <c r="N364">
        <v>0.77208801144479366</v>
      </c>
      <c r="O364">
        <v>148.72210266633496</v>
      </c>
      <c r="P364" s="1">
        <f t="shared" si="25"/>
        <v>5.9433891595474835</v>
      </c>
      <c r="Q364" s="1">
        <f t="shared" si="26"/>
        <v>0.79245188793966448</v>
      </c>
      <c r="R364" s="1">
        <f t="shared" si="27"/>
        <v>0.89019766790284527</v>
      </c>
      <c r="S364" s="1">
        <f t="shared" si="28"/>
        <v>-0.35360044766816412</v>
      </c>
      <c r="T364" s="56">
        <f t="shared" si="29"/>
        <v>0.36314349452489958</v>
      </c>
    </row>
    <row r="365" spans="1:20" x14ac:dyDescent="0.25">
      <c r="A365">
        <v>0.36843719187227142</v>
      </c>
      <c r="B365">
        <v>-0.6403774932550732</v>
      </c>
      <c r="D365">
        <v>0.37946109754049839</v>
      </c>
      <c r="E365">
        <v>0.31659805813433195</v>
      </c>
      <c r="I365">
        <v>0.43100578938995293</v>
      </c>
      <c r="J365">
        <v>15</v>
      </c>
      <c r="K365">
        <v>0.15846626411075704</v>
      </c>
      <c r="L365">
        <v>10.932393116231918</v>
      </c>
      <c r="M365">
        <v>15</v>
      </c>
      <c r="N365">
        <v>0.46880722607056668</v>
      </c>
      <c r="O365">
        <v>152.04249533277681</v>
      </c>
      <c r="P365" s="1">
        <f t="shared" si="25"/>
        <v>5.8205317303217399</v>
      </c>
      <c r="Q365" s="1">
        <f t="shared" si="26"/>
        <v>0.77607089737623203</v>
      </c>
      <c r="R365" s="1">
        <f t="shared" si="27"/>
        <v>0.8809488619529694</v>
      </c>
      <c r="S365" s="1">
        <f t="shared" si="28"/>
        <v>-0.35228033699006878</v>
      </c>
      <c r="T365" s="56">
        <f t="shared" si="29"/>
        <v>0.36363292419921545</v>
      </c>
    </row>
    <row r="366" spans="1:20" x14ac:dyDescent="0.25">
      <c r="A366">
        <v>0.36961082954359881</v>
      </c>
      <c r="B366">
        <v>-0.24346945792785846</v>
      </c>
      <c r="D366">
        <v>0.38042776017433944</v>
      </c>
      <c r="E366">
        <v>-4.1421269577313069</v>
      </c>
      <c r="I366">
        <v>4.7375261310798389E-2</v>
      </c>
      <c r="J366">
        <v>15</v>
      </c>
      <c r="K366">
        <v>0.20060133465449326</v>
      </c>
      <c r="L366">
        <v>18.50289358426566</v>
      </c>
      <c r="M366">
        <v>15</v>
      </c>
      <c r="N366">
        <v>0.52266363695707696</v>
      </c>
      <c r="O366">
        <v>157.03256603088212</v>
      </c>
      <c r="P366" s="1">
        <f t="shared" si="25"/>
        <v>6.2691235576838489</v>
      </c>
      <c r="Q366" s="1">
        <f t="shared" si="26"/>
        <v>0.83588314102451322</v>
      </c>
      <c r="R366" s="1">
        <f t="shared" si="27"/>
        <v>0.91426644968767901</v>
      </c>
      <c r="S366" s="1">
        <f t="shared" si="28"/>
        <v>-0.35226306555665787</v>
      </c>
      <c r="T366" s="56">
        <f t="shared" si="29"/>
        <v>0.36363932912279107</v>
      </c>
    </row>
    <row r="367" spans="1:20" x14ac:dyDescent="0.25">
      <c r="A367">
        <v>0.37074070887221511</v>
      </c>
      <c r="B367">
        <v>-0.42857436710619368</v>
      </c>
      <c r="D367">
        <v>0.38172639025961785</v>
      </c>
      <c r="E367">
        <v>3.711725863695392</v>
      </c>
      <c r="I367">
        <v>0.33191600388004217</v>
      </c>
      <c r="J367">
        <v>15</v>
      </c>
      <c r="K367">
        <v>-6.2062402624481665E-3</v>
      </c>
      <c r="L367">
        <v>12.390570231222538</v>
      </c>
      <c r="M367">
        <v>15</v>
      </c>
      <c r="N367">
        <v>0.25084932190111431</v>
      </c>
      <c r="O367">
        <v>106.75781728414754</v>
      </c>
      <c r="P367" s="1">
        <f t="shared" si="25"/>
        <v>4.2552995541203602</v>
      </c>
      <c r="Q367" s="1">
        <f t="shared" si="26"/>
        <v>0.56737327388271463</v>
      </c>
      <c r="R367" s="1">
        <f t="shared" si="27"/>
        <v>0.75324184289158724</v>
      </c>
      <c r="S367" s="1">
        <f t="shared" si="28"/>
        <v>-0.34126564341774096</v>
      </c>
      <c r="T367" s="56">
        <f t="shared" si="29"/>
        <v>0.36772568873696232</v>
      </c>
    </row>
    <row r="368" spans="1:20" x14ac:dyDescent="0.25">
      <c r="A368">
        <v>0.37177750751141692</v>
      </c>
      <c r="B368">
        <v>0.15332830116676632</v>
      </c>
      <c r="D368">
        <v>0.38179760881188141</v>
      </c>
      <c r="E368">
        <v>0.82408928051336261</v>
      </c>
      <c r="I368">
        <v>0.792121898379606</v>
      </c>
      <c r="J368">
        <v>15</v>
      </c>
      <c r="K368">
        <v>0.11307232246811812</v>
      </c>
      <c r="L368">
        <v>7.6585587769156662</v>
      </c>
      <c r="M368">
        <v>15</v>
      </c>
      <c r="N368">
        <v>0.39373139429699222</v>
      </c>
      <c r="O368">
        <v>137.84975863465468</v>
      </c>
      <c r="P368" s="1">
        <f t="shared" si="25"/>
        <v>5.1967256218417983</v>
      </c>
      <c r="Q368" s="1">
        <f t="shared" si="26"/>
        <v>0.69289674957890646</v>
      </c>
      <c r="R368" s="1">
        <f t="shared" si="27"/>
        <v>0.83240419843901947</v>
      </c>
      <c r="S368" s="1">
        <f t="shared" si="28"/>
        <v>-0.3371668143375357</v>
      </c>
      <c r="T368" s="56">
        <f t="shared" si="29"/>
        <v>0.36925278643631437</v>
      </c>
    </row>
    <row r="369" spans="1:20" x14ac:dyDescent="0.25">
      <c r="A369">
        <v>0.37297718293090198</v>
      </c>
      <c r="B369">
        <v>-1.0104804459842853</v>
      </c>
      <c r="D369">
        <v>0.38194258776199075</v>
      </c>
      <c r="E369">
        <v>-5.8962421041997004</v>
      </c>
      <c r="I369">
        <v>0.17600126829636997</v>
      </c>
      <c r="J369">
        <v>15</v>
      </c>
      <c r="K369">
        <v>7.4541276262607425E-2</v>
      </c>
      <c r="L369">
        <v>8.5923934343418882</v>
      </c>
      <c r="M369">
        <v>15</v>
      </c>
      <c r="N369">
        <v>0.38100847291389073</v>
      </c>
      <c r="O369">
        <v>176.4048663213963</v>
      </c>
      <c r="P369" s="1">
        <f t="shared" si="25"/>
        <v>6.6070449912763634</v>
      </c>
      <c r="Q369" s="1">
        <f t="shared" si="26"/>
        <v>0.88093933217018172</v>
      </c>
      <c r="R369" s="1">
        <f t="shared" si="27"/>
        <v>0.93858368415937299</v>
      </c>
      <c r="S369" s="1">
        <f t="shared" si="28"/>
        <v>-0.32652090785678378</v>
      </c>
      <c r="T369" s="56">
        <f t="shared" si="29"/>
        <v>0.37322924334058732</v>
      </c>
    </row>
    <row r="370" spans="1:20" x14ac:dyDescent="0.25">
      <c r="A370">
        <v>0.37402611856228019</v>
      </c>
      <c r="B370">
        <v>-1.2713076102954801</v>
      </c>
      <c r="D370">
        <v>0.38304344748895935</v>
      </c>
      <c r="E370">
        <v>4.5586268663555529</v>
      </c>
      <c r="I370">
        <v>0.30732688088866467</v>
      </c>
      <c r="J370">
        <v>15</v>
      </c>
      <c r="K370">
        <v>0.10124980083977182</v>
      </c>
      <c r="L370">
        <v>23.359029308553524</v>
      </c>
      <c r="M370">
        <v>15</v>
      </c>
      <c r="N370">
        <v>0.4284936460408062</v>
      </c>
      <c r="O370">
        <v>192.39203766202061</v>
      </c>
      <c r="P370" s="1">
        <f t="shared" si="25"/>
        <v>7.7053952489490758</v>
      </c>
      <c r="Q370" s="1">
        <f t="shared" si="26"/>
        <v>1.0273860331932101</v>
      </c>
      <c r="R370" s="1">
        <f t="shared" si="27"/>
        <v>1.0136005293966701</v>
      </c>
      <c r="S370" s="1">
        <f t="shared" si="28"/>
        <v>-0.32285287518133121</v>
      </c>
      <c r="T370" s="56">
        <f t="shared" si="29"/>
        <v>0.37460265642098256</v>
      </c>
    </row>
    <row r="371" spans="1:20" x14ac:dyDescent="0.25">
      <c r="A371">
        <v>0.37412066627928076</v>
      </c>
      <c r="B371">
        <v>1.6217290976783261</v>
      </c>
      <c r="D371">
        <v>0.38331520076208658</v>
      </c>
      <c r="E371">
        <v>-0.97563247777543438</v>
      </c>
      <c r="I371">
        <v>0.59490627731268342</v>
      </c>
      <c r="J371">
        <v>15</v>
      </c>
      <c r="K371">
        <v>3.0258358189409289E-2</v>
      </c>
      <c r="L371">
        <v>13.161449567424448</v>
      </c>
      <c r="M371">
        <v>15</v>
      </c>
      <c r="N371">
        <v>0.2966657996239519</v>
      </c>
      <c r="O371">
        <v>129.93109224072555</v>
      </c>
      <c r="P371" s="1">
        <f t="shared" si="25"/>
        <v>5.1104479217196426</v>
      </c>
      <c r="Q371" s="1">
        <f t="shared" si="26"/>
        <v>0.6813930562292857</v>
      </c>
      <c r="R371" s="1">
        <f t="shared" si="27"/>
        <v>0.82546535737684701</v>
      </c>
      <c r="S371" s="1">
        <f t="shared" si="28"/>
        <v>-0.32273606524340243</v>
      </c>
      <c r="T371" s="56">
        <f t="shared" si="29"/>
        <v>0.37464642097886441</v>
      </c>
    </row>
    <row r="372" spans="1:20" x14ac:dyDescent="0.25">
      <c r="A372">
        <v>0.37471528716370306</v>
      </c>
      <c r="B372">
        <v>-0.46449599722109269</v>
      </c>
      <c r="D372">
        <v>0.38360206314512513</v>
      </c>
      <c r="E372">
        <v>-0.81014650618271844</v>
      </c>
      <c r="I372">
        <v>0.56053637706324044</v>
      </c>
      <c r="J372">
        <v>15</v>
      </c>
      <c r="K372">
        <v>-4.6849512121601343E-2</v>
      </c>
      <c r="L372">
        <v>16.410284460619764</v>
      </c>
      <c r="M372">
        <v>15</v>
      </c>
      <c r="N372">
        <v>0.26509610165703634</v>
      </c>
      <c r="O372">
        <v>181.6205789683967</v>
      </c>
      <c r="P372" s="1">
        <f t="shared" si="25"/>
        <v>7.0725308367505875</v>
      </c>
      <c r="Q372" s="1">
        <f t="shared" si="26"/>
        <v>0.94300411156674502</v>
      </c>
      <c r="R372" s="1">
        <f t="shared" si="27"/>
        <v>0.97108398790565231</v>
      </c>
      <c r="S372" s="1">
        <f t="shared" si="28"/>
        <v>-0.32123443251434336</v>
      </c>
      <c r="T372" s="56">
        <f t="shared" si="29"/>
        <v>0.3752091811512675</v>
      </c>
    </row>
    <row r="373" spans="1:20" x14ac:dyDescent="0.25">
      <c r="A373">
        <v>0.37733735588328376</v>
      </c>
      <c r="B373">
        <v>-0.34293066164536867</v>
      </c>
      <c r="D373">
        <v>0.3863729498515045</v>
      </c>
      <c r="E373">
        <v>5.5879474950870645</v>
      </c>
      <c r="I373">
        <v>0.44655714246843548</v>
      </c>
      <c r="J373">
        <v>15</v>
      </c>
      <c r="K373">
        <v>0.17403234172282586</v>
      </c>
      <c r="L373">
        <v>25.178050908522128</v>
      </c>
      <c r="M373">
        <v>15</v>
      </c>
      <c r="N373">
        <v>0.47632124392293917</v>
      </c>
      <c r="O373">
        <v>166.6281668434311</v>
      </c>
      <c r="P373" s="1">
        <f t="shared" si="25"/>
        <v>6.8502220625697579</v>
      </c>
      <c r="Q373" s="1">
        <f t="shared" si="26"/>
        <v>0.91336294167596765</v>
      </c>
      <c r="R373" s="1">
        <f t="shared" si="27"/>
        <v>0.95570023630632617</v>
      </c>
      <c r="S373" s="1">
        <f t="shared" si="28"/>
        <v>-0.31630095998346286</v>
      </c>
      <c r="T373" s="56">
        <f t="shared" si="29"/>
        <v>0.37706004279250638</v>
      </c>
    </row>
    <row r="374" spans="1:20" x14ac:dyDescent="0.25">
      <c r="A374">
        <v>0.38012845191785061</v>
      </c>
      <c r="B374">
        <v>-0.82531641965033486</v>
      </c>
      <c r="D374">
        <v>0.38750933828143996</v>
      </c>
      <c r="E374">
        <v>2.9163727469949663</v>
      </c>
      <c r="I374">
        <v>0.49489036341626469</v>
      </c>
      <c r="J374">
        <v>15</v>
      </c>
      <c r="K374">
        <v>-4.1400956736955168E-3</v>
      </c>
      <c r="L374">
        <v>11.562072330419348</v>
      </c>
      <c r="M374">
        <v>15</v>
      </c>
      <c r="N374">
        <v>0.30140062904138176</v>
      </c>
      <c r="O374">
        <v>187.93287295589562</v>
      </c>
      <c r="P374" s="1">
        <f t="shared" si="25"/>
        <v>7.1248194745112485</v>
      </c>
      <c r="Q374" s="1">
        <f t="shared" si="26"/>
        <v>0.94997592993483315</v>
      </c>
      <c r="R374" s="1">
        <f t="shared" si="27"/>
        <v>0.97466708671978508</v>
      </c>
      <c r="S374" s="1">
        <f t="shared" si="28"/>
        <v>-0.31348214059773583</v>
      </c>
      <c r="T374" s="56">
        <f t="shared" si="29"/>
        <v>0.37811890435560791</v>
      </c>
    </row>
    <row r="375" spans="1:20" x14ac:dyDescent="0.25">
      <c r="A375">
        <v>0.38127632085746632</v>
      </c>
      <c r="B375">
        <v>0.53797521104570478</v>
      </c>
      <c r="D375">
        <v>0.38992493958883701</v>
      </c>
      <c r="E375">
        <v>1.7712552528337255</v>
      </c>
      <c r="I375">
        <v>0.68947016780814818</v>
      </c>
      <c r="J375">
        <v>15</v>
      </c>
      <c r="K375">
        <v>0.11951025650584295</v>
      </c>
      <c r="L375">
        <v>15.180524618721309</v>
      </c>
      <c r="M375">
        <v>15</v>
      </c>
      <c r="N375">
        <v>0.37600625205413962</v>
      </c>
      <c r="O375">
        <v>131.48365524781897</v>
      </c>
      <c r="P375" s="1">
        <f t="shared" si="25"/>
        <v>5.2380064238050101</v>
      </c>
      <c r="Q375" s="1">
        <f t="shared" si="26"/>
        <v>0.69840085650733463</v>
      </c>
      <c r="R375" s="1">
        <f t="shared" si="27"/>
        <v>0.83570380907791408</v>
      </c>
      <c r="S375" s="1">
        <f t="shared" si="28"/>
        <v>-0.30692213289216097</v>
      </c>
      <c r="T375" s="56">
        <f t="shared" si="29"/>
        <v>0.3805868333876849</v>
      </c>
    </row>
    <row r="376" spans="1:20" x14ac:dyDescent="0.25">
      <c r="A376">
        <v>0.38230721796681777</v>
      </c>
      <c r="B376">
        <v>-1.5720615920145065E-2</v>
      </c>
      <c r="D376">
        <v>0.39020502805930746</v>
      </c>
      <c r="E376">
        <v>-2.8250399316220864</v>
      </c>
      <c r="I376">
        <v>0.44231611447290953</v>
      </c>
      <c r="J376">
        <v>15</v>
      </c>
      <c r="K376">
        <v>-0.20039904787457394</v>
      </c>
      <c r="L376">
        <v>16.50303603197144</v>
      </c>
      <c r="M376">
        <v>15</v>
      </c>
      <c r="N376">
        <v>8.9678220547284582E-2</v>
      </c>
      <c r="O376">
        <v>173.64816353981627</v>
      </c>
      <c r="P376" s="1">
        <f t="shared" si="25"/>
        <v>6.7911142704209899</v>
      </c>
      <c r="Q376" s="1">
        <f t="shared" si="26"/>
        <v>0.9054819027227986</v>
      </c>
      <c r="R376" s="1">
        <f t="shared" si="27"/>
        <v>0.95156812826134451</v>
      </c>
      <c r="S376" s="1">
        <f t="shared" si="28"/>
        <v>-0.30484130332514664</v>
      </c>
      <c r="T376" s="56">
        <f t="shared" si="29"/>
        <v>0.38137073594928206</v>
      </c>
    </row>
    <row r="377" spans="1:20" x14ac:dyDescent="0.25">
      <c r="A377">
        <v>0.38389996417484007</v>
      </c>
      <c r="B377">
        <v>1.3808403309667483E-2</v>
      </c>
      <c r="D377">
        <v>0.39641872397757283</v>
      </c>
      <c r="E377">
        <v>-4.1133960201023001</v>
      </c>
      <c r="I377">
        <v>3.669797724974011E-2</v>
      </c>
      <c r="J377">
        <v>15</v>
      </c>
      <c r="K377">
        <v>-0.19214561082966006</v>
      </c>
      <c r="L377">
        <v>19.305522362129917</v>
      </c>
      <c r="M377">
        <v>15</v>
      </c>
      <c r="N377">
        <v>4.3928253035119269E-4</v>
      </c>
      <c r="O377">
        <v>65.875701461111731</v>
      </c>
      <c r="P377" s="1">
        <f t="shared" si="25"/>
        <v>3.0421865651157733</v>
      </c>
      <c r="Q377" s="1">
        <f t="shared" si="26"/>
        <v>0.40562487534876979</v>
      </c>
      <c r="R377" s="1">
        <f t="shared" si="27"/>
        <v>0.63688686228306657</v>
      </c>
      <c r="S377" s="1">
        <f t="shared" si="28"/>
        <v>-0.30238477940908792</v>
      </c>
      <c r="T377" s="56">
        <f t="shared" si="29"/>
        <v>0.38229683298991762</v>
      </c>
    </row>
    <row r="378" spans="1:20" x14ac:dyDescent="0.25">
      <c r="A378">
        <v>0.38404165348766695</v>
      </c>
      <c r="B378">
        <v>0.75903926699538715</v>
      </c>
      <c r="D378">
        <v>0.39726800384491334</v>
      </c>
      <c r="E378">
        <v>4.2146878024595935</v>
      </c>
      <c r="I378">
        <v>0.23421662921108777</v>
      </c>
      <c r="J378">
        <v>15</v>
      </c>
      <c r="K378">
        <v>-0.13217625867885849</v>
      </c>
      <c r="L378">
        <v>7.4606744266676417</v>
      </c>
      <c r="M378">
        <v>15</v>
      </c>
      <c r="N378">
        <v>0.17361957930006611</v>
      </c>
      <c r="O378">
        <v>208.60335959098563</v>
      </c>
      <c r="P378" s="1">
        <f t="shared" si="25"/>
        <v>7.7165726434876172</v>
      </c>
      <c r="Q378" s="1">
        <f t="shared" si="26"/>
        <v>1.0288763524650155</v>
      </c>
      <c r="R378" s="1">
        <f t="shared" si="27"/>
        <v>1.0143354240412861</v>
      </c>
      <c r="S378" s="1">
        <f t="shared" si="28"/>
        <v>-0.3014740792159083</v>
      </c>
      <c r="T378" s="56">
        <f t="shared" si="29"/>
        <v>0.38264034312508427</v>
      </c>
    </row>
    <row r="379" spans="1:20" x14ac:dyDescent="0.25">
      <c r="A379">
        <v>0.38523040128028596</v>
      </c>
      <c r="B379">
        <v>1.7792535800253972</v>
      </c>
      <c r="D379">
        <v>0.39750227306448271</v>
      </c>
      <c r="E379">
        <v>2.3732270585696824</v>
      </c>
      <c r="I379">
        <v>0.80573446531705961</v>
      </c>
      <c r="J379">
        <v>15</v>
      </c>
      <c r="K379">
        <v>0.10954939474080068</v>
      </c>
      <c r="L379">
        <v>3.5013624690787744</v>
      </c>
      <c r="M379">
        <v>15</v>
      </c>
      <c r="N379">
        <v>0.29367401680246985</v>
      </c>
      <c r="O379">
        <v>75.206215292720387</v>
      </c>
      <c r="P379" s="1">
        <f t="shared" si="25"/>
        <v>2.8109849200642558</v>
      </c>
      <c r="Q379" s="1">
        <f t="shared" si="26"/>
        <v>0.37479798934190078</v>
      </c>
      <c r="R379" s="1">
        <f t="shared" si="27"/>
        <v>0.61220747246493223</v>
      </c>
      <c r="S379" s="1">
        <f t="shared" si="28"/>
        <v>-0.30075526736112485</v>
      </c>
      <c r="T379" s="56">
        <f t="shared" si="29"/>
        <v>0.38291154301405517</v>
      </c>
    </row>
    <row r="380" spans="1:20" x14ac:dyDescent="0.25">
      <c r="A380">
        <v>0.38631782383703639</v>
      </c>
      <c r="B380">
        <v>1.3652152119902894</v>
      </c>
      <c r="D380">
        <v>0.39775721749235293</v>
      </c>
      <c r="E380">
        <v>-3.7858960729408864</v>
      </c>
      <c r="I380">
        <v>0.83311738287766024</v>
      </c>
      <c r="J380">
        <v>15</v>
      </c>
      <c r="K380">
        <v>-0.25652358696485561</v>
      </c>
      <c r="L380">
        <v>20.175652968116204</v>
      </c>
      <c r="M380">
        <v>15</v>
      </c>
      <c r="N380">
        <v>4.8157286300920532E-2</v>
      </c>
      <c r="O380">
        <v>197.91569732568894</v>
      </c>
      <c r="P380" s="1">
        <f t="shared" si="25"/>
        <v>7.7889767962073266</v>
      </c>
      <c r="Q380" s="1">
        <f t="shared" si="26"/>
        <v>1.0385302394943101</v>
      </c>
      <c r="R380" s="1">
        <f t="shared" si="27"/>
        <v>1.0190830385666863</v>
      </c>
      <c r="S380" s="1">
        <f t="shared" si="28"/>
        <v>-0.29897551203904038</v>
      </c>
      <c r="T380" s="56">
        <f t="shared" si="29"/>
        <v>0.38358328554293036</v>
      </c>
    </row>
    <row r="381" spans="1:20" x14ac:dyDescent="0.25">
      <c r="A381">
        <v>0.38632179865443672</v>
      </c>
      <c r="B381">
        <v>0.18927266864920966</v>
      </c>
      <c r="D381">
        <v>0.39825915945650248</v>
      </c>
      <c r="E381">
        <v>1.694097132940442</v>
      </c>
      <c r="I381">
        <v>0.9631767410237132</v>
      </c>
      <c r="J381">
        <v>15</v>
      </c>
      <c r="K381">
        <v>0.24746903667013007</v>
      </c>
      <c r="L381">
        <v>10.811514985612725</v>
      </c>
      <c r="M381">
        <v>15</v>
      </c>
      <c r="N381">
        <v>0.50518246666797495</v>
      </c>
      <c r="O381">
        <v>146.1390182748699</v>
      </c>
      <c r="P381" s="1">
        <f t="shared" si="25"/>
        <v>5.6053761878743789</v>
      </c>
      <c r="Q381" s="1">
        <f t="shared" si="26"/>
        <v>0.7473834917165838</v>
      </c>
      <c r="R381" s="1">
        <f t="shared" si="27"/>
        <v>0.86451344218385862</v>
      </c>
      <c r="S381" s="1">
        <f t="shared" si="28"/>
        <v>-0.29810228207306022</v>
      </c>
      <c r="T381" s="56">
        <f t="shared" si="29"/>
        <v>0.383913008487487</v>
      </c>
    </row>
    <row r="382" spans="1:20" x14ac:dyDescent="0.25">
      <c r="A382">
        <v>0.38650745876861992</v>
      </c>
      <c r="B382">
        <v>1.8377249944023788</v>
      </c>
      <c r="D382">
        <v>0.39905998563088807</v>
      </c>
      <c r="E382">
        <v>3.3548333215094317</v>
      </c>
      <c r="I382">
        <v>0.33277404484659745</v>
      </c>
      <c r="J382">
        <v>15</v>
      </c>
      <c r="K382">
        <v>-0.32430746917574044</v>
      </c>
      <c r="L382">
        <v>11.414478546514243</v>
      </c>
      <c r="M382">
        <v>15</v>
      </c>
      <c r="N382">
        <v>-9.1287350869606598E-2</v>
      </c>
      <c r="O382">
        <v>118.51074551369544</v>
      </c>
      <c r="P382" s="1">
        <f t="shared" si="25"/>
        <v>4.6401865735789167</v>
      </c>
      <c r="Q382" s="1">
        <f t="shared" si="26"/>
        <v>0.61869154314385555</v>
      </c>
      <c r="R382" s="1">
        <f t="shared" si="27"/>
        <v>0.78656947763300322</v>
      </c>
      <c r="S382" s="1">
        <f t="shared" si="28"/>
        <v>-0.2962486149441666</v>
      </c>
      <c r="T382" s="56">
        <f t="shared" si="29"/>
        <v>0.38461322820701727</v>
      </c>
    </row>
    <row r="383" spans="1:20" x14ac:dyDescent="0.25">
      <c r="A383">
        <v>0.38748353046636552</v>
      </c>
      <c r="B383">
        <v>9.7037400337285362E-2</v>
      </c>
      <c r="D383">
        <v>0.39924950351850919</v>
      </c>
      <c r="E383">
        <v>0.24798350409582781</v>
      </c>
      <c r="I383">
        <v>1.4652166971492186E-2</v>
      </c>
      <c r="J383">
        <v>15</v>
      </c>
      <c r="K383">
        <v>-0.31437555965870462</v>
      </c>
      <c r="L383">
        <v>15.48722780207094</v>
      </c>
      <c r="M383">
        <v>15</v>
      </c>
      <c r="N383">
        <v>-0.10804865610225534</v>
      </c>
      <c r="O383">
        <v>87.39579156074619</v>
      </c>
      <c r="P383" s="1">
        <f t="shared" si="25"/>
        <v>3.67439354867204</v>
      </c>
      <c r="Q383" s="1">
        <f t="shared" si="26"/>
        <v>0.48991913982293867</v>
      </c>
      <c r="R383" s="1">
        <f t="shared" si="27"/>
        <v>0.6999422403476866</v>
      </c>
      <c r="S383" s="1">
        <f t="shared" si="28"/>
        <v>-0.29477704253705173</v>
      </c>
      <c r="T383" s="56">
        <f t="shared" si="29"/>
        <v>0.38516939515412513</v>
      </c>
    </row>
    <row r="384" spans="1:20" x14ac:dyDescent="0.25">
      <c r="A384">
        <v>0.38791516314897678</v>
      </c>
      <c r="B384">
        <v>0.1424996298737824</v>
      </c>
      <c r="D384">
        <v>0.4010633257157763</v>
      </c>
      <c r="E384">
        <v>-4.2578828958994563</v>
      </c>
      <c r="I384">
        <v>0.20320075135027438</v>
      </c>
      <c r="J384">
        <v>15</v>
      </c>
      <c r="K384">
        <v>0.23251080468374616</v>
      </c>
      <c r="L384">
        <v>7.8384166536870552</v>
      </c>
      <c r="M384">
        <v>15</v>
      </c>
      <c r="N384">
        <v>0.56847579458008113</v>
      </c>
      <c r="O384">
        <v>268.27463375103753</v>
      </c>
      <c r="P384" s="1">
        <f t="shared" si="25"/>
        <v>9.861180371597305</v>
      </c>
      <c r="Q384" s="1">
        <f t="shared" si="26"/>
        <v>1.3148240495463073</v>
      </c>
      <c r="R384" s="1">
        <f t="shared" si="27"/>
        <v>1.1466577735079928</v>
      </c>
      <c r="S384" s="1">
        <f t="shared" si="28"/>
        <v>-0.29299499611685415</v>
      </c>
      <c r="T384" s="56">
        <f t="shared" si="29"/>
        <v>0.38584323628030581</v>
      </c>
    </row>
    <row r="385" spans="1:20" x14ac:dyDescent="0.25">
      <c r="A385">
        <v>0.38796305947733845</v>
      </c>
      <c r="B385">
        <v>6.7407199821900576E-2</v>
      </c>
      <c r="D385">
        <v>0.40294658237660275</v>
      </c>
      <c r="E385">
        <v>-3.0060475671689346</v>
      </c>
      <c r="I385">
        <v>0.28365605707034303</v>
      </c>
      <c r="J385">
        <v>15</v>
      </c>
      <c r="K385">
        <v>0.5237346461702449</v>
      </c>
      <c r="L385">
        <v>12.23086469598058</v>
      </c>
      <c r="M385">
        <v>15</v>
      </c>
      <c r="N385">
        <v>0.8379697612781456</v>
      </c>
      <c r="O385">
        <v>249.07498371958212</v>
      </c>
      <c r="P385" s="1">
        <f t="shared" si="25"/>
        <v>9.3323517291272395</v>
      </c>
      <c r="Q385" s="1">
        <f t="shared" si="26"/>
        <v>1.244313563883632</v>
      </c>
      <c r="R385" s="1">
        <f t="shared" si="27"/>
        <v>1.1154880384314445</v>
      </c>
      <c r="S385" s="1">
        <f t="shared" si="28"/>
        <v>-0.28170191367517106</v>
      </c>
      <c r="T385" s="56">
        <f t="shared" si="29"/>
        <v>0.3901218286692168</v>
      </c>
    </row>
    <row r="386" spans="1:20" x14ac:dyDescent="0.25">
      <c r="A386">
        <v>0.38798485362216373</v>
      </c>
      <c r="B386">
        <v>-0.59830199461430311</v>
      </c>
      <c r="D386">
        <v>0.40618189326225462</v>
      </c>
      <c r="E386">
        <v>6.4046919271731895</v>
      </c>
      <c r="I386">
        <v>9.5222868154426044E-2</v>
      </c>
      <c r="J386">
        <v>15</v>
      </c>
      <c r="K386">
        <v>-0.37540447313707165</v>
      </c>
      <c r="L386">
        <v>16.83200167977213</v>
      </c>
      <c r="M386">
        <v>15</v>
      </c>
      <c r="N386">
        <v>-0.13954468499832728</v>
      </c>
      <c r="O386">
        <v>130.90318449535744</v>
      </c>
      <c r="P386" s="1">
        <f t="shared" ref="P386:P449" si="30">(L386+O386)/(J386+M386-2)</f>
        <v>5.2762566491117706</v>
      </c>
      <c r="Q386" s="1">
        <f t="shared" ref="Q386:Q449" si="31">P386*(2/15)</f>
        <v>0.70350088654823606</v>
      </c>
      <c r="R386" s="1">
        <f t="shared" ref="R386:R449" si="32">SQRT(Q386)</f>
        <v>0.83874959704803198</v>
      </c>
      <c r="S386" s="1">
        <f t="shared" ref="S386:S449" si="33">(K386-N386)/R386</f>
        <v>-0.2812040553805924</v>
      </c>
      <c r="T386" s="56">
        <f t="shared" ref="T386:T449" si="34">_xlfn.T.DIST(S386,28,TRUE)</f>
        <v>0.39031077929266711</v>
      </c>
    </row>
    <row r="387" spans="1:20" x14ac:dyDescent="0.25">
      <c r="A387">
        <v>0.38836259782406468</v>
      </c>
      <c r="B387">
        <v>0.48556216825090814</v>
      </c>
      <c r="D387">
        <v>0.40646835663318137</v>
      </c>
      <c r="E387">
        <v>-5.3305454946439568</v>
      </c>
      <c r="I387">
        <v>0.4914548396666607</v>
      </c>
      <c r="J387">
        <v>15</v>
      </c>
      <c r="K387">
        <v>-0.25315072586333071</v>
      </c>
      <c r="L387">
        <v>20.42340565229804</v>
      </c>
      <c r="M387">
        <v>15</v>
      </c>
      <c r="N387">
        <v>2.7132466584589565E-3</v>
      </c>
      <c r="O387">
        <v>154.55964539234276</v>
      </c>
      <c r="P387" s="1">
        <f t="shared" si="30"/>
        <v>6.249394680165743</v>
      </c>
      <c r="Q387" s="1">
        <f t="shared" si="31"/>
        <v>0.8332526240220991</v>
      </c>
      <c r="R387" s="1">
        <f t="shared" si="32"/>
        <v>0.91282672179450308</v>
      </c>
      <c r="S387" s="1">
        <f t="shared" si="33"/>
        <v>-0.28029851275474615</v>
      </c>
      <c r="T387" s="56">
        <f t="shared" si="34"/>
        <v>0.39065452710648652</v>
      </c>
    </row>
    <row r="388" spans="1:20" x14ac:dyDescent="0.25">
      <c r="A388">
        <v>0.39132703379484168</v>
      </c>
      <c r="B388">
        <v>1.0177723197557498</v>
      </c>
      <c r="D388">
        <v>0.40720218165970967</v>
      </c>
      <c r="E388">
        <v>3.4492184079226718</v>
      </c>
      <c r="I388">
        <v>8.0122588397343542E-2</v>
      </c>
      <c r="J388">
        <v>15</v>
      </c>
      <c r="K388">
        <v>-0.41236451882771991</v>
      </c>
      <c r="L388">
        <v>12.478733779248051</v>
      </c>
      <c r="M388">
        <v>15</v>
      </c>
      <c r="N388">
        <v>-0.22957761188990844</v>
      </c>
      <c r="O388">
        <v>77.098628321814402</v>
      </c>
      <c r="P388" s="1">
        <f t="shared" si="30"/>
        <v>3.1991915036093732</v>
      </c>
      <c r="Q388" s="1">
        <f t="shared" si="31"/>
        <v>0.42655886714791641</v>
      </c>
      <c r="R388" s="1">
        <f t="shared" si="32"/>
        <v>0.65311474271211822</v>
      </c>
      <c r="S388" s="1">
        <f t="shared" si="33"/>
        <v>-0.27986951600383764</v>
      </c>
      <c r="T388" s="56">
        <f t="shared" si="34"/>
        <v>0.39081740756736788</v>
      </c>
    </row>
    <row r="389" spans="1:20" x14ac:dyDescent="0.25">
      <c r="A389">
        <v>0.39136968400921834</v>
      </c>
      <c r="B389">
        <v>0.32529669624636881</v>
      </c>
      <c r="D389">
        <v>0.4077379865481372</v>
      </c>
      <c r="E389">
        <v>-0.98693522318171745</v>
      </c>
      <c r="I389">
        <v>0.554657365960329</v>
      </c>
      <c r="J389">
        <v>15</v>
      </c>
      <c r="K389">
        <v>-0.1984796350977073</v>
      </c>
      <c r="L389">
        <v>17.9262413465263</v>
      </c>
      <c r="M389">
        <v>15</v>
      </c>
      <c r="N389">
        <v>-4.515436899055203E-2</v>
      </c>
      <c r="O389">
        <v>45.331046699440385</v>
      </c>
      <c r="P389" s="1">
        <f t="shared" si="30"/>
        <v>2.2591888587845248</v>
      </c>
      <c r="Q389" s="1">
        <f t="shared" si="31"/>
        <v>0.30122518117126995</v>
      </c>
      <c r="R389" s="1">
        <f t="shared" si="32"/>
        <v>0.54883985020338122</v>
      </c>
      <c r="S389" s="1">
        <f t="shared" si="33"/>
        <v>-0.27936248807432296</v>
      </c>
      <c r="T389" s="56">
        <f t="shared" si="34"/>
        <v>0.39100994076174622</v>
      </c>
    </row>
    <row r="390" spans="1:20" x14ac:dyDescent="0.25">
      <c r="A390">
        <v>0.39389456796452227</v>
      </c>
      <c r="B390">
        <v>0.75955085776513442</v>
      </c>
      <c r="D390">
        <v>0.40930637725154906</v>
      </c>
      <c r="E390">
        <v>-0.49788173214437847</v>
      </c>
      <c r="I390">
        <v>0.63772261772323413</v>
      </c>
      <c r="J390">
        <v>15</v>
      </c>
      <c r="K390">
        <v>4.1158803772608131E-2</v>
      </c>
      <c r="L390">
        <v>15.417327042641954</v>
      </c>
      <c r="M390">
        <v>15</v>
      </c>
      <c r="N390">
        <v>0.25629742253840959</v>
      </c>
      <c r="O390">
        <v>112.52911961717267</v>
      </c>
      <c r="P390" s="1">
        <f t="shared" si="30"/>
        <v>4.5695159521362365</v>
      </c>
      <c r="Q390" s="1">
        <f t="shared" si="31"/>
        <v>0.60926879361816488</v>
      </c>
      <c r="R390" s="1">
        <f t="shared" si="32"/>
        <v>0.78055672030811762</v>
      </c>
      <c r="S390" s="1">
        <f t="shared" si="33"/>
        <v>-0.27562201844970019</v>
      </c>
      <c r="T390" s="56">
        <f t="shared" si="34"/>
        <v>0.39243117280522016</v>
      </c>
    </row>
    <row r="391" spans="1:20" x14ac:dyDescent="0.25">
      <c r="A391">
        <v>0.39442240519722982</v>
      </c>
      <c r="B391">
        <v>0.56406406656606123</v>
      </c>
      <c r="D391">
        <v>0.41065640567317629</v>
      </c>
      <c r="E391">
        <v>-1.9451856621799379</v>
      </c>
      <c r="I391">
        <v>0.18665247149332287</v>
      </c>
      <c r="J391">
        <v>15</v>
      </c>
      <c r="K391">
        <v>-0.28681976497561362</v>
      </c>
      <c r="L391">
        <v>20.6326096109335</v>
      </c>
      <c r="M391">
        <v>15</v>
      </c>
      <c r="N391">
        <v>-5.8761091850101366E-2</v>
      </c>
      <c r="O391">
        <v>124.99356757113424</v>
      </c>
      <c r="P391" s="1">
        <f t="shared" si="30"/>
        <v>5.2009348993595621</v>
      </c>
      <c r="Q391" s="1">
        <f t="shared" si="31"/>
        <v>0.69345798658127489</v>
      </c>
      <c r="R391" s="1">
        <f t="shared" si="32"/>
        <v>0.83274124827660301</v>
      </c>
      <c r="S391" s="1">
        <f t="shared" si="33"/>
        <v>-0.27386498939195142</v>
      </c>
      <c r="T391" s="56">
        <f t="shared" si="34"/>
        <v>0.39309929893054596</v>
      </c>
    </row>
    <row r="392" spans="1:20" x14ac:dyDescent="0.25">
      <c r="A392">
        <v>0.39678655174470545</v>
      </c>
      <c r="B392">
        <v>1.4366332834470086</v>
      </c>
      <c r="D392">
        <v>0.4109684930035441</v>
      </c>
      <c r="E392">
        <v>2.5408173735286255</v>
      </c>
      <c r="I392">
        <v>0.83202585613320612</v>
      </c>
      <c r="J392">
        <v>15</v>
      </c>
      <c r="K392">
        <v>-0.48197784963122103</v>
      </c>
      <c r="L392">
        <v>12.205340662246304</v>
      </c>
      <c r="M392">
        <v>15</v>
      </c>
      <c r="N392">
        <v>-0.21224900933702884</v>
      </c>
      <c r="O392">
        <v>202.4469384074489</v>
      </c>
      <c r="P392" s="1">
        <f t="shared" si="30"/>
        <v>7.6661528239176855</v>
      </c>
      <c r="Q392" s="1">
        <f t="shared" si="31"/>
        <v>1.0221537098556914</v>
      </c>
      <c r="R392" s="1">
        <f t="shared" si="32"/>
        <v>1.0110161768516326</v>
      </c>
      <c r="S392" s="1">
        <f t="shared" si="33"/>
        <v>-0.26678983627556252</v>
      </c>
      <c r="T392" s="56">
        <f t="shared" si="34"/>
        <v>0.39579303146981382</v>
      </c>
    </row>
    <row r="393" spans="1:20" x14ac:dyDescent="0.25">
      <c r="A393">
        <v>0.39866943470083327</v>
      </c>
      <c r="B393">
        <v>-0.38774828681198414</v>
      </c>
      <c r="D393">
        <v>0.41180796310022894</v>
      </c>
      <c r="E393">
        <v>3.2375289686115138</v>
      </c>
      <c r="I393">
        <v>1.7565785002949363E-2</v>
      </c>
      <c r="J393">
        <v>15</v>
      </c>
      <c r="K393">
        <v>1.6950859086743247E-2</v>
      </c>
      <c r="L393">
        <v>13.44093094703741</v>
      </c>
      <c r="M393">
        <v>15</v>
      </c>
      <c r="N393">
        <v>0.19877415638802631</v>
      </c>
      <c r="O393">
        <v>84.935167924447413</v>
      </c>
      <c r="P393" s="1">
        <f t="shared" si="30"/>
        <v>3.5134321025530295</v>
      </c>
      <c r="Q393" s="1">
        <f t="shared" si="31"/>
        <v>0.46845761367373728</v>
      </c>
      <c r="R393" s="1">
        <f t="shared" si="32"/>
        <v>0.68443963479165737</v>
      </c>
      <c r="S393" s="1">
        <f t="shared" si="33"/>
        <v>-0.26565278814782528</v>
      </c>
      <c r="T393" s="56">
        <f t="shared" si="34"/>
        <v>0.39622643508759281</v>
      </c>
    </row>
    <row r="394" spans="1:20" x14ac:dyDescent="0.25">
      <c r="A394">
        <v>0.39975292305410037</v>
      </c>
      <c r="B394">
        <v>-0.469273118142155</v>
      </c>
      <c r="D394">
        <v>0.41542128227892772</v>
      </c>
      <c r="E394">
        <v>-5.8469111115755368</v>
      </c>
      <c r="I394">
        <v>0.74699593443068402</v>
      </c>
      <c r="J394">
        <v>15</v>
      </c>
      <c r="K394">
        <v>-8.0740392149891704E-3</v>
      </c>
      <c r="L394">
        <v>10.391097533067663</v>
      </c>
      <c r="M394">
        <v>15</v>
      </c>
      <c r="N394">
        <v>0.18609284438753093</v>
      </c>
      <c r="O394">
        <v>102.71341675613078</v>
      </c>
      <c r="P394" s="1">
        <f t="shared" si="30"/>
        <v>4.0394469388999443</v>
      </c>
      <c r="Q394" s="1">
        <f t="shared" si="31"/>
        <v>0.53859292518665924</v>
      </c>
      <c r="R394" s="1">
        <f t="shared" si="32"/>
        <v>0.7338889052074975</v>
      </c>
      <c r="S394" s="1">
        <f t="shared" si="33"/>
        <v>-0.26457258343157802</v>
      </c>
      <c r="T394" s="56">
        <f t="shared" si="34"/>
        <v>0.39663829725629002</v>
      </c>
    </row>
    <row r="395" spans="1:20" x14ac:dyDescent="0.25">
      <c r="A395">
        <v>0.39983779355798499</v>
      </c>
      <c r="B395">
        <v>0.23150960259954445</v>
      </c>
      <c r="D395">
        <v>0.41674711224101979</v>
      </c>
      <c r="E395">
        <v>-2.1263501855628419</v>
      </c>
      <c r="I395">
        <v>0.80379742602614213</v>
      </c>
      <c r="J395">
        <v>15</v>
      </c>
      <c r="K395">
        <v>0.30039586818020325</v>
      </c>
      <c r="L395">
        <v>10.106393119555474</v>
      </c>
      <c r="M395">
        <v>15</v>
      </c>
      <c r="N395">
        <v>0.49325558052260021</v>
      </c>
      <c r="O395">
        <v>108.10459985591049</v>
      </c>
      <c r="P395" s="1">
        <f t="shared" si="30"/>
        <v>4.2218211776952135</v>
      </c>
      <c r="Q395" s="1">
        <f t="shared" si="31"/>
        <v>0.56290949035936177</v>
      </c>
      <c r="R395" s="1">
        <f t="shared" si="32"/>
        <v>0.75027294390732346</v>
      </c>
      <c r="S395" s="1">
        <f t="shared" si="33"/>
        <v>-0.25705273515263494</v>
      </c>
      <c r="T395" s="56">
        <f t="shared" si="34"/>
        <v>0.3995088221389631</v>
      </c>
    </row>
    <row r="396" spans="1:20" x14ac:dyDescent="0.25">
      <c r="A396">
        <v>0.40260783035294812</v>
      </c>
      <c r="B396">
        <v>0.34495997169869952</v>
      </c>
      <c r="D396">
        <v>0.41734077332008224</v>
      </c>
      <c r="E396">
        <v>1.6253427440915402</v>
      </c>
      <c r="I396">
        <v>0.31208392339801638</v>
      </c>
      <c r="J396">
        <v>15</v>
      </c>
      <c r="K396">
        <v>1.9987207148612168E-2</v>
      </c>
      <c r="L396">
        <v>32.404015505831154</v>
      </c>
      <c r="M396">
        <v>15</v>
      </c>
      <c r="N396">
        <v>0.2537840339300601</v>
      </c>
      <c r="O396">
        <v>143.04297107289136</v>
      </c>
      <c r="P396" s="1">
        <f t="shared" si="30"/>
        <v>6.2659638063829473</v>
      </c>
      <c r="Q396" s="1">
        <f t="shared" si="31"/>
        <v>0.83546184085105957</v>
      </c>
      <c r="R396" s="1">
        <f t="shared" si="32"/>
        <v>0.9140360172613875</v>
      </c>
      <c r="S396" s="1">
        <f t="shared" si="33"/>
        <v>-0.25578513577828621</v>
      </c>
      <c r="T396" s="56">
        <f t="shared" si="34"/>
        <v>0.39999326782500566</v>
      </c>
    </row>
    <row r="397" spans="1:20" x14ac:dyDescent="0.25">
      <c r="A397">
        <v>0.40260960086332975</v>
      </c>
      <c r="B397">
        <v>-0.56621729527250864</v>
      </c>
      <c r="D397">
        <v>0.4179335931690904</v>
      </c>
      <c r="E397">
        <v>-0.32619186981719395</v>
      </c>
      <c r="I397">
        <v>0.45108832199223403</v>
      </c>
      <c r="J397">
        <v>15</v>
      </c>
      <c r="K397">
        <v>-1.0475181018894849E-2</v>
      </c>
      <c r="L397">
        <v>30.001056538572286</v>
      </c>
      <c r="M397">
        <v>15</v>
      </c>
      <c r="N397">
        <v>0.34751746738947986</v>
      </c>
      <c r="O397">
        <v>387.30253731944146</v>
      </c>
      <c r="P397" s="1">
        <f t="shared" si="30"/>
        <v>14.903699780643349</v>
      </c>
      <c r="Q397" s="1">
        <f t="shared" si="31"/>
        <v>1.9871599707524465</v>
      </c>
      <c r="R397" s="1">
        <f t="shared" si="32"/>
        <v>1.4096666168823204</v>
      </c>
      <c r="S397" s="1">
        <f t="shared" si="33"/>
        <v>-0.25395554106269941</v>
      </c>
      <c r="T397" s="56">
        <f t="shared" si="34"/>
        <v>0.40069278052316515</v>
      </c>
    </row>
    <row r="398" spans="1:20" x14ac:dyDescent="0.25">
      <c r="A398">
        <v>0.40356644906805694</v>
      </c>
      <c r="B398">
        <v>1.25382484839065</v>
      </c>
      <c r="D398">
        <v>0.41873911671163067</v>
      </c>
      <c r="E398">
        <v>4.1819459931957681</v>
      </c>
      <c r="I398">
        <v>0.69676082859502897</v>
      </c>
      <c r="J398">
        <v>15</v>
      </c>
      <c r="K398">
        <v>-0.50428654200610856</v>
      </c>
      <c r="L398">
        <v>12.710725490828548</v>
      </c>
      <c r="M398">
        <v>15</v>
      </c>
      <c r="N398">
        <v>-0.2949630049897678</v>
      </c>
      <c r="O398">
        <v>131.64608224685836</v>
      </c>
      <c r="P398" s="1">
        <f t="shared" si="30"/>
        <v>5.1556002763459601</v>
      </c>
      <c r="Q398" s="1">
        <f t="shared" si="31"/>
        <v>0.68741337017946136</v>
      </c>
      <c r="R398" s="1">
        <f t="shared" si="32"/>
        <v>0.82910395619576038</v>
      </c>
      <c r="S398" s="1">
        <f t="shared" si="33"/>
        <v>-0.25246959136076924</v>
      </c>
      <c r="T398" s="56">
        <f t="shared" si="34"/>
        <v>0.40126115403594731</v>
      </c>
    </row>
    <row r="399" spans="1:20" x14ac:dyDescent="0.25">
      <c r="A399">
        <v>0.40477466598263834</v>
      </c>
      <c r="B399">
        <v>0.39451947486668359</v>
      </c>
      <c r="D399">
        <v>0.41922830547466694</v>
      </c>
      <c r="E399">
        <v>-5.1132899477579485</v>
      </c>
      <c r="I399">
        <v>0.13954692936380841</v>
      </c>
      <c r="J399">
        <v>15</v>
      </c>
      <c r="K399">
        <v>5.2069556962427065E-2</v>
      </c>
      <c r="L399">
        <v>27.976098174092385</v>
      </c>
      <c r="M399">
        <v>15</v>
      </c>
      <c r="N399">
        <v>0.25196549927386513</v>
      </c>
      <c r="O399">
        <v>104.01783183462338</v>
      </c>
      <c r="P399" s="1">
        <f t="shared" si="30"/>
        <v>4.714068928882706</v>
      </c>
      <c r="Q399" s="1">
        <f t="shared" si="31"/>
        <v>0.62854252385102749</v>
      </c>
      <c r="R399" s="1">
        <f t="shared" si="32"/>
        <v>0.79280673802070289</v>
      </c>
      <c r="S399" s="1">
        <f t="shared" si="33"/>
        <v>-0.252137037596946</v>
      </c>
      <c r="T399" s="56">
        <f t="shared" si="34"/>
        <v>0.40138838557033507</v>
      </c>
    </row>
    <row r="400" spans="1:20" x14ac:dyDescent="0.25">
      <c r="A400">
        <v>0.40814104006772267</v>
      </c>
      <c r="B400">
        <v>-0.37902054828009568</v>
      </c>
      <c r="D400">
        <v>0.41938488122326711</v>
      </c>
      <c r="E400">
        <v>-3.0287758397662401</v>
      </c>
      <c r="I400">
        <v>0.98820276804515994</v>
      </c>
      <c r="J400">
        <v>15</v>
      </c>
      <c r="K400">
        <v>-4.5534610156513127E-3</v>
      </c>
      <c r="L400">
        <v>5.7182259465903114</v>
      </c>
      <c r="M400">
        <v>15</v>
      </c>
      <c r="N400">
        <v>0.2074457336220803</v>
      </c>
      <c r="O400">
        <v>147.98821708485158</v>
      </c>
      <c r="P400" s="1">
        <f t="shared" si="30"/>
        <v>5.4895158225514962</v>
      </c>
      <c r="Q400" s="1">
        <f t="shared" si="31"/>
        <v>0.73193544300686619</v>
      </c>
      <c r="R400" s="1">
        <f t="shared" si="32"/>
        <v>0.8555322571398849</v>
      </c>
      <c r="S400" s="1">
        <f t="shared" si="33"/>
        <v>-0.24779801447400998</v>
      </c>
      <c r="T400" s="56">
        <f t="shared" si="34"/>
        <v>0.40304945504813827</v>
      </c>
    </row>
    <row r="401" spans="1:20" x14ac:dyDescent="0.25">
      <c r="A401">
        <v>0.41349413625009046</v>
      </c>
      <c r="B401">
        <v>-1.8086984709952958</v>
      </c>
      <c r="D401">
        <v>0.41951696646349457</v>
      </c>
      <c r="E401">
        <v>0.17262277310692298</v>
      </c>
      <c r="I401">
        <v>0.51833511586072423</v>
      </c>
      <c r="J401">
        <v>15</v>
      </c>
      <c r="K401">
        <v>0.30284263630164787</v>
      </c>
      <c r="L401">
        <v>8.9482036695644815</v>
      </c>
      <c r="M401">
        <v>15</v>
      </c>
      <c r="N401">
        <v>0.49729373699847201</v>
      </c>
      <c r="O401">
        <v>121.27541031464331</v>
      </c>
      <c r="P401" s="1">
        <f t="shared" si="30"/>
        <v>4.6508433565788492</v>
      </c>
      <c r="Q401" s="1">
        <f t="shared" si="31"/>
        <v>0.62011244754384653</v>
      </c>
      <c r="R401" s="1">
        <f t="shared" si="32"/>
        <v>0.78747218842562716</v>
      </c>
      <c r="S401" s="1">
        <f t="shared" si="33"/>
        <v>-0.2469307533077266</v>
      </c>
      <c r="T401" s="56">
        <f t="shared" si="34"/>
        <v>0.40338168330798874</v>
      </c>
    </row>
    <row r="402" spans="1:20" x14ac:dyDescent="0.25">
      <c r="A402">
        <v>0.41354449875113508</v>
      </c>
      <c r="B402">
        <v>3.0030378184164874E-2</v>
      </c>
      <c r="D402">
        <v>0.4197490056261286</v>
      </c>
      <c r="E402">
        <v>-1.7817051264046313</v>
      </c>
      <c r="I402">
        <v>0.30025385039325592</v>
      </c>
      <c r="J402">
        <v>15</v>
      </c>
      <c r="K402">
        <v>0.18004751230667657</v>
      </c>
      <c r="L402">
        <v>10.448900961861257</v>
      </c>
      <c r="M402">
        <v>15</v>
      </c>
      <c r="N402">
        <v>0.36917753845955303</v>
      </c>
      <c r="O402">
        <v>113.82511754685393</v>
      </c>
      <c r="P402" s="1">
        <f t="shared" si="30"/>
        <v>4.4383578038826856</v>
      </c>
      <c r="Q402" s="1">
        <f t="shared" si="31"/>
        <v>0.59178104051769143</v>
      </c>
      <c r="R402" s="1">
        <f t="shared" si="32"/>
        <v>0.76927305978936467</v>
      </c>
      <c r="S402" s="1">
        <f t="shared" si="33"/>
        <v>-0.24585551742142422</v>
      </c>
      <c r="T402" s="56">
        <f t="shared" si="34"/>
        <v>0.40379368408497951</v>
      </c>
    </row>
    <row r="403" spans="1:20" x14ac:dyDescent="0.25">
      <c r="A403">
        <v>0.41414612789143701</v>
      </c>
      <c r="B403">
        <v>0.37106019590282813</v>
      </c>
      <c r="D403">
        <v>0.42041784441162899</v>
      </c>
      <c r="E403">
        <v>-1.4760637475319527</v>
      </c>
      <c r="I403">
        <v>0.58067015895925267</v>
      </c>
      <c r="J403">
        <v>15</v>
      </c>
      <c r="K403">
        <v>0.16538713983512329</v>
      </c>
      <c r="L403">
        <v>16.358490121486977</v>
      </c>
      <c r="M403">
        <v>15</v>
      </c>
      <c r="N403">
        <v>0.36169148756926006</v>
      </c>
      <c r="O403">
        <v>119.09431394644099</v>
      </c>
      <c r="P403" s="1">
        <f t="shared" si="30"/>
        <v>4.8376001452831412</v>
      </c>
      <c r="Q403" s="1">
        <f t="shared" si="31"/>
        <v>0.64501335270441884</v>
      </c>
      <c r="R403" s="1">
        <f t="shared" si="32"/>
        <v>0.80312723319808976</v>
      </c>
      <c r="S403" s="1">
        <f t="shared" si="33"/>
        <v>-0.2444249673273359</v>
      </c>
      <c r="T403" s="56">
        <f t="shared" si="34"/>
        <v>0.40434200592522218</v>
      </c>
    </row>
    <row r="404" spans="1:20" x14ac:dyDescent="0.25">
      <c r="A404">
        <v>0.4146060143055853</v>
      </c>
      <c r="B404">
        <v>-1.2997975318285171</v>
      </c>
      <c r="D404">
        <v>0.42093146071885357</v>
      </c>
      <c r="E404">
        <v>1.4990787315127818</v>
      </c>
      <c r="I404">
        <v>0.57805479029952589</v>
      </c>
      <c r="J404">
        <v>15</v>
      </c>
      <c r="K404">
        <v>0.40603860422076349</v>
      </c>
      <c r="L404">
        <v>13.67509197306472</v>
      </c>
      <c r="M404">
        <v>15</v>
      </c>
      <c r="N404">
        <v>0.53235907785165182</v>
      </c>
      <c r="O404">
        <v>43.040031269958945</v>
      </c>
      <c r="P404" s="1">
        <f t="shared" si="30"/>
        <v>2.0255401158222739</v>
      </c>
      <c r="Q404" s="1">
        <f t="shared" si="31"/>
        <v>0.27007201544296983</v>
      </c>
      <c r="R404" s="1">
        <f t="shared" si="32"/>
        <v>0.51968453454280306</v>
      </c>
      <c r="S404" s="1">
        <f t="shared" si="33"/>
        <v>-0.24307145053300433</v>
      </c>
      <c r="T404" s="56">
        <f t="shared" si="34"/>
        <v>0.40486098381782742</v>
      </c>
    </row>
    <row r="405" spans="1:20" x14ac:dyDescent="0.25">
      <c r="A405">
        <v>0.41481364204224069</v>
      </c>
      <c r="B405">
        <v>-0.10249550541630015</v>
      </c>
      <c r="D405">
        <v>0.42332542957666253</v>
      </c>
      <c r="E405">
        <v>-1.631853368735392</v>
      </c>
      <c r="I405">
        <v>0.38627597092677202</v>
      </c>
      <c r="J405">
        <v>15</v>
      </c>
      <c r="K405">
        <v>-0.10817651248847444</v>
      </c>
      <c r="L405">
        <v>12.212085371014648</v>
      </c>
      <c r="M405">
        <v>15</v>
      </c>
      <c r="N405">
        <v>8.436813573098334E-2</v>
      </c>
      <c r="O405">
        <v>119.96721793636654</v>
      </c>
      <c r="P405" s="1">
        <f t="shared" si="30"/>
        <v>4.7206894038350429</v>
      </c>
      <c r="Q405" s="1">
        <f t="shared" si="31"/>
        <v>0.62942525384467241</v>
      </c>
      <c r="R405" s="1">
        <f t="shared" si="32"/>
        <v>0.79336325465997759</v>
      </c>
      <c r="S405" s="1">
        <f t="shared" si="33"/>
        <v>-0.24269418464808939</v>
      </c>
      <c r="T405" s="56">
        <f t="shared" si="34"/>
        <v>0.40500567007638155</v>
      </c>
    </row>
    <row r="406" spans="1:20" x14ac:dyDescent="0.25">
      <c r="A406">
        <v>0.41550354802082712</v>
      </c>
      <c r="B406">
        <v>-5.1620645535876974E-2</v>
      </c>
      <c r="D406">
        <v>0.42343403461622031</v>
      </c>
      <c r="E406">
        <v>-1.4999516258740186</v>
      </c>
      <c r="I406">
        <v>0.4173356257023868</v>
      </c>
      <c r="J406">
        <v>15</v>
      </c>
      <c r="K406">
        <v>6.0948498988485277E-2</v>
      </c>
      <c r="L406">
        <v>13.132498806213842</v>
      </c>
      <c r="M406">
        <v>15</v>
      </c>
      <c r="N406">
        <v>0.31263743608178629</v>
      </c>
      <c r="O406">
        <v>217.22084373844837</v>
      </c>
      <c r="P406" s="1">
        <f t="shared" si="30"/>
        <v>8.226905090880793</v>
      </c>
      <c r="Q406" s="1">
        <f t="shared" si="31"/>
        <v>1.0969206787841057</v>
      </c>
      <c r="R406" s="1">
        <f t="shared" si="32"/>
        <v>1.0473398105601188</v>
      </c>
      <c r="S406" s="1">
        <f t="shared" si="33"/>
        <v>-0.24031258485123128</v>
      </c>
      <c r="T406" s="56">
        <f t="shared" si="34"/>
        <v>0.40591935908396798</v>
      </c>
    </row>
    <row r="407" spans="1:20" x14ac:dyDescent="0.25">
      <c r="A407">
        <v>0.41559251664331265</v>
      </c>
      <c r="B407">
        <v>-0.23292386686080135</v>
      </c>
      <c r="D407">
        <v>0.42618373943552468</v>
      </c>
      <c r="E407">
        <v>-1.8450912227763183</v>
      </c>
      <c r="I407">
        <v>0.10296670680219011</v>
      </c>
      <c r="J407">
        <v>15</v>
      </c>
      <c r="K407">
        <v>9.2404585908904366E-2</v>
      </c>
      <c r="L407">
        <v>10.455495230460105</v>
      </c>
      <c r="M407">
        <v>15</v>
      </c>
      <c r="N407">
        <v>0.35475022400532907</v>
      </c>
      <c r="O407">
        <v>245.50844119548313</v>
      </c>
      <c r="P407" s="1">
        <f t="shared" si="30"/>
        <v>9.1415691580694016</v>
      </c>
      <c r="Q407" s="1">
        <f t="shared" si="31"/>
        <v>1.2188758877425869</v>
      </c>
      <c r="R407" s="1">
        <f t="shared" si="32"/>
        <v>1.1040271227386522</v>
      </c>
      <c r="S407" s="1">
        <f t="shared" si="33"/>
        <v>-0.23762608063980303</v>
      </c>
      <c r="T407" s="56">
        <f t="shared" si="34"/>
        <v>0.40695067181538164</v>
      </c>
    </row>
    <row r="408" spans="1:20" x14ac:dyDescent="0.25">
      <c r="A408">
        <v>0.4160969895516663</v>
      </c>
      <c r="B408">
        <v>1.4766283129574731</v>
      </c>
      <c r="D408">
        <v>0.42622533993708589</v>
      </c>
      <c r="E408">
        <v>7.267984298096053</v>
      </c>
      <c r="I408">
        <v>0.81719905987400798</v>
      </c>
      <c r="J408">
        <v>15</v>
      </c>
      <c r="K408">
        <v>-0.23767779566696845</v>
      </c>
      <c r="L408">
        <v>12.221956055699605</v>
      </c>
      <c r="M408">
        <v>15</v>
      </c>
      <c r="N408">
        <v>-4.5014988927505328E-2</v>
      </c>
      <c r="O408">
        <v>136.75738958581465</v>
      </c>
      <c r="P408" s="1">
        <f t="shared" si="30"/>
        <v>5.3206909157683659</v>
      </c>
      <c r="Q408" s="1">
        <f t="shared" si="31"/>
        <v>0.70942545543578217</v>
      </c>
      <c r="R408" s="1">
        <f t="shared" si="32"/>
        <v>0.84227397884285971</v>
      </c>
      <c r="S408" s="1">
        <f t="shared" si="33"/>
        <v>-0.22874125472111681</v>
      </c>
      <c r="T408" s="56">
        <f t="shared" si="34"/>
        <v>0.41036624554700207</v>
      </c>
    </row>
    <row r="409" spans="1:20" x14ac:dyDescent="0.25">
      <c r="A409">
        <v>0.41623507016637074</v>
      </c>
      <c r="B409">
        <v>6.4801497501321137E-2</v>
      </c>
      <c r="D409">
        <v>0.42722308022936983</v>
      </c>
      <c r="E409">
        <v>-2.40364602518639</v>
      </c>
      <c r="I409">
        <v>0.55904711184947764</v>
      </c>
      <c r="J409">
        <v>15</v>
      </c>
      <c r="K409">
        <v>3.8763725266714268E-2</v>
      </c>
      <c r="L409">
        <v>9.3665639153927227</v>
      </c>
      <c r="M409">
        <v>15</v>
      </c>
      <c r="N409">
        <v>0.25748931534508301</v>
      </c>
      <c r="O409">
        <v>183.94038167748963</v>
      </c>
      <c r="P409" s="1">
        <f t="shared" si="30"/>
        <v>6.9038194854600841</v>
      </c>
      <c r="Q409" s="1">
        <f t="shared" si="31"/>
        <v>0.9205092647280112</v>
      </c>
      <c r="R409" s="1">
        <f t="shared" si="32"/>
        <v>0.95943174052561508</v>
      </c>
      <c r="S409" s="1">
        <f t="shared" si="33"/>
        <v>-0.22797410262718859</v>
      </c>
      <c r="T409" s="56">
        <f t="shared" si="34"/>
        <v>0.41066150077030217</v>
      </c>
    </row>
    <row r="410" spans="1:20" x14ac:dyDescent="0.25">
      <c r="A410">
        <v>0.41647896531952111</v>
      </c>
      <c r="B410">
        <v>0.84964995039626956</v>
      </c>
      <c r="D410">
        <v>0.43023225712530677</v>
      </c>
      <c r="E410">
        <v>1.9465603566004575</v>
      </c>
      <c r="I410">
        <v>0.3193184221257872</v>
      </c>
      <c r="J410">
        <v>15</v>
      </c>
      <c r="K410">
        <v>0.24736694588985605</v>
      </c>
      <c r="L410">
        <v>15.760740235808216</v>
      </c>
      <c r="M410">
        <v>15</v>
      </c>
      <c r="N410">
        <v>0.42698070160440693</v>
      </c>
      <c r="O410">
        <v>114.6111127717665</v>
      </c>
      <c r="P410" s="1">
        <f t="shared" si="30"/>
        <v>4.6561376074133829</v>
      </c>
      <c r="Q410" s="1">
        <f t="shared" si="31"/>
        <v>0.62081834765511767</v>
      </c>
      <c r="R410" s="1">
        <f t="shared" si="32"/>
        <v>0.78792026732095022</v>
      </c>
      <c r="S410" s="1">
        <f t="shared" si="33"/>
        <v>-0.22795930396011413</v>
      </c>
      <c r="T410" s="56">
        <f t="shared" si="34"/>
        <v>0.41066719688565512</v>
      </c>
    </row>
    <row r="411" spans="1:20" x14ac:dyDescent="0.25">
      <c r="A411">
        <v>0.4173520204968828</v>
      </c>
      <c r="B411">
        <v>-1.7755428416421637</v>
      </c>
      <c r="D411">
        <v>0.43072356596497141</v>
      </c>
      <c r="E411">
        <v>3.3325279639484506</v>
      </c>
      <c r="I411">
        <v>0.24678265734804417</v>
      </c>
      <c r="J411">
        <v>15</v>
      </c>
      <c r="K411">
        <v>-0.27536217809635372</v>
      </c>
      <c r="L411">
        <v>15.695547602913567</v>
      </c>
      <c r="M411">
        <v>15</v>
      </c>
      <c r="N411">
        <v>-0.10188114515585767</v>
      </c>
      <c r="O411">
        <v>109.79470994117463</v>
      </c>
      <c r="P411" s="1">
        <f t="shared" si="30"/>
        <v>4.4817949122888638</v>
      </c>
      <c r="Q411" s="1">
        <f t="shared" si="31"/>
        <v>0.59757265497184853</v>
      </c>
      <c r="R411" s="1">
        <f t="shared" si="32"/>
        <v>0.77302823685286459</v>
      </c>
      <c r="S411" s="1">
        <f t="shared" si="33"/>
        <v>-0.2244174593760872</v>
      </c>
      <c r="T411" s="56">
        <f t="shared" si="34"/>
        <v>0.41203104736201546</v>
      </c>
    </row>
    <row r="412" spans="1:20" x14ac:dyDescent="0.25">
      <c r="A412">
        <v>0.41892341110380693</v>
      </c>
      <c r="B412">
        <v>-0.4603248271450866</v>
      </c>
      <c r="D412">
        <v>0.43180007630290063</v>
      </c>
      <c r="E412">
        <v>1.6547387497212185</v>
      </c>
      <c r="I412">
        <v>0.92868807764850891</v>
      </c>
      <c r="J412">
        <v>15</v>
      </c>
      <c r="K412">
        <v>2.895406699584176E-2</v>
      </c>
      <c r="L412">
        <v>13.941631042025314</v>
      </c>
      <c r="M412">
        <v>15</v>
      </c>
      <c r="N412">
        <v>0.19992966940662882</v>
      </c>
      <c r="O412">
        <v>109.46743911359563</v>
      </c>
      <c r="P412" s="1">
        <f t="shared" si="30"/>
        <v>4.407466791272177</v>
      </c>
      <c r="Q412" s="1">
        <f t="shared" si="31"/>
        <v>0.58766223883629021</v>
      </c>
      <c r="R412" s="1">
        <f t="shared" si="32"/>
        <v>0.76659131147978077</v>
      </c>
      <c r="S412" s="1">
        <f t="shared" si="33"/>
        <v>-0.22303357714914124</v>
      </c>
      <c r="T412" s="56">
        <f t="shared" si="34"/>
        <v>0.41256424146574461</v>
      </c>
    </row>
    <row r="413" spans="1:20" x14ac:dyDescent="0.25">
      <c r="A413">
        <v>0.42039783098164696</v>
      </c>
      <c r="B413">
        <v>0.31137460609897971</v>
      </c>
      <c r="D413">
        <v>0.43183373383832435</v>
      </c>
      <c r="E413">
        <v>-4.2889954556812881E-2</v>
      </c>
      <c r="I413">
        <v>0.72914645425525215</v>
      </c>
      <c r="J413">
        <v>15</v>
      </c>
      <c r="K413">
        <v>0.19770163817156572</v>
      </c>
      <c r="L413">
        <v>5.0785354904402817</v>
      </c>
      <c r="M413">
        <v>15</v>
      </c>
      <c r="N413">
        <v>0.3488314598598663</v>
      </c>
      <c r="O413">
        <v>92.359630841258095</v>
      </c>
      <c r="P413" s="1">
        <f t="shared" si="30"/>
        <v>3.4799345118463707</v>
      </c>
      <c r="Q413" s="1">
        <f t="shared" si="31"/>
        <v>0.46399126824618275</v>
      </c>
      <c r="R413" s="1">
        <f t="shared" si="32"/>
        <v>0.68116904527891076</v>
      </c>
      <c r="S413" s="1">
        <f t="shared" si="33"/>
        <v>-0.22186830528451146</v>
      </c>
      <c r="T413" s="56">
        <f t="shared" si="34"/>
        <v>0.4130133394945551</v>
      </c>
    </row>
    <row r="414" spans="1:20" x14ac:dyDescent="0.25">
      <c r="A414">
        <v>0.42105718681651405</v>
      </c>
      <c r="B414">
        <v>-2.3142092686612159E-2</v>
      </c>
      <c r="D414">
        <v>0.43263900570063096</v>
      </c>
      <c r="E414">
        <v>-0.96938765977938601</v>
      </c>
      <c r="I414">
        <v>0.69040996008045508</v>
      </c>
      <c r="J414">
        <v>15</v>
      </c>
      <c r="K414">
        <v>5.5631820335596181E-2</v>
      </c>
      <c r="L414">
        <v>22.728395706705513</v>
      </c>
      <c r="M414">
        <v>15</v>
      </c>
      <c r="N414">
        <v>0.25826443220466899</v>
      </c>
      <c r="O414">
        <v>154.74046161413412</v>
      </c>
      <c r="P414" s="1">
        <f t="shared" si="30"/>
        <v>6.3381734757442718</v>
      </c>
      <c r="Q414" s="1">
        <f t="shared" si="31"/>
        <v>0.8450897967659029</v>
      </c>
      <c r="R414" s="1">
        <f t="shared" si="32"/>
        <v>0.91928765724657857</v>
      </c>
      <c r="S414" s="1">
        <f t="shared" si="33"/>
        <v>-0.22042350973795474</v>
      </c>
      <c r="T414" s="56">
        <f t="shared" si="34"/>
        <v>0.41357033313852865</v>
      </c>
    </row>
    <row r="415" spans="1:20" x14ac:dyDescent="0.25">
      <c r="A415">
        <v>0.42758263905743588</v>
      </c>
      <c r="B415">
        <v>0.73898831942642573</v>
      </c>
      <c r="D415">
        <v>0.43270269647356208</v>
      </c>
      <c r="E415">
        <v>1.7140287093297957</v>
      </c>
      <c r="I415">
        <v>7.618870253667942E-2</v>
      </c>
      <c r="J415">
        <v>15</v>
      </c>
      <c r="K415">
        <v>0.36467698312965996</v>
      </c>
      <c r="L415">
        <v>7.9386973115636872</v>
      </c>
      <c r="M415">
        <v>15</v>
      </c>
      <c r="N415">
        <v>0.62051708141552808</v>
      </c>
      <c r="O415">
        <v>277.90271128801186</v>
      </c>
      <c r="P415" s="1">
        <f t="shared" si="30"/>
        <v>10.208621735699127</v>
      </c>
      <c r="Q415" s="1">
        <f t="shared" si="31"/>
        <v>1.3611495647598837</v>
      </c>
      <c r="R415" s="1">
        <f t="shared" si="32"/>
        <v>1.1666831466854588</v>
      </c>
      <c r="S415" s="1">
        <f t="shared" si="33"/>
        <v>-0.21928841520742681</v>
      </c>
      <c r="T415" s="56">
        <f t="shared" si="34"/>
        <v>0.41400806041324767</v>
      </c>
    </row>
    <row r="416" spans="1:20" x14ac:dyDescent="0.25">
      <c r="A416">
        <v>0.42804235429356052</v>
      </c>
      <c r="B416">
        <v>-1.4428860595216975</v>
      </c>
      <c r="D416">
        <v>0.43282248344402652</v>
      </c>
      <c r="E416">
        <v>-3.5435043662346288</v>
      </c>
      <c r="I416">
        <v>0.40962694300894176</v>
      </c>
      <c r="J416">
        <v>15</v>
      </c>
      <c r="K416">
        <v>0.27552035438323702</v>
      </c>
      <c r="L416">
        <v>9.9994357393853157</v>
      </c>
      <c r="M416">
        <v>15</v>
      </c>
      <c r="N416">
        <v>0.45346700630943815</v>
      </c>
      <c r="O416">
        <v>131.5090273807694</v>
      </c>
      <c r="P416" s="1">
        <f t="shared" si="30"/>
        <v>5.053873682862668</v>
      </c>
      <c r="Q416" s="1">
        <f t="shared" si="31"/>
        <v>0.67384982438168906</v>
      </c>
      <c r="R416" s="1">
        <f t="shared" si="32"/>
        <v>0.8208835632303092</v>
      </c>
      <c r="S416" s="1">
        <f t="shared" si="33"/>
        <v>-0.21677453404713373</v>
      </c>
      <c r="T416" s="56">
        <f t="shared" si="34"/>
        <v>0.41497789038925281</v>
      </c>
    </row>
    <row r="417" spans="1:20" x14ac:dyDescent="0.25">
      <c r="A417">
        <v>0.42830810302075562</v>
      </c>
      <c r="B417">
        <v>-1.7480488168075681E-2</v>
      </c>
      <c r="D417">
        <v>0.43386545685079414</v>
      </c>
      <c r="E417">
        <v>0.49575032448956335</v>
      </c>
      <c r="I417">
        <v>7.6773035561820135E-3</v>
      </c>
      <c r="J417">
        <v>15</v>
      </c>
      <c r="K417">
        <v>-1.4011978540414324E-2</v>
      </c>
      <c r="L417">
        <v>9.6148860912227061</v>
      </c>
      <c r="M417">
        <v>15</v>
      </c>
      <c r="N417">
        <v>0.1680377829416102</v>
      </c>
      <c r="O417">
        <v>140.34668954059663</v>
      </c>
      <c r="P417" s="1">
        <f t="shared" si="30"/>
        <v>5.3557705582792616</v>
      </c>
      <c r="Q417" s="1">
        <f t="shared" si="31"/>
        <v>0.71410274110390159</v>
      </c>
      <c r="R417" s="1">
        <f t="shared" si="32"/>
        <v>0.84504599940115777</v>
      </c>
      <c r="S417" s="1">
        <f t="shared" si="33"/>
        <v>-0.21543177721808537</v>
      </c>
      <c r="T417" s="56">
        <f t="shared" si="34"/>
        <v>0.41549613676162939</v>
      </c>
    </row>
    <row r="418" spans="1:20" x14ac:dyDescent="0.25">
      <c r="A418">
        <v>0.42994423481806232</v>
      </c>
      <c r="B418">
        <v>-0.34666527426452376</v>
      </c>
      <c r="D418">
        <v>0.43474941176671789</v>
      </c>
      <c r="E418">
        <v>4.2693256966686022</v>
      </c>
      <c r="I418">
        <v>0.52202583201307418</v>
      </c>
      <c r="J418">
        <v>15</v>
      </c>
      <c r="K418">
        <v>-0.15628097571607213</v>
      </c>
      <c r="L418">
        <v>10.696010685257599</v>
      </c>
      <c r="M418">
        <v>15</v>
      </c>
      <c r="N418">
        <v>5.992202432025806E-3</v>
      </c>
      <c r="O418">
        <v>108.91500634763268</v>
      </c>
      <c r="P418" s="1">
        <f t="shared" si="30"/>
        <v>4.2718220368889392</v>
      </c>
      <c r="Q418" s="1">
        <f t="shared" si="31"/>
        <v>0.56957627158519186</v>
      </c>
      <c r="R418" s="1">
        <f t="shared" si="32"/>
        <v>0.75470277035743805</v>
      </c>
      <c r="S418" s="1">
        <f t="shared" si="33"/>
        <v>-0.21501600964210457</v>
      </c>
      <c r="T418" s="56">
        <f t="shared" si="34"/>
        <v>0.4156566366372213</v>
      </c>
    </row>
    <row r="419" spans="1:20" x14ac:dyDescent="0.25">
      <c r="A419">
        <v>0.43097621059083246</v>
      </c>
      <c r="B419">
        <v>0.61947957874508575</v>
      </c>
      <c r="D419">
        <v>0.43670701348497676</v>
      </c>
      <c r="E419">
        <v>-4.6315215092818107</v>
      </c>
      <c r="I419">
        <v>0.40389028528743076</v>
      </c>
      <c r="J419">
        <v>15</v>
      </c>
      <c r="K419">
        <v>-0.11340800180429748</v>
      </c>
      <c r="L419">
        <v>9.7655273286400295</v>
      </c>
      <c r="M419">
        <v>15</v>
      </c>
      <c r="N419">
        <v>8.2270158827668638E-2</v>
      </c>
      <c r="O419">
        <v>166.82698692625297</v>
      </c>
      <c r="P419" s="1">
        <f t="shared" si="30"/>
        <v>6.3068755091033211</v>
      </c>
      <c r="Q419" s="1">
        <f t="shared" si="31"/>
        <v>0.84091673454710947</v>
      </c>
      <c r="R419" s="1">
        <f t="shared" si="32"/>
        <v>0.91701512231102789</v>
      </c>
      <c r="S419" s="1">
        <f t="shared" si="33"/>
        <v>-0.21338596918535566</v>
      </c>
      <c r="T419" s="56">
        <f t="shared" si="34"/>
        <v>0.41628602839370182</v>
      </c>
    </row>
    <row r="420" spans="1:20" x14ac:dyDescent="0.25">
      <c r="A420">
        <v>0.43121261759933582</v>
      </c>
      <c r="B420">
        <v>-0.48978336053551175</v>
      </c>
      <c r="D420">
        <v>0.43959266291007471</v>
      </c>
      <c r="E420">
        <v>3.4094371096671239</v>
      </c>
      <c r="I420">
        <v>0.25527000935426725</v>
      </c>
      <c r="J420">
        <v>15</v>
      </c>
      <c r="K420">
        <v>0.4581894093765489</v>
      </c>
      <c r="L420">
        <v>15.301051435600522</v>
      </c>
      <c r="M420">
        <v>15</v>
      </c>
      <c r="N420">
        <v>0.62487356103702041</v>
      </c>
      <c r="O420">
        <v>113.34207587961795</v>
      </c>
      <c r="P420" s="1">
        <f t="shared" si="30"/>
        <v>4.5943974041149449</v>
      </c>
      <c r="Q420" s="1">
        <f t="shared" si="31"/>
        <v>0.61258632054865936</v>
      </c>
      <c r="R420" s="1">
        <f t="shared" si="32"/>
        <v>0.78267893835765079</v>
      </c>
      <c r="S420" s="1">
        <f t="shared" si="33"/>
        <v>-0.21296619021106708</v>
      </c>
      <c r="T420" s="56">
        <f t="shared" si="34"/>
        <v>0.41644815031617577</v>
      </c>
    </row>
    <row r="421" spans="1:20" x14ac:dyDescent="0.25">
      <c r="A421">
        <v>0.43121837329571866</v>
      </c>
      <c r="B421">
        <v>-0.51434199122013524</v>
      </c>
      <c r="D421">
        <v>0.4400512809846111</v>
      </c>
      <c r="E421">
        <v>1.0539640663864702</v>
      </c>
      <c r="I421">
        <v>0.79910507213074422</v>
      </c>
      <c r="J421">
        <v>15</v>
      </c>
      <c r="K421">
        <v>-0.32825194769732963</v>
      </c>
      <c r="L421">
        <v>11.359654034396536</v>
      </c>
      <c r="M421">
        <v>15</v>
      </c>
      <c r="N421">
        <v>-0.10877397812691925</v>
      </c>
      <c r="O421">
        <v>215.16356102623837</v>
      </c>
      <c r="P421" s="1">
        <f t="shared" si="30"/>
        <v>8.0901148235941029</v>
      </c>
      <c r="Q421" s="1">
        <f t="shared" si="31"/>
        <v>1.0786819764792137</v>
      </c>
      <c r="R421" s="1">
        <f t="shared" si="32"/>
        <v>1.0385961565879269</v>
      </c>
      <c r="S421" s="1">
        <f t="shared" si="33"/>
        <v>-0.21132176176297018</v>
      </c>
      <c r="T421" s="56">
        <f t="shared" si="34"/>
        <v>0.41708338553254187</v>
      </c>
    </row>
    <row r="422" spans="1:20" x14ac:dyDescent="0.25">
      <c r="A422">
        <v>0.43220813648042</v>
      </c>
      <c r="B422">
        <v>-0.53391204346553423</v>
      </c>
      <c r="D422">
        <v>0.44020878156374244</v>
      </c>
      <c r="E422">
        <v>0.36222172298039368</v>
      </c>
      <c r="I422">
        <v>0.11385453151304159</v>
      </c>
      <c r="J422">
        <v>15</v>
      </c>
      <c r="K422">
        <v>-0.15598046350836134</v>
      </c>
      <c r="L422">
        <v>6.915202086297259</v>
      </c>
      <c r="M422">
        <v>15</v>
      </c>
      <c r="N422">
        <v>2.378805788794125E-2</v>
      </c>
      <c r="O422">
        <v>149.27526391216105</v>
      </c>
      <c r="P422" s="1">
        <f t="shared" si="30"/>
        <v>5.5782309285163683</v>
      </c>
      <c r="Q422" s="1">
        <f t="shared" si="31"/>
        <v>0.74376412380218238</v>
      </c>
      <c r="R422" s="1">
        <f t="shared" si="32"/>
        <v>0.86241760406556078</v>
      </c>
      <c r="S422" s="1">
        <f t="shared" si="33"/>
        <v>-0.20844718446011293</v>
      </c>
      <c r="T422" s="56">
        <f t="shared" si="34"/>
        <v>0.41819436900756179</v>
      </c>
    </row>
    <row r="423" spans="1:20" x14ac:dyDescent="0.25">
      <c r="A423">
        <v>0.43286551105419691</v>
      </c>
      <c r="B423">
        <v>0.27758005671785213</v>
      </c>
      <c r="D423">
        <v>0.4421560314650439</v>
      </c>
      <c r="E423">
        <v>1.6431256392479554</v>
      </c>
      <c r="I423">
        <v>0.17050127364333167</v>
      </c>
      <c r="J423">
        <v>15</v>
      </c>
      <c r="K423">
        <v>-0.74460293338537065</v>
      </c>
      <c r="L423">
        <v>21.733031825653999</v>
      </c>
      <c r="M423">
        <v>15</v>
      </c>
      <c r="N423">
        <v>-0.60495813499983342</v>
      </c>
      <c r="O423">
        <v>76.326823327255823</v>
      </c>
      <c r="P423" s="1">
        <f t="shared" si="30"/>
        <v>3.5021376840324936</v>
      </c>
      <c r="Q423" s="1">
        <f t="shared" si="31"/>
        <v>0.4669516912043325</v>
      </c>
      <c r="R423" s="1">
        <f t="shared" si="32"/>
        <v>0.68333863581999554</v>
      </c>
      <c r="S423" s="1">
        <f t="shared" si="33"/>
        <v>-0.20435665578599355</v>
      </c>
      <c r="T423" s="56">
        <f t="shared" si="34"/>
        <v>0.41977648544773044</v>
      </c>
    </row>
    <row r="424" spans="1:20" x14ac:dyDescent="0.25">
      <c r="A424">
        <v>0.43743453311118485</v>
      </c>
      <c r="B424">
        <v>0.74442709774302784</v>
      </c>
      <c r="D424">
        <v>0.44380266929753776</v>
      </c>
      <c r="E424">
        <v>-0.41478233811176324</v>
      </c>
      <c r="I424">
        <v>0.36380772330922817</v>
      </c>
      <c r="J424">
        <v>15</v>
      </c>
      <c r="K424">
        <v>0.12539582409469099</v>
      </c>
      <c r="L424">
        <v>16.049193411167153</v>
      </c>
      <c r="M424">
        <v>15</v>
      </c>
      <c r="N424">
        <v>0.29710440344388189</v>
      </c>
      <c r="O424">
        <v>137.24088125484241</v>
      </c>
      <c r="P424" s="1">
        <f t="shared" si="30"/>
        <v>5.4746455237860561</v>
      </c>
      <c r="Q424" s="1">
        <f t="shared" si="31"/>
        <v>0.72995273650480752</v>
      </c>
      <c r="R424" s="1">
        <f t="shared" si="32"/>
        <v>0.85437271521555946</v>
      </c>
      <c r="S424" s="1">
        <f t="shared" si="33"/>
        <v>-0.20097619726288729</v>
      </c>
      <c r="T424" s="56">
        <f t="shared" si="34"/>
        <v>0.42108499790779597</v>
      </c>
    </row>
    <row r="425" spans="1:20" x14ac:dyDescent="0.25">
      <c r="A425">
        <v>0.43959816413225627</v>
      </c>
      <c r="B425">
        <v>-1.0807843864313327</v>
      </c>
      <c r="D425">
        <v>0.44455913013203552</v>
      </c>
      <c r="E425">
        <v>-1.2130447009894851</v>
      </c>
      <c r="I425">
        <v>0.42094797890480384</v>
      </c>
      <c r="J425">
        <v>15</v>
      </c>
      <c r="K425">
        <v>-0.35552526848429505</v>
      </c>
      <c r="L425">
        <v>14.420588201125614</v>
      </c>
      <c r="M425">
        <v>15</v>
      </c>
      <c r="N425">
        <v>-0.1816060864712199</v>
      </c>
      <c r="O425">
        <v>145.20189871606976</v>
      </c>
      <c r="P425" s="1">
        <f t="shared" si="30"/>
        <v>5.7008031041855487</v>
      </c>
      <c r="Q425" s="1">
        <f t="shared" si="31"/>
        <v>0.76010708055807319</v>
      </c>
      <c r="R425" s="1">
        <f t="shared" si="32"/>
        <v>0.87184120145705046</v>
      </c>
      <c r="S425" s="1">
        <f t="shared" si="33"/>
        <v>-0.1994849311117845</v>
      </c>
      <c r="T425" s="56">
        <f t="shared" si="34"/>
        <v>0.42166253246506002</v>
      </c>
    </row>
    <row r="426" spans="1:20" x14ac:dyDescent="0.25">
      <c r="A426">
        <v>0.44008393147938218</v>
      </c>
      <c r="B426">
        <v>-0.86311729319277219</v>
      </c>
      <c r="D426">
        <v>0.44588373797645209</v>
      </c>
      <c r="E426">
        <v>-3.8927912589770131</v>
      </c>
      <c r="I426">
        <v>0.72316110572936443</v>
      </c>
      <c r="J426">
        <v>15</v>
      </c>
      <c r="K426">
        <v>-5.0660370713255055E-2</v>
      </c>
      <c r="L426">
        <v>13.87509399033765</v>
      </c>
      <c r="M426">
        <v>15</v>
      </c>
      <c r="N426">
        <v>6.5483387743370258E-2</v>
      </c>
      <c r="O426">
        <v>58.222017316078116</v>
      </c>
      <c r="P426" s="1">
        <f t="shared" si="30"/>
        <v>2.5748968323719916</v>
      </c>
      <c r="Q426" s="1">
        <f t="shared" si="31"/>
        <v>0.34331957764959886</v>
      </c>
      <c r="R426" s="1">
        <f t="shared" si="32"/>
        <v>0.58593478958805545</v>
      </c>
      <c r="S426" s="1">
        <f t="shared" si="33"/>
        <v>-0.19821959801752134</v>
      </c>
      <c r="T426" s="56">
        <f t="shared" si="34"/>
        <v>0.42215270754319534</v>
      </c>
    </row>
    <row r="427" spans="1:20" x14ac:dyDescent="0.25">
      <c r="A427">
        <v>0.44061295089320462</v>
      </c>
      <c r="B427">
        <v>0.2259344000776764</v>
      </c>
      <c r="D427">
        <v>0.44626989819036278</v>
      </c>
      <c r="E427">
        <v>4.4025166482697387</v>
      </c>
      <c r="I427">
        <v>0.25788058277371895</v>
      </c>
      <c r="J427">
        <v>15</v>
      </c>
      <c r="K427">
        <v>6.6148534945871987E-2</v>
      </c>
      <c r="L427">
        <v>15.433377608742802</v>
      </c>
      <c r="M427">
        <v>15</v>
      </c>
      <c r="N427">
        <v>0.2723727413922461</v>
      </c>
      <c r="O427">
        <v>212.04400182309152</v>
      </c>
      <c r="P427" s="1">
        <f t="shared" si="30"/>
        <v>8.1241921225655123</v>
      </c>
      <c r="Q427" s="1">
        <f t="shared" si="31"/>
        <v>1.0832256163420684</v>
      </c>
      <c r="R427" s="1">
        <f t="shared" si="32"/>
        <v>1.040781252877889</v>
      </c>
      <c r="S427" s="1">
        <f t="shared" si="33"/>
        <v>-0.19814365975188222</v>
      </c>
      <c r="T427" s="56">
        <f t="shared" si="34"/>
        <v>0.42218212918215586</v>
      </c>
    </row>
    <row r="428" spans="1:20" x14ac:dyDescent="0.25">
      <c r="A428">
        <v>0.44210795279110615</v>
      </c>
      <c r="B428">
        <v>-0.62765707298240159</v>
      </c>
      <c r="D428">
        <v>0.4481369222581103</v>
      </c>
      <c r="E428">
        <v>2.9238965419153828</v>
      </c>
      <c r="I428">
        <v>9.6187657306414653E-2</v>
      </c>
      <c r="J428">
        <v>15</v>
      </c>
      <c r="K428">
        <v>-1.7157617548946291E-2</v>
      </c>
      <c r="L428">
        <v>10.750588389848819</v>
      </c>
      <c r="M428">
        <v>15</v>
      </c>
      <c r="N428">
        <v>0.16988542142826191</v>
      </c>
      <c r="O428">
        <v>185.03257858876572</v>
      </c>
      <c r="P428" s="1">
        <f t="shared" si="30"/>
        <v>6.9922559635219477</v>
      </c>
      <c r="Q428" s="1">
        <f t="shared" si="31"/>
        <v>0.93230079513625963</v>
      </c>
      <c r="R428" s="1">
        <f t="shared" si="32"/>
        <v>0.96555724591360181</v>
      </c>
      <c r="S428" s="1">
        <f t="shared" si="33"/>
        <v>-0.19371512126163964</v>
      </c>
      <c r="T428" s="56">
        <f t="shared" si="34"/>
        <v>0.42389871537212986</v>
      </c>
    </row>
    <row r="429" spans="1:20" x14ac:dyDescent="0.25">
      <c r="A429">
        <v>0.4428331577590876</v>
      </c>
      <c r="B429">
        <v>2.2039512259652838</v>
      </c>
      <c r="D429">
        <v>0.4543679442902504</v>
      </c>
      <c r="E429">
        <v>2.0518048097528663</v>
      </c>
      <c r="I429">
        <v>0.4044150001345076</v>
      </c>
      <c r="J429">
        <v>15</v>
      </c>
      <c r="K429">
        <v>0.44042136930026271</v>
      </c>
      <c r="L429">
        <v>13.463708254597956</v>
      </c>
      <c r="M429">
        <v>15</v>
      </c>
      <c r="N429">
        <v>0.65112157813018712</v>
      </c>
      <c r="O429">
        <v>244.33424721542511</v>
      </c>
      <c r="P429" s="1">
        <f t="shared" si="30"/>
        <v>9.2070698382151086</v>
      </c>
      <c r="Q429" s="1">
        <f t="shared" si="31"/>
        <v>1.2276093117620144</v>
      </c>
      <c r="R429" s="1">
        <f t="shared" si="32"/>
        <v>1.1079753209173995</v>
      </c>
      <c r="S429" s="1">
        <f t="shared" si="33"/>
        <v>-0.1901668790379423</v>
      </c>
      <c r="T429" s="56">
        <f t="shared" si="34"/>
        <v>0.42527518308326773</v>
      </c>
    </row>
    <row r="430" spans="1:20" x14ac:dyDescent="0.25">
      <c r="A430">
        <v>0.44411282634072302</v>
      </c>
      <c r="B430">
        <v>0.84603243521996774</v>
      </c>
      <c r="D430">
        <v>0.45592118678218241</v>
      </c>
      <c r="E430">
        <v>-2.7177900426522683</v>
      </c>
      <c r="I430">
        <v>0.58914195181901119</v>
      </c>
      <c r="J430">
        <v>15</v>
      </c>
      <c r="K430">
        <v>0.17653413427372774</v>
      </c>
      <c r="L430">
        <v>15.732765974959205</v>
      </c>
      <c r="M430">
        <v>15</v>
      </c>
      <c r="N430">
        <v>0.35752668395616638</v>
      </c>
      <c r="O430">
        <v>175.07674327068213</v>
      </c>
      <c r="P430" s="1">
        <f t="shared" si="30"/>
        <v>6.8146253302014754</v>
      </c>
      <c r="Q430" s="1">
        <f t="shared" si="31"/>
        <v>0.90861671069353001</v>
      </c>
      <c r="R430" s="1">
        <f t="shared" si="32"/>
        <v>0.95321388507172411</v>
      </c>
      <c r="S430" s="1">
        <f t="shared" si="33"/>
        <v>-0.18987611544162508</v>
      </c>
      <c r="T430" s="56">
        <f t="shared" si="34"/>
        <v>0.42538802168712531</v>
      </c>
    </row>
    <row r="431" spans="1:20" x14ac:dyDescent="0.25">
      <c r="A431">
        <v>0.44535759244853224</v>
      </c>
      <c r="B431">
        <v>1.607922968105413</v>
      </c>
      <c r="D431">
        <v>0.45714550734569992</v>
      </c>
      <c r="E431">
        <v>1.7579879988716129</v>
      </c>
      <c r="I431">
        <v>0.74226191693706034</v>
      </c>
      <c r="J431">
        <v>15</v>
      </c>
      <c r="K431">
        <v>-0.24904071930601882</v>
      </c>
      <c r="L431">
        <v>8.1441286602865919</v>
      </c>
      <c r="M431">
        <v>15</v>
      </c>
      <c r="N431">
        <v>-0.11404086194488627</v>
      </c>
      <c r="O431">
        <v>102.3907447076723</v>
      </c>
      <c r="P431" s="1">
        <f t="shared" si="30"/>
        <v>3.9476740488556747</v>
      </c>
      <c r="Q431" s="1">
        <f t="shared" si="31"/>
        <v>0.52635653984742325</v>
      </c>
      <c r="R431" s="1">
        <f t="shared" si="32"/>
        <v>0.72550433482331667</v>
      </c>
      <c r="S431" s="1">
        <f t="shared" si="33"/>
        <v>-0.18607725809661674</v>
      </c>
      <c r="T431" s="56">
        <f t="shared" si="34"/>
        <v>0.42686285864763834</v>
      </c>
    </row>
    <row r="432" spans="1:20" x14ac:dyDescent="0.25">
      <c r="A432">
        <v>0.44581784212029274</v>
      </c>
      <c r="B432">
        <v>1.7645515981712379</v>
      </c>
      <c r="D432">
        <v>0.45895970950618592</v>
      </c>
      <c r="E432">
        <v>2.2532283276177623</v>
      </c>
      <c r="I432">
        <v>0.13747964005153257</v>
      </c>
      <c r="J432">
        <v>15</v>
      </c>
      <c r="K432">
        <v>-0.17807868365101362</v>
      </c>
      <c r="L432">
        <v>11.953827000926937</v>
      </c>
      <c r="M432">
        <v>15</v>
      </c>
      <c r="N432">
        <v>-6.1722633972749463E-2</v>
      </c>
      <c r="O432">
        <v>73.320529461196585</v>
      </c>
      <c r="P432" s="1">
        <f t="shared" si="30"/>
        <v>3.0455127307901257</v>
      </c>
      <c r="Q432" s="1">
        <f t="shared" si="31"/>
        <v>0.40606836410535008</v>
      </c>
      <c r="R432" s="1">
        <f t="shared" si="32"/>
        <v>0.63723493635028372</v>
      </c>
      <c r="S432" s="1">
        <f t="shared" si="33"/>
        <v>-0.182595214168082</v>
      </c>
      <c r="T432" s="56">
        <f t="shared" si="34"/>
        <v>0.42821564672671164</v>
      </c>
    </row>
    <row r="433" spans="1:20" x14ac:dyDescent="0.25">
      <c r="A433">
        <v>0.44745404801531974</v>
      </c>
      <c r="B433">
        <v>-0.72987177190952934</v>
      </c>
      <c r="D433">
        <v>0.45925318768049594</v>
      </c>
      <c r="E433">
        <v>2.7180119525382906</v>
      </c>
      <c r="I433">
        <v>0.21489010452536772</v>
      </c>
      <c r="J433">
        <v>15</v>
      </c>
      <c r="K433">
        <v>0.48075905093962018</v>
      </c>
      <c r="L433">
        <v>16.063980994587762</v>
      </c>
      <c r="M433">
        <v>15</v>
      </c>
      <c r="N433">
        <v>0.62635330891680496</v>
      </c>
      <c r="O433">
        <v>117.49410754634592</v>
      </c>
      <c r="P433" s="1">
        <f t="shared" si="30"/>
        <v>4.769931733604774</v>
      </c>
      <c r="Q433" s="1">
        <f t="shared" si="31"/>
        <v>0.63599089781396989</v>
      </c>
      <c r="R433" s="1">
        <f t="shared" si="32"/>
        <v>0.79749037474691187</v>
      </c>
      <c r="S433" s="1">
        <f t="shared" si="33"/>
        <v>-0.1825655363218521</v>
      </c>
      <c r="T433" s="56">
        <f t="shared" si="34"/>
        <v>0.42822718053798964</v>
      </c>
    </row>
    <row r="434" spans="1:20" x14ac:dyDescent="0.25">
      <c r="A434">
        <v>0.45258200908834822</v>
      </c>
      <c r="B434">
        <v>0.81952293840004131</v>
      </c>
      <c r="D434">
        <v>0.45988494742888741</v>
      </c>
      <c r="E434">
        <v>4.8375461540217657</v>
      </c>
      <c r="I434">
        <v>0.82352743230404712</v>
      </c>
      <c r="J434">
        <v>15</v>
      </c>
      <c r="K434">
        <v>-7.4645413405960426E-2</v>
      </c>
      <c r="L434">
        <v>12.368028931242161</v>
      </c>
      <c r="M434">
        <v>15</v>
      </c>
      <c r="N434">
        <v>0.11707424732776417</v>
      </c>
      <c r="O434">
        <v>221.67981062086915</v>
      </c>
      <c r="P434" s="1">
        <f t="shared" si="30"/>
        <v>8.3588514125754028</v>
      </c>
      <c r="Q434" s="1">
        <f t="shared" si="31"/>
        <v>1.1145135216767204</v>
      </c>
      <c r="R434" s="1">
        <f t="shared" si="32"/>
        <v>1.0557052248031742</v>
      </c>
      <c r="S434" s="1">
        <f t="shared" si="33"/>
        <v>-0.18160340237917155</v>
      </c>
      <c r="T434" s="56">
        <f t="shared" si="34"/>
        <v>0.42860113317769949</v>
      </c>
    </row>
    <row r="435" spans="1:20" x14ac:dyDescent="0.25">
      <c r="A435">
        <v>0.45353397414358643</v>
      </c>
      <c r="B435">
        <v>-5.5456439440604299E-3</v>
      </c>
      <c r="D435">
        <v>0.4609715798603502</v>
      </c>
      <c r="E435">
        <v>4.3654150658767321E-2</v>
      </c>
      <c r="I435">
        <v>0.24158641794414348</v>
      </c>
      <c r="J435">
        <v>15</v>
      </c>
      <c r="K435">
        <v>-0.3127718931258035</v>
      </c>
      <c r="L435">
        <v>16.730146947311265</v>
      </c>
      <c r="M435">
        <v>15</v>
      </c>
      <c r="N435">
        <v>-0.15178762055256811</v>
      </c>
      <c r="O435">
        <v>158.79257029245881</v>
      </c>
      <c r="P435" s="1">
        <f t="shared" si="30"/>
        <v>6.2686684728489306</v>
      </c>
      <c r="Q435" s="1">
        <f t="shared" si="31"/>
        <v>0.83582246304652408</v>
      </c>
      <c r="R435" s="1">
        <f t="shared" si="32"/>
        <v>0.91423326511701819</v>
      </c>
      <c r="S435" s="1">
        <f t="shared" si="33"/>
        <v>-0.17608664956271314</v>
      </c>
      <c r="T435" s="56">
        <f t="shared" si="34"/>
        <v>0.43074662425347304</v>
      </c>
    </row>
    <row r="436" spans="1:20" x14ac:dyDescent="0.25">
      <c r="A436">
        <v>0.45631581028109203</v>
      </c>
      <c r="B436">
        <v>1.3198200576880481</v>
      </c>
      <c r="D436">
        <v>0.46109739915697689</v>
      </c>
      <c r="E436">
        <v>-1.6730398363051791</v>
      </c>
      <c r="I436">
        <v>0.31764608944474093</v>
      </c>
      <c r="J436">
        <v>15</v>
      </c>
      <c r="K436">
        <v>4.9373738875146955E-2</v>
      </c>
      <c r="L436">
        <v>8.5885929300648023</v>
      </c>
      <c r="M436">
        <v>15</v>
      </c>
      <c r="N436">
        <v>0.20077709109500574</v>
      </c>
      <c r="O436">
        <v>159.23891826643035</v>
      </c>
      <c r="P436" s="1">
        <f t="shared" si="30"/>
        <v>5.993839685589113</v>
      </c>
      <c r="Q436" s="1">
        <f t="shared" si="31"/>
        <v>0.79917862474521506</v>
      </c>
      <c r="R436" s="1">
        <f t="shared" si="32"/>
        <v>0.89396791035540812</v>
      </c>
      <c r="S436" s="1">
        <f t="shared" si="33"/>
        <v>-0.16936105923496347</v>
      </c>
      <c r="T436" s="56">
        <f t="shared" si="34"/>
        <v>0.43336514962977463</v>
      </c>
    </row>
    <row r="437" spans="1:20" x14ac:dyDescent="0.25">
      <c r="A437">
        <v>0.45701194515144494</v>
      </c>
      <c r="B437">
        <v>-0.48177867029153276</v>
      </c>
      <c r="D437">
        <v>0.46113692815078289</v>
      </c>
      <c r="E437">
        <v>-6.1679691043536877E-3</v>
      </c>
      <c r="I437">
        <v>0.13725179197053439</v>
      </c>
      <c r="J437">
        <v>15</v>
      </c>
      <c r="K437">
        <v>-0.10702759330645979</v>
      </c>
      <c r="L437">
        <v>26.458791977086342</v>
      </c>
      <c r="M437">
        <v>15</v>
      </c>
      <c r="N437">
        <v>4.8805983396960073E-2</v>
      </c>
      <c r="O437">
        <v>159.89647773120561</v>
      </c>
      <c r="P437" s="1">
        <f t="shared" si="30"/>
        <v>6.655545346724713</v>
      </c>
      <c r="Q437" s="1">
        <f t="shared" si="31"/>
        <v>0.88740604622996166</v>
      </c>
      <c r="R437" s="1">
        <f t="shared" si="32"/>
        <v>0.94202231726746355</v>
      </c>
      <c r="S437" s="1">
        <f t="shared" si="33"/>
        <v>-0.1654245062425361</v>
      </c>
      <c r="T437" s="56">
        <f t="shared" si="34"/>
        <v>0.43489923803085528</v>
      </c>
    </row>
    <row r="438" spans="1:20" x14ac:dyDescent="0.25">
      <c r="A438">
        <v>0.46164823938298782</v>
      </c>
      <c r="B438">
        <v>-1.4226043276721612</v>
      </c>
      <c r="D438">
        <v>0.46155802197463969</v>
      </c>
      <c r="E438">
        <v>1.5014422808690142</v>
      </c>
      <c r="I438">
        <v>0.45024586686729373</v>
      </c>
      <c r="J438">
        <v>15</v>
      </c>
      <c r="K438">
        <v>-0.10360289100693383</v>
      </c>
      <c r="L438">
        <v>25.124432775633871</v>
      </c>
      <c r="M438">
        <v>15</v>
      </c>
      <c r="N438">
        <v>4.1791247440414736E-3</v>
      </c>
      <c r="O438">
        <v>65.058845643538334</v>
      </c>
      <c r="P438" s="1">
        <f t="shared" si="30"/>
        <v>3.2208313721132931</v>
      </c>
      <c r="Q438" s="1">
        <f t="shared" si="31"/>
        <v>0.42944418294843906</v>
      </c>
      <c r="R438" s="1">
        <f t="shared" si="32"/>
        <v>0.65531990886012237</v>
      </c>
      <c r="S438" s="1">
        <f t="shared" si="33"/>
        <v>-0.16447236577697399</v>
      </c>
      <c r="T438" s="56">
        <f t="shared" si="34"/>
        <v>0.43527044668531539</v>
      </c>
    </row>
    <row r="439" spans="1:20" x14ac:dyDescent="0.25">
      <c r="A439">
        <v>0.46175721746254528</v>
      </c>
      <c r="B439">
        <v>1.6306239558616653</v>
      </c>
      <c r="D439">
        <v>0.46245185616201057</v>
      </c>
      <c r="E439">
        <v>5.4039658118654188</v>
      </c>
      <c r="I439">
        <v>0.44448375861931733</v>
      </c>
      <c r="J439">
        <v>15</v>
      </c>
      <c r="K439">
        <v>0.44338723152274423</v>
      </c>
      <c r="L439">
        <v>26.234692562428307</v>
      </c>
      <c r="M439">
        <v>15</v>
      </c>
      <c r="N439">
        <v>0.57311399018544762</v>
      </c>
      <c r="O439">
        <v>106.21030588533628</v>
      </c>
      <c r="P439" s="1">
        <f t="shared" si="30"/>
        <v>4.7301785159915921</v>
      </c>
      <c r="Q439" s="1">
        <f t="shared" si="31"/>
        <v>0.63069046879887891</v>
      </c>
      <c r="R439" s="1">
        <f t="shared" si="32"/>
        <v>0.79416022866854707</v>
      </c>
      <c r="S439" s="1">
        <f t="shared" si="33"/>
        <v>-0.16335086293630868</v>
      </c>
      <c r="T439" s="56">
        <f t="shared" si="34"/>
        <v>0.43570776136154454</v>
      </c>
    </row>
    <row r="440" spans="1:20" x14ac:dyDescent="0.25">
      <c r="A440">
        <v>0.4622088148957163</v>
      </c>
      <c r="B440">
        <v>0.37196173252596054</v>
      </c>
      <c r="D440">
        <v>0.46268389391454068</v>
      </c>
      <c r="E440">
        <v>1.1040590345601231</v>
      </c>
      <c r="I440">
        <v>3.7353591617142579E-2</v>
      </c>
      <c r="J440">
        <v>15</v>
      </c>
      <c r="K440">
        <v>-0.32998506564278313</v>
      </c>
      <c r="L440">
        <v>8.2037226119365485</v>
      </c>
      <c r="M440">
        <v>15</v>
      </c>
      <c r="N440">
        <v>-0.15889441215222178</v>
      </c>
      <c r="O440">
        <v>224.83231272893522</v>
      </c>
      <c r="P440" s="1">
        <f t="shared" si="30"/>
        <v>8.3227155478882775</v>
      </c>
      <c r="Q440" s="1">
        <f t="shared" si="31"/>
        <v>1.1096954063851037</v>
      </c>
      <c r="R440" s="1">
        <f t="shared" si="32"/>
        <v>1.053420811634697</v>
      </c>
      <c r="S440" s="1">
        <f t="shared" si="33"/>
        <v>-0.16241434723988707</v>
      </c>
      <c r="T440" s="56">
        <f t="shared" si="34"/>
        <v>0.43607300637806745</v>
      </c>
    </row>
    <row r="441" spans="1:20" x14ac:dyDescent="0.25">
      <c r="A441">
        <v>0.46242818359739701</v>
      </c>
      <c r="B441">
        <v>0.47886032916721888</v>
      </c>
      <c r="D441">
        <v>0.46431868595614179</v>
      </c>
      <c r="E441">
        <v>3.0993380698873807</v>
      </c>
      <c r="I441">
        <v>0.30385530581633791</v>
      </c>
      <c r="J441">
        <v>15</v>
      </c>
      <c r="K441">
        <v>-0.32000343708205037</v>
      </c>
      <c r="L441">
        <v>9.8631041872757965</v>
      </c>
      <c r="M441">
        <v>15</v>
      </c>
      <c r="N441">
        <v>-0.16860576920407766</v>
      </c>
      <c r="O441">
        <v>189.01119709219375</v>
      </c>
      <c r="P441" s="1">
        <f t="shared" si="30"/>
        <v>7.102653617123913</v>
      </c>
      <c r="Q441" s="1">
        <f t="shared" si="31"/>
        <v>0.94702048228318836</v>
      </c>
      <c r="R441" s="1">
        <f t="shared" si="32"/>
        <v>0.97314977381859791</v>
      </c>
      <c r="S441" s="1">
        <f t="shared" si="33"/>
        <v>-0.15557488883123793</v>
      </c>
      <c r="T441" s="56">
        <f t="shared" si="34"/>
        <v>0.43874214611437778</v>
      </c>
    </row>
    <row r="442" spans="1:20" x14ac:dyDescent="0.25">
      <c r="A442">
        <v>0.46408540712515978</v>
      </c>
      <c r="B442">
        <v>-1.1054908100049943E-2</v>
      </c>
      <c r="D442">
        <v>0.46500981425312382</v>
      </c>
      <c r="E442">
        <v>-1.0720161787958205</v>
      </c>
      <c r="I442">
        <v>1.8538587516781613E-2</v>
      </c>
      <c r="J442">
        <v>15</v>
      </c>
      <c r="K442">
        <v>0.1206506112794159</v>
      </c>
      <c r="L442">
        <v>15.931835659425769</v>
      </c>
      <c r="M442">
        <v>15</v>
      </c>
      <c r="N442">
        <v>0.26214729246021307</v>
      </c>
      <c r="O442">
        <v>164.51709333077048</v>
      </c>
      <c r="P442" s="1">
        <f t="shared" si="30"/>
        <v>6.4446046067927227</v>
      </c>
      <c r="Q442" s="1">
        <f t="shared" si="31"/>
        <v>0.85928061423902968</v>
      </c>
      <c r="R442" s="1">
        <f t="shared" si="32"/>
        <v>0.92697390159541693</v>
      </c>
      <c r="S442" s="1">
        <f t="shared" si="33"/>
        <v>-0.15264365149576153</v>
      </c>
      <c r="T442" s="56">
        <f t="shared" si="34"/>
        <v>0.43988698663128722</v>
      </c>
    </row>
    <row r="443" spans="1:20" x14ac:dyDescent="0.25">
      <c r="A443">
        <v>0.46529511714614424</v>
      </c>
      <c r="B443">
        <v>1.124044501921162</v>
      </c>
      <c r="D443">
        <v>0.4652394670518547</v>
      </c>
      <c r="E443">
        <v>-3.0846415518226422</v>
      </c>
      <c r="I443">
        <v>0.34099328196718037</v>
      </c>
      <c r="J443">
        <v>15</v>
      </c>
      <c r="K443">
        <v>-0.23110669644665904</v>
      </c>
      <c r="L443">
        <v>14.260892780272682</v>
      </c>
      <c r="M443">
        <v>15</v>
      </c>
      <c r="N443">
        <v>-9.2569056278080097E-2</v>
      </c>
      <c r="O443">
        <v>166.30458062357491</v>
      </c>
      <c r="P443" s="1">
        <f t="shared" si="30"/>
        <v>6.4487669072802714</v>
      </c>
      <c r="Q443" s="1">
        <f t="shared" si="31"/>
        <v>0.85983558763736945</v>
      </c>
      <c r="R443" s="1">
        <f t="shared" si="32"/>
        <v>0.92727320010737369</v>
      </c>
      <c r="S443" s="1">
        <f t="shared" si="33"/>
        <v>-0.14940326125303413</v>
      </c>
      <c r="T443" s="56">
        <f t="shared" si="34"/>
        <v>0.44115318828559025</v>
      </c>
    </row>
    <row r="444" spans="1:20" x14ac:dyDescent="0.25">
      <c r="A444">
        <v>0.46534820144159261</v>
      </c>
      <c r="B444">
        <v>-0.42329702409915626</v>
      </c>
      <c r="D444">
        <v>0.46527134621117849</v>
      </c>
      <c r="E444">
        <v>5.8543566831303906</v>
      </c>
      <c r="I444">
        <v>0.92423790699569541</v>
      </c>
      <c r="J444">
        <v>15</v>
      </c>
      <c r="K444">
        <v>-0.10933983200326718</v>
      </c>
      <c r="L444">
        <v>7.1416658795346084</v>
      </c>
      <c r="M444">
        <v>15</v>
      </c>
      <c r="N444">
        <v>3.2141311976374709E-2</v>
      </c>
      <c r="O444">
        <v>182.19938674627693</v>
      </c>
      <c r="P444" s="1">
        <f t="shared" si="30"/>
        <v>6.7621804509218402</v>
      </c>
      <c r="Q444" s="1">
        <f t="shared" si="31"/>
        <v>0.90162406012291196</v>
      </c>
      <c r="R444" s="1">
        <f t="shared" si="32"/>
        <v>0.9495388670943975</v>
      </c>
      <c r="S444" s="1">
        <f t="shared" si="33"/>
        <v>-0.14899984495903387</v>
      </c>
      <c r="T444" s="56">
        <f t="shared" si="34"/>
        <v>0.44131087027962712</v>
      </c>
    </row>
    <row r="445" spans="1:20" x14ac:dyDescent="0.25">
      <c r="A445">
        <v>0.46764861785738365</v>
      </c>
      <c r="B445">
        <v>-0.58019168136524968</v>
      </c>
      <c r="D445">
        <v>0.46659745868351721</v>
      </c>
      <c r="E445">
        <v>2.8132565114447061</v>
      </c>
      <c r="I445">
        <v>0.4572550221359496</v>
      </c>
      <c r="J445">
        <v>15</v>
      </c>
      <c r="K445">
        <v>0.16821998845747052</v>
      </c>
      <c r="L445">
        <v>8.602482448544988</v>
      </c>
      <c r="M445">
        <v>15</v>
      </c>
      <c r="N445">
        <v>0.31006697668090055</v>
      </c>
      <c r="O445">
        <v>191.40062204444871</v>
      </c>
      <c r="P445" s="1">
        <f t="shared" si="30"/>
        <v>7.1429680176069175</v>
      </c>
      <c r="Q445" s="1">
        <f t="shared" si="31"/>
        <v>0.95239573568092228</v>
      </c>
      <c r="R445" s="1">
        <f t="shared" si="32"/>
        <v>0.97590764710648836</v>
      </c>
      <c r="S445" s="1">
        <f t="shared" si="33"/>
        <v>-0.14534878238120014</v>
      </c>
      <c r="T445" s="56">
        <f t="shared" si="34"/>
        <v>0.44273839200031728</v>
      </c>
    </row>
    <row r="446" spans="1:20" x14ac:dyDescent="0.25">
      <c r="A446">
        <v>0.46810650085054062</v>
      </c>
      <c r="B446">
        <v>0.98183363661519252</v>
      </c>
      <c r="D446">
        <v>0.46728011567523675</v>
      </c>
      <c r="E446">
        <v>0.77242884458428307</v>
      </c>
      <c r="I446">
        <v>0.43063232782068173</v>
      </c>
      <c r="J446">
        <v>15</v>
      </c>
      <c r="K446">
        <v>0.35346405032517697</v>
      </c>
      <c r="L446">
        <v>14.835700992821735</v>
      </c>
      <c r="M446">
        <v>15</v>
      </c>
      <c r="N446">
        <v>0.51348024157960026</v>
      </c>
      <c r="O446">
        <v>249.4017106080579</v>
      </c>
      <c r="P446" s="1">
        <f t="shared" si="30"/>
        <v>9.4370504143171292</v>
      </c>
      <c r="Q446" s="1">
        <f t="shared" si="31"/>
        <v>1.2582733885756172</v>
      </c>
      <c r="R446" s="1">
        <f t="shared" si="32"/>
        <v>1.1217278585181065</v>
      </c>
      <c r="S446" s="1">
        <f t="shared" si="33"/>
        <v>-0.14265152642800336</v>
      </c>
      <c r="T446" s="56">
        <f t="shared" si="34"/>
        <v>0.44379349151812253</v>
      </c>
    </row>
    <row r="447" spans="1:20" x14ac:dyDescent="0.25">
      <c r="A447">
        <v>0.46919124247660959</v>
      </c>
      <c r="B447">
        <v>0.913164512894582</v>
      </c>
      <c r="D447">
        <v>0.46800697761137011</v>
      </c>
      <c r="E447">
        <v>-2.9849632062450837</v>
      </c>
      <c r="I447">
        <v>0.95005182043391601</v>
      </c>
      <c r="J447">
        <v>15</v>
      </c>
      <c r="K447">
        <v>-7.7444004394540869E-2</v>
      </c>
      <c r="L447">
        <v>12.705639051435217</v>
      </c>
      <c r="M447">
        <v>15</v>
      </c>
      <c r="N447">
        <v>7.0762322366135777E-2</v>
      </c>
      <c r="O447">
        <v>220.26698638128039</v>
      </c>
      <c r="P447" s="1">
        <f t="shared" si="30"/>
        <v>8.3204509083112708</v>
      </c>
      <c r="Q447" s="1">
        <f t="shared" si="31"/>
        <v>1.1093934544415027</v>
      </c>
      <c r="R447" s="1">
        <f t="shared" si="32"/>
        <v>1.0532774821676874</v>
      </c>
      <c r="S447" s="1">
        <f t="shared" si="33"/>
        <v>-0.14070966983521005</v>
      </c>
      <c r="T447" s="56">
        <f t="shared" si="34"/>
        <v>0.4445533582062936</v>
      </c>
    </row>
    <row r="448" spans="1:20" x14ac:dyDescent="0.25">
      <c r="A448">
        <v>0.4710459809280354</v>
      </c>
      <c r="B448">
        <v>6.0049387684557587E-2</v>
      </c>
      <c r="D448">
        <v>0.46804937986391693</v>
      </c>
      <c r="E448">
        <v>-3.7344232202940475</v>
      </c>
      <c r="I448">
        <v>0.89841155407667006</v>
      </c>
      <c r="J448">
        <v>15</v>
      </c>
      <c r="K448">
        <v>-3.6015914398982808E-2</v>
      </c>
      <c r="L448">
        <v>20.866589627201307</v>
      </c>
      <c r="M448">
        <v>15</v>
      </c>
      <c r="N448">
        <v>3.8252434251262457E-2</v>
      </c>
      <c r="O448">
        <v>43.973657538370439</v>
      </c>
      <c r="P448" s="1">
        <f t="shared" si="30"/>
        <v>2.315723113056134</v>
      </c>
      <c r="Q448" s="1">
        <f t="shared" si="31"/>
        <v>0.30876308174081785</v>
      </c>
      <c r="R448" s="1">
        <f t="shared" si="32"/>
        <v>0.55566454065453719</v>
      </c>
      <c r="S448" s="1">
        <f t="shared" si="33"/>
        <v>-0.13365680768969332</v>
      </c>
      <c r="T448" s="56">
        <f t="shared" si="34"/>
        <v>0.44731499569778577</v>
      </c>
    </row>
    <row r="449" spans="1:20" x14ac:dyDescent="0.25">
      <c r="A449">
        <v>0.47411209277197219</v>
      </c>
      <c r="B449">
        <v>-1.0406370165583212</v>
      </c>
      <c r="D449">
        <v>0.46822666505165667</v>
      </c>
      <c r="E449">
        <v>0.10568282618805824</v>
      </c>
      <c r="I449">
        <v>0.91242752260781845</v>
      </c>
      <c r="J449">
        <v>15</v>
      </c>
      <c r="K449">
        <v>0.25011498413126293</v>
      </c>
      <c r="L449">
        <v>18.050367975554874</v>
      </c>
      <c r="M449">
        <v>15</v>
      </c>
      <c r="N449">
        <v>0.37312792869670375</v>
      </c>
      <c r="O449">
        <v>161.31722272898281</v>
      </c>
      <c r="P449" s="1">
        <f t="shared" si="30"/>
        <v>6.4059853823049178</v>
      </c>
      <c r="Q449" s="1">
        <f t="shared" si="31"/>
        <v>0.85413138430732238</v>
      </c>
      <c r="R449" s="1">
        <f t="shared" si="32"/>
        <v>0.92419228751776672</v>
      </c>
      <c r="S449" s="1">
        <f t="shared" si="33"/>
        <v>-0.1331031931632258</v>
      </c>
      <c r="T449" s="56">
        <f t="shared" si="34"/>
        <v>0.44753188640043551</v>
      </c>
    </row>
    <row r="450" spans="1:20" x14ac:dyDescent="0.25">
      <c r="A450">
        <v>0.47531792183794686</v>
      </c>
      <c r="B450">
        <v>0.20315383153501898</v>
      </c>
      <c r="D450">
        <v>0.4699110426311135</v>
      </c>
      <c r="E450">
        <v>2.7627727342860453</v>
      </c>
      <c r="I450">
        <v>0.60219621215833874</v>
      </c>
      <c r="J450">
        <v>15</v>
      </c>
      <c r="K450">
        <v>6.0642378230113536E-2</v>
      </c>
      <c r="L450">
        <v>8.6466691502551623</v>
      </c>
      <c r="M450">
        <v>15</v>
      </c>
      <c r="N450">
        <v>0.1818357270622073</v>
      </c>
      <c r="O450">
        <v>166.3589705615048</v>
      </c>
      <c r="P450" s="1">
        <f t="shared" ref="P450:P513" si="35">(L450+O450)/(J450+M450-2)</f>
        <v>6.2502014182771415</v>
      </c>
      <c r="Q450" s="1">
        <f t="shared" ref="Q450:Q513" si="36">P450*(2/15)</f>
        <v>0.83336018910361886</v>
      </c>
      <c r="R450" s="1">
        <f t="shared" ref="R450:R513" si="37">SQRT(Q450)</f>
        <v>0.9128856385679528</v>
      </c>
      <c r="S450" s="1">
        <f t="shared" ref="S450:S513" si="38">(K450-N450)/R450</f>
        <v>-0.1327585227676604</v>
      </c>
      <c r="T450" s="56">
        <f t="shared" ref="T450:T513" si="39">_xlfn.T.DIST(S450,28,TRUE)</f>
        <v>0.44766692699097022</v>
      </c>
    </row>
    <row r="451" spans="1:20" x14ac:dyDescent="0.25">
      <c r="A451">
        <v>0.4758941098188979</v>
      </c>
      <c r="B451">
        <v>-7.5997377280145884E-2</v>
      </c>
      <c r="D451">
        <v>0.47140637725248924</v>
      </c>
      <c r="E451">
        <v>1.7981683379275637</v>
      </c>
      <c r="I451">
        <v>0.3401540013667812</v>
      </c>
      <c r="J451">
        <v>15</v>
      </c>
      <c r="K451">
        <v>-5.8817173946105562E-2</v>
      </c>
      <c r="L451">
        <v>10.340570167143435</v>
      </c>
      <c r="M451">
        <v>15</v>
      </c>
      <c r="N451">
        <v>4.8526995897191227E-2</v>
      </c>
      <c r="O451">
        <v>128.39295781757636</v>
      </c>
      <c r="P451" s="1">
        <f t="shared" si="35"/>
        <v>4.9547688565971351</v>
      </c>
      <c r="Q451" s="1">
        <f t="shared" si="36"/>
        <v>0.66063584754628468</v>
      </c>
      <c r="R451" s="1">
        <f t="shared" si="37"/>
        <v>0.81279508336744055</v>
      </c>
      <c r="S451" s="1">
        <f t="shared" si="38"/>
        <v>-0.13206793697442884</v>
      </c>
      <c r="T451" s="56">
        <f t="shared" si="39"/>
        <v>0.44793751518864861</v>
      </c>
    </row>
    <row r="452" spans="1:20" x14ac:dyDescent="0.25">
      <c r="A452">
        <v>0.47732725264124587</v>
      </c>
      <c r="B452">
        <v>0.30752289603697136</v>
      </c>
      <c r="D452">
        <v>0.47200080042517878</v>
      </c>
      <c r="E452">
        <v>-1.8714347368131712</v>
      </c>
      <c r="I452">
        <v>6.4441784563598392E-2</v>
      </c>
      <c r="J452">
        <v>15</v>
      </c>
      <c r="K452">
        <v>0.1395568081837458</v>
      </c>
      <c r="L452">
        <v>5.8848374835732713</v>
      </c>
      <c r="M452">
        <v>15</v>
      </c>
      <c r="N452">
        <v>0.2584943069905421</v>
      </c>
      <c r="O452">
        <v>175.64193098633871</v>
      </c>
      <c r="P452" s="1">
        <f t="shared" si="35"/>
        <v>6.4830988739254281</v>
      </c>
      <c r="Q452" s="1">
        <f t="shared" si="36"/>
        <v>0.86441318319005711</v>
      </c>
      <c r="R452" s="1">
        <f t="shared" si="37"/>
        <v>0.92973823369271913</v>
      </c>
      <c r="S452" s="1">
        <f t="shared" si="38"/>
        <v>-0.12792579082652358</v>
      </c>
      <c r="T452" s="56">
        <f t="shared" si="39"/>
        <v>0.44956103966304062</v>
      </c>
    </row>
    <row r="453" spans="1:20" x14ac:dyDescent="0.25">
      <c r="A453">
        <v>0.47739879211212211</v>
      </c>
      <c r="B453">
        <v>1.4904253475833684</v>
      </c>
      <c r="D453">
        <v>0.47282438572735308</v>
      </c>
      <c r="E453">
        <v>-4.5019867263818014</v>
      </c>
      <c r="I453">
        <v>0.29929548683113227</v>
      </c>
      <c r="J453">
        <v>15</v>
      </c>
      <c r="K453">
        <v>-0.30314148110240541</v>
      </c>
      <c r="L453">
        <v>5.1322280507623645</v>
      </c>
      <c r="M453">
        <v>15</v>
      </c>
      <c r="N453">
        <v>-0.21962251025797741</v>
      </c>
      <c r="O453">
        <v>96.593195833847602</v>
      </c>
      <c r="P453" s="1">
        <f t="shared" si="35"/>
        <v>3.6330508530217847</v>
      </c>
      <c r="Q453" s="1">
        <f t="shared" si="36"/>
        <v>0.48440678040290464</v>
      </c>
      <c r="R453" s="1">
        <f t="shared" si="37"/>
        <v>0.69599337669471006</v>
      </c>
      <c r="S453" s="1">
        <f t="shared" si="38"/>
        <v>-0.1199996632741847</v>
      </c>
      <c r="T453" s="56">
        <f t="shared" si="39"/>
        <v>0.45267016396670645</v>
      </c>
    </row>
    <row r="454" spans="1:20" x14ac:dyDescent="0.25">
      <c r="A454">
        <v>0.47837406257638626</v>
      </c>
      <c r="B454">
        <v>-2.980073077196721E-2</v>
      </c>
      <c r="D454">
        <v>0.4752598536995486</v>
      </c>
      <c r="E454">
        <v>3.6100420823004242</v>
      </c>
      <c r="I454">
        <v>0.87094040363840475</v>
      </c>
      <c r="J454">
        <v>15</v>
      </c>
      <c r="K454">
        <v>0.20303158028885568</v>
      </c>
      <c r="L454">
        <v>8.4517622136162327</v>
      </c>
      <c r="M454">
        <v>15</v>
      </c>
      <c r="N454">
        <v>0.31393460290018993</v>
      </c>
      <c r="O454">
        <v>171.89348862924825</v>
      </c>
      <c r="P454" s="1">
        <f t="shared" si="35"/>
        <v>6.4409018158165887</v>
      </c>
      <c r="Q454" s="1">
        <f t="shared" si="36"/>
        <v>0.8587869087755452</v>
      </c>
      <c r="R454" s="1">
        <f t="shared" si="37"/>
        <v>0.92670756378457664</v>
      </c>
      <c r="S454" s="1">
        <f t="shared" si="38"/>
        <v>-0.11967423915093335</v>
      </c>
      <c r="T454" s="56">
        <f t="shared" si="39"/>
        <v>0.45279788253100184</v>
      </c>
    </row>
    <row r="455" spans="1:20" x14ac:dyDescent="0.25">
      <c r="A455">
        <v>0.47927806290578912</v>
      </c>
      <c r="B455">
        <v>-1.2111513569834642</v>
      </c>
      <c r="D455">
        <v>0.4761260849533745</v>
      </c>
      <c r="E455">
        <v>-1.0141654945527989</v>
      </c>
      <c r="I455">
        <v>2.0710056922819242E-2</v>
      </c>
      <c r="J455">
        <v>15</v>
      </c>
      <c r="K455">
        <v>-9.1763695309055038E-2</v>
      </c>
      <c r="L455">
        <v>7.9552658340040683</v>
      </c>
      <c r="M455">
        <v>15</v>
      </c>
      <c r="N455">
        <v>-1.5523031606790028E-2</v>
      </c>
      <c r="O455">
        <v>77.358366891966142</v>
      </c>
      <c r="P455" s="1">
        <f t="shared" si="35"/>
        <v>3.0469154544989361</v>
      </c>
      <c r="Q455" s="1">
        <f t="shared" si="36"/>
        <v>0.40625539393319149</v>
      </c>
      <c r="R455" s="1">
        <f t="shared" si="37"/>
        <v>0.63738167053437578</v>
      </c>
      <c r="S455" s="1">
        <f t="shared" si="38"/>
        <v>-0.11961540035869786</v>
      </c>
      <c r="T455" s="56">
        <f t="shared" si="39"/>
        <v>0.45282097542589028</v>
      </c>
    </row>
    <row r="456" spans="1:20" x14ac:dyDescent="0.25">
      <c r="A456">
        <v>0.48059720280404439</v>
      </c>
      <c r="B456">
        <v>-1.9564140529837459</v>
      </c>
      <c r="D456">
        <v>0.47689222465133185</v>
      </c>
      <c r="E456">
        <v>-0.37437689911712368</v>
      </c>
      <c r="I456">
        <v>6.2669888983690525E-2</v>
      </c>
      <c r="J456">
        <v>15</v>
      </c>
      <c r="K456">
        <v>1.4096940503804944E-2</v>
      </c>
      <c r="L456">
        <v>12.012246682933714</v>
      </c>
      <c r="M456">
        <v>15</v>
      </c>
      <c r="N456">
        <v>0.12482905390243104</v>
      </c>
      <c r="O456">
        <v>186.23471521137355</v>
      </c>
      <c r="P456" s="1">
        <f t="shared" si="35"/>
        <v>7.0802486390824031</v>
      </c>
      <c r="Q456" s="1">
        <f t="shared" si="36"/>
        <v>0.94403315187765369</v>
      </c>
      <c r="R456" s="1">
        <f t="shared" si="37"/>
        <v>0.97161368448455565</v>
      </c>
      <c r="S456" s="1">
        <f t="shared" si="38"/>
        <v>-0.1139672229476367</v>
      </c>
      <c r="T456" s="56">
        <f t="shared" si="39"/>
        <v>0.45503852853705157</v>
      </c>
    </row>
    <row r="457" spans="1:20" x14ac:dyDescent="0.25">
      <c r="A457">
        <v>0.48156560606671384</v>
      </c>
      <c r="B457">
        <v>0.6968184607103467</v>
      </c>
      <c r="D457">
        <v>0.47819665171304271</v>
      </c>
      <c r="E457">
        <v>-2.1388671063959919</v>
      </c>
      <c r="I457">
        <v>0.23064112660819924</v>
      </c>
      <c r="J457">
        <v>15</v>
      </c>
      <c r="K457">
        <v>-0.66135711070576997</v>
      </c>
      <c r="L457">
        <v>9.7217931612233492</v>
      </c>
      <c r="M457">
        <v>15</v>
      </c>
      <c r="N457">
        <v>-0.58010437328448461</v>
      </c>
      <c r="O457">
        <v>110.16666626813743</v>
      </c>
      <c r="P457" s="1">
        <f t="shared" si="35"/>
        <v>4.2817306939057422</v>
      </c>
      <c r="Q457" s="1">
        <f t="shared" si="36"/>
        <v>0.57089742585409897</v>
      </c>
      <c r="R457" s="1">
        <f t="shared" si="37"/>
        <v>0.75557754456713377</v>
      </c>
      <c r="S457" s="1">
        <f t="shared" si="38"/>
        <v>-0.10753725809550707</v>
      </c>
      <c r="T457" s="56">
        <f t="shared" si="39"/>
        <v>0.4575648175385546</v>
      </c>
    </row>
    <row r="458" spans="1:20" x14ac:dyDescent="0.25">
      <c r="A458">
        <v>0.48191596066943376</v>
      </c>
      <c r="B458">
        <v>-1.0682470019673929</v>
      </c>
      <c r="D458">
        <v>0.47838158166229627</v>
      </c>
      <c r="E458">
        <v>0.56127828088392562</v>
      </c>
      <c r="I458">
        <v>0.58740530756932385</v>
      </c>
      <c r="J458">
        <v>15</v>
      </c>
      <c r="K458">
        <v>-0.60126285461592488</v>
      </c>
      <c r="L458">
        <v>6.3914622604103064</v>
      </c>
      <c r="M458">
        <v>15</v>
      </c>
      <c r="N458">
        <v>-0.52723089879691543</v>
      </c>
      <c r="O458">
        <v>101.01878897875299</v>
      </c>
      <c r="P458" s="1">
        <f t="shared" si="35"/>
        <v>3.8360804013986893</v>
      </c>
      <c r="Q458" s="1">
        <f t="shared" si="36"/>
        <v>0.51147738685315858</v>
      </c>
      <c r="R458" s="1">
        <f t="shared" si="37"/>
        <v>0.71517647252489969</v>
      </c>
      <c r="S458" s="1">
        <f t="shared" si="38"/>
        <v>-0.10351564776403065</v>
      </c>
      <c r="T458" s="56">
        <f t="shared" si="39"/>
        <v>0.45914580698034768</v>
      </c>
    </row>
    <row r="459" spans="1:20" x14ac:dyDescent="0.25">
      <c r="A459">
        <v>0.48264468385177894</v>
      </c>
      <c r="B459">
        <v>0.14211423149390612</v>
      </c>
      <c r="D459">
        <v>0.47965774720430787</v>
      </c>
      <c r="E459">
        <v>0.56127828088392562</v>
      </c>
      <c r="I459">
        <v>0.27965176760819077</v>
      </c>
      <c r="J459">
        <v>15</v>
      </c>
      <c r="K459">
        <v>0.30665031166184537</v>
      </c>
      <c r="L459">
        <v>9.8024105281581893</v>
      </c>
      <c r="M459">
        <v>15</v>
      </c>
      <c r="N459">
        <v>0.40451072550240497</v>
      </c>
      <c r="O459">
        <v>188.6447810320328</v>
      </c>
      <c r="P459" s="1">
        <f t="shared" si="35"/>
        <v>7.0873996985782499</v>
      </c>
      <c r="Q459" s="1">
        <f t="shared" si="36"/>
        <v>0.94498662647709997</v>
      </c>
      <c r="R459" s="1">
        <f t="shared" si="37"/>
        <v>0.97210422613889502</v>
      </c>
      <c r="S459" s="1">
        <f t="shared" si="38"/>
        <v>-0.10066864355610489</v>
      </c>
      <c r="T459" s="56">
        <f t="shared" si="39"/>
        <v>0.46026544474765635</v>
      </c>
    </row>
    <row r="460" spans="1:20" x14ac:dyDescent="0.25">
      <c r="A460">
        <v>0.48267688694659494</v>
      </c>
      <c r="B460">
        <v>-2.7521309675648808</v>
      </c>
      <c r="D460">
        <v>0.48127092909307523</v>
      </c>
      <c r="E460">
        <v>-3.8578189139570895</v>
      </c>
      <c r="I460">
        <v>0.31928677229733615</v>
      </c>
      <c r="J460">
        <v>15</v>
      </c>
      <c r="K460">
        <v>-0.31457511795451865</v>
      </c>
      <c r="L460">
        <v>11.560798229249142</v>
      </c>
      <c r="M460">
        <v>15</v>
      </c>
      <c r="N460">
        <v>-0.22844779209663102</v>
      </c>
      <c r="O460">
        <v>149.26355082824628</v>
      </c>
      <c r="P460" s="1">
        <f t="shared" si="35"/>
        <v>5.7437267520534077</v>
      </c>
      <c r="Q460" s="1">
        <f t="shared" si="36"/>
        <v>0.76583023360712099</v>
      </c>
      <c r="R460" s="1">
        <f t="shared" si="37"/>
        <v>0.87511726848869864</v>
      </c>
      <c r="S460" s="1">
        <f t="shared" si="38"/>
        <v>-9.8418039455017203E-2</v>
      </c>
      <c r="T460" s="56">
        <f t="shared" si="39"/>
        <v>0.46115077261509185</v>
      </c>
    </row>
    <row r="461" spans="1:20" x14ac:dyDescent="0.25">
      <c r="A461">
        <v>0.48354496761104471</v>
      </c>
      <c r="B461">
        <v>-3.9292444853344932E-2</v>
      </c>
      <c r="D461">
        <v>0.48140203357941125</v>
      </c>
      <c r="E461">
        <v>-3.4611791795668978</v>
      </c>
      <c r="I461">
        <v>0.85816704692684254</v>
      </c>
      <c r="J461">
        <v>15</v>
      </c>
      <c r="K461">
        <v>4.4033034403886027E-2</v>
      </c>
      <c r="L461">
        <v>8.3886154145125165</v>
      </c>
      <c r="M461">
        <v>15</v>
      </c>
      <c r="N461">
        <v>0.12173449817964865</v>
      </c>
      <c r="O461">
        <v>126.62204897044485</v>
      </c>
      <c r="P461" s="1">
        <f t="shared" si="35"/>
        <v>4.821809442319906</v>
      </c>
      <c r="Q461" s="1">
        <f t="shared" si="36"/>
        <v>0.64290792564265409</v>
      </c>
      <c r="R461" s="1">
        <f t="shared" si="37"/>
        <v>0.80181539374263333</v>
      </c>
      <c r="S461" s="1">
        <f t="shared" si="38"/>
        <v>-9.6906924439396872E-2</v>
      </c>
      <c r="T461" s="56">
        <f t="shared" si="39"/>
        <v>0.46174531934187413</v>
      </c>
    </row>
    <row r="462" spans="1:20" x14ac:dyDescent="0.25">
      <c r="A462">
        <v>0.48355269977243964</v>
      </c>
      <c r="B462">
        <v>3.5388438845984638E-2</v>
      </c>
      <c r="D462">
        <v>0.48205533583070392</v>
      </c>
      <c r="E462">
        <v>0.27914961378883163</v>
      </c>
      <c r="I462">
        <v>0.53056406080734231</v>
      </c>
      <c r="J462">
        <v>15</v>
      </c>
      <c r="K462">
        <v>-0.42989768189727329</v>
      </c>
      <c r="L462">
        <v>15.603905385555553</v>
      </c>
      <c r="M462">
        <v>15</v>
      </c>
      <c r="N462">
        <v>-0.34703862525020668</v>
      </c>
      <c r="O462">
        <v>157.67769041444527</v>
      </c>
      <c r="P462" s="1">
        <f t="shared" si="35"/>
        <v>6.1886284214286009</v>
      </c>
      <c r="Q462" s="1">
        <f t="shared" si="36"/>
        <v>0.82515045619048011</v>
      </c>
      <c r="R462" s="1">
        <f t="shared" si="37"/>
        <v>0.90837792586042077</v>
      </c>
      <c r="S462" s="1">
        <f t="shared" si="38"/>
        <v>-9.121650173145944E-2</v>
      </c>
      <c r="T462" s="56">
        <f t="shared" si="39"/>
        <v>0.46398500801305254</v>
      </c>
    </row>
    <row r="463" spans="1:20" x14ac:dyDescent="0.25">
      <c r="A463">
        <v>0.48684657153669497</v>
      </c>
      <c r="B463">
        <v>-1.1357769835740328</v>
      </c>
      <c r="D463">
        <v>0.48559107726488659</v>
      </c>
      <c r="E463">
        <v>2.1329226422039937</v>
      </c>
      <c r="I463">
        <v>0.95322335012355874</v>
      </c>
      <c r="J463">
        <v>15</v>
      </c>
      <c r="K463">
        <v>0.32748259097085491</v>
      </c>
      <c r="L463">
        <v>24.989062646752402</v>
      </c>
      <c r="M463">
        <v>15</v>
      </c>
      <c r="N463">
        <v>0.40746021682025457</v>
      </c>
      <c r="O463">
        <v>158.47074002988043</v>
      </c>
      <c r="P463" s="1">
        <f t="shared" si="35"/>
        <v>6.5521358098797435</v>
      </c>
      <c r="Q463" s="1">
        <f t="shared" si="36"/>
        <v>0.87361810798396577</v>
      </c>
      <c r="R463" s="1">
        <f t="shared" si="37"/>
        <v>0.93467540247080738</v>
      </c>
      <c r="S463" s="1">
        <f t="shared" si="38"/>
        <v>-8.5567273556123771E-2</v>
      </c>
      <c r="T463" s="56">
        <f t="shared" si="39"/>
        <v>0.46620967411252906</v>
      </c>
    </row>
    <row r="464" spans="1:20" x14ac:dyDescent="0.25">
      <c r="A464">
        <v>0.48762606158831889</v>
      </c>
      <c r="B464">
        <v>-0.60738443607988302</v>
      </c>
      <c r="D464">
        <v>0.48599064782290324</v>
      </c>
      <c r="E464">
        <v>-3.6997373661051824</v>
      </c>
      <c r="I464">
        <v>0.41799768675164028</v>
      </c>
      <c r="J464">
        <v>15</v>
      </c>
      <c r="K464">
        <v>0.33836924255107687</v>
      </c>
      <c r="L464">
        <v>18.992577624039019</v>
      </c>
      <c r="M464">
        <v>15</v>
      </c>
      <c r="N464">
        <v>0.40469694454259297</v>
      </c>
      <c r="O464">
        <v>120.77249930526213</v>
      </c>
      <c r="P464" s="1">
        <f t="shared" si="35"/>
        <v>4.9916098903321844</v>
      </c>
      <c r="Q464" s="1">
        <f t="shared" si="36"/>
        <v>0.66554798537762461</v>
      </c>
      <c r="R464" s="1">
        <f t="shared" si="37"/>
        <v>0.81581124371856051</v>
      </c>
      <c r="S464" s="1">
        <f t="shared" si="38"/>
        <v>-8.1302755388840797E-2</v>
      </c>
      <c r="T464" s="56">
        <f t="shared" si="39"/>
        <v>0.46788978307406504</v>
      </c>
    </row>
    <row r="465" spans="1:20" x14ac:dyDescent="0.25">
      <c r="A465">
        <v>0.48922045332036623</v>
      </c>
      <c r="B465">
        <v>-0.39270162233151495</v>
      </c>
      <c r="D465">
        <v>0.48613832387391787</v>
      </c>
      <c r="E465">
        <v>9.1225895141633373</v>
      </c>
      <c r="I465">
        <v>0.74442340372280325</v>
      </c>
      <c r="J465">
        <v>15</v>
      </c>
      <c r="K465">
        <v>0.41481750182962668</v>
      </c>
      <c r="L465">
        <v>21.733517374053537</v>
      </c>
      <c r="M465">
        <v>15</v>
      </c>
      <c r="N465">
        <v>0.4864293680384435</v>
      </c>
      <c r="O465">
        <v>157.14297701467652</v>
      </c>
      <c r="P465" s="1">
        <f t="shared" si="35"/>
        <v>6.3884462281689309</v>
      </c>
      <c r="Q465" s="1">
        <f t="shared" si="36"/>
        <v>0.85179283042252407</v>
      </c>
      <c r="R465" s="1">
        <f t="shared" si="37"/>
        <v>0.9229262323839994</v>
      </c>
      <c r="S465" s="1">
        <f t="shared" si="38"/>
        <v>-7.7592188515258786E-2</v>
      </c>
      <c r="T465" s="56">
        <f t="shared" si="39"/>
        <v>0.46935214160897754</v>
      </c>
    </row>
    <row r="466" spans="1:20" x14ac:dyDescent="0.25">
      <c r="A466">
        <v>0.49100242907933056</v>
      </c>
      <c r="B466">
        <v>1.1953761713812128</v>
      </c>
      <c r="D466">
        <v>0.48825729573781806</v>
      </c>
      <c r="E466">
        <v>-1.2877437745828502</v>
      </c>
      <c r="I466">
        <v>4.2970265372253902E-2</v>
      </c>
      <c r="J466">
        <v>15</v>
      </c>
      <c r="K466">
        <v>-8.9430462442881734E-2</v>
      </c>
      <c r="L466">
        <v>9.5195599028328051</v>
      </c>
      <c r="M466">
        <v>15</v>
      </c>
      <c r="N466">
        <v>-1.5819526879568002E-2</v>
      </c>
      <c r="O466">
        <v>180.91561876608532</v>
      </c>
      <c r="P466" s="1">
        <f t="shared" si="35"/>
        <v>6.8012563810327906</v>
      </c>
      <c r="Q466" s="1">
        <f t="shared" si="36"/>
        <v>0.90683418413770545</v>
      </c>
      <c r="R466" s="1">
        <f t="shared" si="37"/>
        <v>0.95227841734321872</v>
      </c>
      <c r="S466" s="1">
        <f t="shared" si="38"/>
        <v>-7.7299804576777459E-2</v>
      </c>
      <c r="T466" s="56">
        <f t="shared" si="39"/>
        <v>0.46946739082387623</v>
      </c>
    </row>
    <row r="467" spans="1:20" x14ac:dyDescent="0.25">
      <c r="A467">
        <v>0.4912179444022382</v>
      </c>
      <c r="B467">
        <v>-5.8669229474617168E-2</v>
      </c>
      <c r="D467">
        <v>0.48962470922367995</v>
      </c>
      <c r="E467">
        <v>-1.1041304367154225</v>
      </c>
      <c r="I467">
        <v>2.3872321966131538E-2</v>
      </c>
      <c r="J467">
        <v>15</v>
      </c>
      <c r="K467">
        <v>-0.164274827814855</v>
      </c>
      <c r="L467">
        <v>17.19413455162158</v>
      </c>
      <c r="M467">
        <v>15</v>
      </c>
      <c r="N467">
        <v>-0.10518806789150403</v>
      </c>
      <c r="O467">
        <v>107.03801650823112</v>
      </c>
      <c r="P467" s="1">
        <f t="shared" si="35"/>
        <v>4.4368625378518818</v>
      </c>
      <c r="Q467" s="1">
        <f t="shared" si="36"/>
        <v>0.59158167171358422</v>
      </c>
      <c r="R467" s="1">
        <f t="shared" si="37"/>
        <v>0.76914346627504038</v>
      </c>
      <c r="S467" s="1">
        <f t="shared" si="38"/>
        <v>-7.6821506668330652E-2</v>
      </c>
      <c r="T467" s="56">
        <f t="shared" si="39"/>
        <v>0.4696559277100566</v>
      </c>
    </row>
    <row r="468" spans="1:20" x14ac:dyDescent="0.25">
      <c r="A468">
        <v>0.49133478131761243</v>
      </c>
      <c r="B468">
        <v>0.93900553110870533</v>
      </c>
      <c r="D468">
        <v>0.49005775348936143</v>
      </c>
      <c r="E468">
        <v>-0.25829354285633599</v>
      </c>
      <c r="I468">
        <v>0.12489681677548492</v>
      </c>
      <c r="J468">
        <v>15</v>
      </c>
      <c r="K468">
        <v>-0.19689158155718664</v>
      </c>
      <c r="L468">
        <v>7.0424712495933361</v>
      </c>
      <c r="M468">
        <v>15</v>
      </c>
      <c r="N468">
        <v>-0.13666226891473343</v>
      </c>
      <c r="O468">
        <v>123.39092629525804</v>
      </c>
      <c r="P468" s="1">
        <f t="shared" si="35"/>
        <v>4.6583356266018345</v>
      </c>
      <c r="Q468" s="1">
        <f t="shared" si="36"/>
        <v>0.62111141688024463</v>
      </c>
      <c r="R468" s="1">
        <f t="shared" si="37"/>
        <v>0.78810622182561441</v>
      </c>
      <c r="S468" s="1">
        <f t="shared" si="38"/>
        <v>-7.6422836128529195E-2</v>
      </c>
      <c r="T468" s="56">
        <f t="shared" si="39"/>
        <v>0.46981308232768104</v>
      </c>
    </row>
    <row r="469" spans="1:20" x14ac:dyDescent="0.25">
      <c r="A469">
        <v>0.4920333840903367</v>
      </c>
      <c r="B469">
        <v>-0.94067218014970422</v>
      </c>
      <c r="D469">
        <v>0.49087082772633184</v>
      </c>
      <c r="E469">
        <v>-1.680734161482178</v>
      </c>
      <c r="I469">
        <v>0.35748456078768676</v>
      </c>
      <c r="J469">
        <v>15</v>
      </c>
      <c r="K469">
        <v>-0.27305160680649959</v>
      </c>
      <c r="L469">
        <v>15.415363793491657</v>
      </c>
      <c r="M469">
        <v>15</v>
      </c>
      <c r="N469">
        <v>-0.21886649278712866</v>
      </c>
      <c r="O469">
        <v>101.5422700544368</v>
      </c>
      <c r="P469" s="1">
        <f t="shared" si="35"/>
        <v>4.1770583517117306</v>
      </c>
      <c r="Q469" s="1">
        <f t="shared" si="36"/>
        <v>0.55694111356156406</v>
      </c>
      <c r="R469" s="1">
        <f t="shared" si="37"/>
        <v>0.74628487426824086</v>
      </c>
      <c r="S469" s="1">
        <f t="shared" si="38"/>
        <v>-7.2606474936935284E-2</v>
      </c>
      <c r="T469" s="56">
        <f t="shared" si="39"/>
        <v>0.47131772656712689</v>
      </c>
    </row>
    <row r="470" spans="1:20" x14ac:dyDescent="0.25">
      <c r="A470">
        <v>0.49271686403050163</v>
      </c>
      <c r="B470">
        <v>-0.57621491578174755</v>
      </c>
      <c r="D470">
        <v>0.49245771234466851</v>
      </c>
      <c r="E470">
        <v>0.49271488592239621</v>
      </c>
      <c r="I470">
        <v>0.26318705234919282</v>
      </c>
      <c r="J470">
        <v>15</v>
      </c>
      <c r="K470">
        <v>0.10837561603693757</v>
      </c>
      <c r="L470">
        <v>12.130359896560122</v>
      </c>
      <c r="M470">
        <v>15</v>
      </c>
      <c r="N470">
        <v>0.1684579694938293</v>
      </c>
      <c r="O470">
        <v>136.94038600679792</v>
      </c>
      <c r="P470" s="1">
        <f t="shared" si="35"/>
        <v>5.3239552108342156</v>
      </c>
      <c r="Q470" s="1">
        <f t="shared" si="36"/>
        <v>0.70986069477789537</v>
      </c>
      <c r="R470" s="1">
        <f t="shared" si="37"/>
        <v>0.8425323108213093</v>
      </c>
      <c r="S470" s="1">
        <f t="shared" si="38"/>
        <v>-7.1311631239783332E-2</v>
      </c>
      <c r="T470" s="56">
        <f t="shared" si="39"/>
        <v>0.47182833280290887</v>
      </c>
    </row>
    <row r="471" spans="1:20" x14ac:dyDescent="0.25">
      <c r="A471">
        <v>0.49344751310127122</v>
      </c>
      <c r="B471">
        <v>0.27241640054853633</v>
      </c>
      <c r="D471">
        <v>0.49333990561709307</v>
      </c>
      <c r="E471">
        <v>1.4163408616241213</v>
      </c>
      <c r="I471">
        <v>0.30755509919757473</v>
      </c>
      <c r="J471">
        <v>15</v>
      </c>
      <c r="K471">
        <v>5.2340965339681134E-2</v>
      </c>
      <c r="L471">
        <v>11.653051536049887</v>
      </c>
      <c r="M471">
        <v>15</v>
      </c>
      <c r="N471">
        <v>0.11565270710889308</v>
      </c>
      <c r="O471">
        <v>159.97500288191199</v>
      </c>
      <c r="P471" s="1">
        <f t="shared" si="35"/>
        <v>6.1295733720700678</v>
      </c>
      <c r="Q471" s="1">
        <f t="shared" si="36"/>
        <v>0.81727644960934231</v>
      </c>
      <c r="R471" s="1">
        <f t="shared" si="37"/>
        <v>0.9040334339001751</v>
      </c>
      <c r="S471" s="1">
        <f t="shared" si="38"/>
        <v>-7.0032522465538524E-2</v>
      </c>
      <c r="T471" s="56">
        <f t="shared" si="39"/>
        <v>0.47233278210119539</v>
      </c>
    </row>
    <row r="472" spans="1:20" x14ac:dyDescent="0.25">
      <c r="A472">
        <v>0.49353904677643201</v>
      </c>
      <c r="B472">
        <v>-5.8525984059087932E-3</v>
      </c>
      <c r="D472">
        <v>0.49523232404313688</v>
      </c>
      <c r="E472">
        <v>3.2893224181407277</v>
      </c>
      <c r="I472">
        <v>0.96650817338495576</v>
      </c>
      <c r="J472">
        <v>15</v>
      </c>
      <c r="K472">
        <v>6.264902670712521E-4</v>
      </c>
      <c r="L472">
        <v>9.6785439078264019</v>
      </c>
      <c r="M472">
        <v>15</v>
      </c>
      <c r="N472">
        <v>5.2547417226378457E-2</v>
      </c>
      <c r="O472">
        <v>108.05200593725901</v>
      </c>
      <c r="P472" s="1">
        <f t="shared" si="35"/>
        <v>4.2046624944673363</v>
      </c>
      <c r="Q472" s="1">
        <f t="shared" si="36"/>
        <v>0.56062166592897822</v>
      </c>
      <c r="R472" s="1">
        <f t="shared" si="37"/>
        <v>0.74874673016246174</v>
      </c>
      <c r="S472" s="1">
        <f t="shared" si="38"/>
        <v>-6.9343777899426001E-2</v>
      </c>
      <c r="T472" s="56">
        <f t="shared" si="39"/>
        <v>0.47260442559388893</v>
      </c>
    </row>
    <row r="473" spans="1:20" x14ac:dyDescent="0.25">
      <c r="A473">
        <v>0.49452105297537818</v>
      </c>
      <c r="B473">
        <v>-0.83709437603829429</v>
      </c>
      <c r="D473">
        <v>0.49686165669137483</v>
      </c>
      <c r="E473">
        <v>-3.1980578148704808</v>
      </c>
      <c r="I473">
        <v>0.71871271974545636</v>
      </c>
      <c r="J473">
        <v>15</v>
      </c>
      <c r="K473">
        <v>0.30255023375502788</v>
      </c>
      <c r="L473">
        <v>10.940479422023611</v>
      </c>
      <c r="M473">
        <v>15</v>
      </c>
      <c r="N473">
        <v>0.35740822227126046</v>
      </c>
      <c r="O473">
        <v>136.2925217542101</v>
      </c>
      <c r="P473" s="1">
        <f t="shared" si="35"/>
        <v>5.2583214705797747</v>
      </c>
      <c r="Q473" s="1">
        <f t="shared" si="36"/>
        <v>0.70110952941063664</v>
      </c>
      <c r="R473" s="1">
        <f t="shared" si="37"/>
        <v>0.83732283464064006</v>
      </c>
      <c r="S473" s="1">
        <f t="shared" si="38"/>
        <v>-6.5515935128863861E-2</v>
      </c>
      <c r="T473" s="56">
        <f t="shared" si="39"/>
        <v>0.4741143825832056</v>
      </c>
    </row>
    <row r="474" spans="1:20" x14ac:dyDescent="0.25">
      <c r="A474">
        <v>0.49457990443378952</v>
      </c>
      <c r="B474">
        <v>0.82070073403883725</v>
      </c>
      <c r="D474">
        <v>0.49794637263126129</v>
      </c>
      <c r="E474">
        <v>3.235005120814094</v>
      </c>
      <c r="I474">
        <v>0.75079832624150045</v>
      </c>
      <c r="J474">
        <v>15</v>
      </c>
      <c r="K474">
        <v>-0.24567854476723974</v>
      </c>
      <c r="L474">
        <v>12.087856251830255</v>
      </c>
      <c r="M474">
        <v>15</v>
      </c>
      <c r="N474">
        <v>-0.19478011722640076</v>
      </c>
      <c r="O474">
        <v>115.00668021819379</v>
      </c>
      <c r="P474" s="1">
        <f t="shared" si="35"/>
        <v>4.5390905882151449</v>
      </c>
      <c r="Q474" s="1">
        <f t="shared" si="36"/>
        <v>0.60521207842868596</v>
      </c>
      <c r="R474" s="1">
        <f t="shared" si="37"/>
        <v>0.77795377653732489</v>
      </c>
      <c r="S474" s="1">
        <f t="shared" si="38"/>
        <v>-6.5426030537942839E-2</v>
      </c>
      <c r="T474" s="56">
        <f t="shared" si="39"/>
        <v>0.47414985176491936</v>
      </c>
    </row>
    <row r="475" spans="1:20" x14ac:dyDescent="0.25">
      <c r="A475">
        <v>0.49541505272276642</v>
      </c>
      <c r="B475">
        <v>0.98966665973421186</v>
      </c>
      <c r="D475">
        <v>0.49838759117955034</v>
      </c>
      <c r="E475">
        <v>1.383510376626873</v>
      </c>
      <c r="I475">
        <v>0.31142439153221413</v>
      </c>
      <c r="J475">
        <v>15</v>
      </c>
      <c r="K475">
        <v>0.26903292867549072</v>
      </c>
      <c r="L475">
        <v>9.2877891392206777</v>
      </c>
      <c r="M475">
        <v>15</v>
      </c>
      <c r="N475">
        <v>0.3079151122165058</v>
      </c>
      <c r="O475">
        <v>79.600429260464821</v>
      </c>
      <c r="P475" s="1">
        <f t="shared" si="35"/>
        <v>3.1745792285601966</v>
      </c>
      <c r="Q475" s="1">
        <f t="shared" si="36"/>
        <v>0.42327723047469284</v>
      </c>
      <c r="R475" s="1">
        <f t="shared" si="37"/>
        <v>0.65059759488849389</v>
      </c>
      <c r="S475" s="1">
        <f t="shared" si="38"/>
        <v>-5.9763798462364605E-2</v>
      </c>
      <c r="T475" s="56">
        <f t="shared" si="39"/>
        <v>0.47638413997049678</v>
      </c>
    </row>
    <row r="476" spans="1:20" x14ac:dyDescent="0.25">
      <c r="A476">
        <v>0.49765344678609169</v>
      </c>
      <c r="B476">
        <v>-0.22561948753718752</v>
      </c>
      <c r="D476">
        <v>0.49914316404899162</v>
      </c>
      <c r="E476">
        <v>-1.9418296267303958</v>
      </c>
      <c r="I476">
        <v>0.18657365008454374</v>
      </c>
      <c r="J476">
        <v>15</v>
      </c>
      <c r="K476">
        <v>-0.23391673191023679</v>
      </c>
      <c r="L476">
        <v>18.93340862408774</v>
      </c>
      <c r="M476">
        <v>15</v>
      </c>
      <c r="N476">
        <v>-0.18481705751582922</v>
      </c>
      <c r="O476">
        <v>128.22561003270812</v>
      </c>
      <c r="P476" s="1">
        <f t="shared" si="35"/>
        <v>5.2556792377427097</v>
      </c>
      <c r="Q476" s="1">
        <f t="shared" si="36"/>
        <v>0.70075723169902793</v>
      </c>
      <c r="R476" s="1">
        <f t="shared" si="37"/>
        <v>0.83711243671267244</v>
      </c>
      <c r="S476" s="1">
        <f t="shared" si="38"/>
        <v>-5.8653619563007846E-2</v>
      </c>
      <c r="T476" s="56">
        <f t="shared" si="39"/>
        <v>0.47682230510829032</v>
      </c>
    </row>
    <row r="477" spans="1:20" x14ac:dyDescent="0.25">
      <c r="A477">
        <v>0.49765970446463748</v>
      </c>
      <c r="B477">
        <v>0.17519369066576473</v>
      </c>
      <c r="D477">
        <v>0.50191901442176368</v>
      </c>
      <c r="E477">
        <v>-3.8778118812388129</v>
      </c>
      <c r="I477">
        <v>0.60837268834888159</v>
      </c>
      <c r="J477">
        <v>15</v>
      </c>
      <c r="K477">
        <v>0.16223778705655909</v>
      </c>
      <c r="L477">
        <v>10.400232524599319</v>
      </c>
      <c r="M477">
        <v>15</v>
      </c>
      <c r="N477">
        <v>0.21654386387126578</v>
      </c>
      <c r="O477">
        <v>175.68549610557915</v>
      </c>
      <c r="P477" s="1">
        <f t="shared" si="35"/>
        <v>6.6459188796492308</v>
      </c>
      <c r="Q477" s="1">
        <f t="shared" si="36"/>
        <v>0.8861225172865641</v>
      </c>
      <c r="R477" s="1">
        <f t="shared" si="37"/>
        <v>0.94134080825520583</v>
      </c>
      <c r="S477" s="1">
        <f t="shared" si="38"/>
        <v>-5.7690133412322903E-2</v>
      </c>
      <c r="T477" s="56">
        <f t="shared" si="39"/>
        <v>0.47720259755704963</v>
      </c>
    </row>
    <row r="478" spans="1:20" x14ac:dyDescent="0.25">
      <c r="A478">
        <v>0.49990480353728461</v>
      </c>
      <c r="B478">
        <v>-0.68226427174522541</v>
      </c>
      <c r="D478">
        <v>0.50662359654421407</v>
      </c>
      <c r="E478">
        <v>-3.2947416491424519</v>
      </c>
      <c r="I478">
        <v>0.8492124557918197</v>
      </c>
      <c r="J478">
        <v>15</v>
      </c>
      <c r="K478">
        <v>0.35363730906586471</v>
      </c>
      <c r="L478">
        <v>8.1458905308423066</v>
      </c>
      <c r="M478">
        <v>15</v>
      </c>
      <c r="N478">
        <v>0.38844813957439328</v>
      </c>
      <c r="O478">
        <v>70.10861961391555</v>
      </c>
      <c r="P478" s="1">
        <f t="shared" si="35"/>
        <v>2.7948039337413522</v>
      </c>
      <c r="Q478" s="1">
        <f t="shared" si="36"/>
        <v>0.37264052449884694</v>
      </c>
      <c r="R478" s="1">
        <f t="shared" si="37"/>
        <v>0.61044289208643177</v>
      </c>
      <c r="S478" s="1">
        <f t="shared" si="38"/>
        <v>-5.7025531724267747E-2</v>
      </c>
      <c r="T478" s="56">
        <f t="shared" si="39"/>
        <v>0.47746493170327764</v>
      </c>
    </row>
    <row r="479" spans="1:20" x14ac:dyDescent="0.25">
      <c r="A479">
        <v>0.50031779962913936</v>
      </c>
      <c r="B479">
        <v>0.36271330827730708</v>
      </c>
      <c r="D479">
        <v>0.50707681914271552</v>
      </c>
      <c r="E479">
        <v>-3.3190251576797891</v>
      </c>
      <c r="I479">
        <v>0.78014123327052354</v>
      </c>
      <c r="J479">
        <v>15</v>
      </c>
      <c r="K479">
        <v>-0.32168160638927173</v>
      </c>
      <c r="L479">
        <v>5.4017591567182679</v>
      </c>
      <c r="M479">
        <v>15</v>
      </c>
      <c r="N479">
        <v>-0.27773058150160068</v>
      </c>
      <c r="O479">
        <v>126.67888475338501</v>
      </c>
      <c r="P479" s="1">
        <f t="shared" si="35"/>
        <v>4.7171658539322596</v>
      </c>
      <c r="Q479" s="1">
        <f t="shared" si="36"/>
        <v>0.62895544719096796</v>
      </c>
      <c r="R479" s="1">
        <f t="shared" si="37"/>
        <v>0.79306711392603335</v>
      </c>
      <c r="S479" s="1">
        <f t="shared" si="38"/>
        <v>-5.5419048546968518E-2</v>
      </c>
      <c r="T479" s="56">
        <f t="shared" si="39"/>
        <v>0.47809909124153355</v>
      </c>
    </row>
    <row r="480" spans="1:20" x14ac:dyDescent="0.25">
      <c r="A480">
        <v>0.50090298949515677</v>
      </c>
      <c r="B480">
        <v>-0.36418441595742479</v>
      </c>
      <c r="D480">
        <v>0.50878288056658738</v>
      </c>
      <c r="E480">
        <v>-3.0321455176363088</v>
      </c>
      <c r="I480">
        <v>0.99593957792094556</v>
      </c>
      <c r="J480">
        <v>15</v>
      </c>
      <c r="K480">
        <v>-0.31076221299978596</v>
      </c>
      <c r="L480">
        <v>13.948800763949619</v>
      </c>
      <c r="M480">
        <v>15</v>
      </c>
      <c r="N480">
        <v>-0.28350951083666587</v>
      </c>
      <c r="O480">
        <v>82.31936000612022</v>
      </c>
      <c r="P480" s="1">
        <f t="shared" si="35"/>
        <v>3.4381485989310656</v>
      </c>
      <c r="Q480" s="1">
        <f t="shared" si="36"/>
        <v>0.45841981319080877</v>
      </c>
      <c r="R480" s="1">
        <f t="shared" si="37"/>
        <v>0.67706706698140973</v>
      </c>
      <c r="S480" s="1">
        <f t="shared" si="38"/>
        <v>-4.0251111731990905E-2</v>
      </c>
      <c r="T480" s="56">
        <f t="shared" si="39"/>
        <v>0.48408928499807757</v>
      </c>
    </row>
    <row r="481" spans="1:20" x14ac:dyDescent="0.25">
      <c r="A481">
        <v>0.50198793418212229</v>
      </c>
      <c r="B481">
        <v>0.75455773185240105</v>
      </c>
      <c r="D481">
        <v>0.50900431965642878</v>
      </c>
      <c r="E481">
        <v>1.6100359482607018</v>
      </c>
      <c r="I481">
        <v>0.74465837331178775</v>
      </c>
      <c r="J481">
        <v>15</v>
      </c>
      <c r="K481">
        <v>0.15666569197492208</v>
      </c>
      <c r="L481">
        <v>16.554274519856527</v>
      </c>
      <c r="M481">
        <v>15</v>
      </c>
      <c r="N481">
        <v>0.18694413142839039</v>
      </c>
      <c r="O481">
        <v>140.42024821340888</v>
      </c>
      <c r="P481" s="1">
        <f t="shared" si="35"/>
        <v>5.6062329547594789</v>
      </c>
      <c r="Q481" s="1">
        <f t="shared" si="36"/>
        <v>0.74749772730126385</v>
      </c>
      <c r="R481" s="1">
        <f t="shared" si="37"/>
        <v>0.86457950895291513</v>
      </c>
      <c r="S481" s="1">
        <f t="shared" si="38"/>
        <v>-3.502100054411221E-2</v>
      </c>
      <c r="T481" s="56">
        <f t="shared" si="39"/>
        <v>0.48615573598656364</v>
      </c>
    </row>
    <row r="482" spans="1:20" x14ac:dyDescent="0.25">
      <c r="A482">
        <v>0.50255894236480148</v>
      </c>
      <c r="B482">
        <v>0.78594780461571645</v>
      </c>
      <c r="D482">
        <v>0.50900548277615487</v>
      </c>
      <c r="E482">
        <v>-2.6191007725628879</v>
      </c>
      <c r="I482">
        <v>0.97078381222124654</v>
      </c>
      <c r="J482">
        <v>15</v>
      </c>
      <c r="K482">
        <v>0.38997586671030149</v>
      </c>
      <c r="L482">
        <v>13.621876755705408</v>
      </c>
      <c r="M482">
        <v>15</v>
      </c>
      <c r="N482">
        <v>0.41667817299639864</v>
      </c>
      <c r="O482">
        <v>118.37834776716301</v>
      </c>
      <c r="P482" s="1">
        <f t="shared" si="35"/>
        <v>4.7142937329595869</v>
      </c>
      <c r="Q482" s="1">
        <f t="shared" si="36"/>
        <v>0.62857249772794488</v>
      </c>
      <c r="R482" s="1">
        <f t="shared" si="37"/>
        <v>0.7928256414420165</v>
      </c>
      <c r="S482" s="1">
        <f t="shared" si="38"/>
        <v>-3.3679922659325387E-2</v>
      </c>
      <c r="T482" s="56">
        <f t="shared" si="39"/>
        <v>0.48668567007609054</v>
      </c>
    </row>
    <row r="483" spans="1:20" x14ac:dyDescent="0.25">
      <c r="A483">
        <v>0.50267598374080202</v>
      </c>
      <c r="B483">
        <v>-0.24701648726477288</v>
      </c>
      <c r="D483">
        <v>0.50918803365015097</v>
      </c>
      <c r="E483">
        <v>-1.0691035220133926</v>
      </c>
      <c r="I483">
        <v>7.6432400357686281E-2</v>
      </c>
      <c r="J483">
        <v>15</v>
      </c>
      <c r="K483">
        <v>0.31411908215280465</v>
      </c>
      <c r="L483">
        <v>9.7724021077410548</v>
      </c>
      <c r="M483">
        <v>15</v>
      </c>
      <c r="N483">
        <v>0.33676587577247119</v>
      </c>
      <c r="O483">
        <v>124.44402198334288</v>
      </c>
      <c r="P483" s="1">
        <f t="shared" si="35"/>
        <v>4.7934437175387119</v>
      </c>
      <c r="Q483" s="1">
        <f t="shared" si="36"/>
        <v>0.63912582900516157</v>
      </c>
      <c r="R483" s="1">
        <f t="shared" si="37"/>
        <v>0.7994534564345579</v>
      </c>
      <c r="S483" s="1">
        <f t="shared" si="38"/>
        <v>-2.8327845026360671E-2</v>
      </c>
      <c r="T483" s="56">
        <f t="shared" si="39"/>
        <v>0.48880080923606301</v>
      </c>
    </row>
    <row r="484" spans="1:20" x14ac:dyDescent="0.25">
      <c r="A484">
        <v>0.5028189787065217</v>
      </c>
      <c r="B484">
        <v>0.88327624325756915</v>
      </c>
      <c r="D484">
        <v>0.51251745175159213</v>
      </c>
      <c r="E484">
        <v>0.28053431947228091</v>
      </c>
      <c r="I484">
        <v>0.78862093012026346</v>
      </c>
      <c r="J484">
        <v>15</v>
      </c>
      <c r="K484">
        <v>-0.39272451128150959</v>
      </c>
      <c r="L484">
        <v>26.743478699136176</v>
      </c>
      <c r="M484">
        <v>15</v>
      </c>
      <c r="N484">
        <v>-0.37205109379101486</v>
      </c>
      <c r="O484">
        <v>115.65353426333324</v>
      </c>
      <c r="P484" s="1">
        <f t="shared" si="35"/>
        <v>5.0856076058024797</v>
      </c>
      <c r="Q484" s="1">
        <f t="shared" si="36"/>
        <v>0.67808101410699728</v>
      </c>
      <c r="R484" s="1">
        <f t="shared" si="37"/>
        <v>0.82345674695578108</v>
      </c>
      <c r="S484" s="1">
        <f t="shared" si="38"/>
        <v>-2.5105650742339322E-2</v>
      </c>
      <c r="T484" s="56">
        <f t="shared" si="39"/>
        <v>0.49007438345247079</v>
      </c>
    </row>
    <row r="485" spans="1:20" x14ac:dyDescent="0.25">
      <c r="A485">
        <v>0.50321280175128624</v>
      </c>
      <c r="B485">
        <v>1.0306985132046975</v>
      </c>
      <c r="D485">
        <v>0.51301747655613628</v>
      </c>
      <c r="E485">
        <v>-1.9189922147688776</v>
      </c>
      <c r="I485">
        <v>0.14459467498862988</v>
      </c>
      <c r="J485">
        <v>15</v>
      </c>
      <c r="K485">
        <v>-0.54959809858701192</v>
      </c>
      <c r="L485">
        <v>9.0569942266900636</v>
      </c>
      <c r="M485">
        <v>15</v>
      </c>
      <c r="N485">
        <v>-0.53304347943594621</v>
      </c>
      <c r="O485">
        <v>111.55756872090882</v>
      </c>
      <c r="P485" s="1">
        <f t="shared" si="35"/>
        <v>4.3076629624142457</v>
      </c>
      <c r="Q485" s="1">
        <f t="shared" si="36"/>
        <v>0.57435506165523276</v>
      </c>
      <c r="R485" s="1">
        <f t="shared" si="37"/>
        <v>0.75786216534092321</v>
      </c>
      <c r="S485" s="1">
        <f t="shared" si="38"/>
        <v>-2.1843839035847152E-2</v>
      </c>
      <c r="T485" s="56">
        <f t="shared" si="39"/>
        <v>0.49136372510530768</v>
      </c>
    </row>
    <row r="486" spans="1:20" x14ac:dyDescent="0.25">
      <c r="A486">
        <v>0.50355858178177737</v>
      </c>
      <c r="B486">
        <v>-1.0473650036146864</v>
      </c>
      <c r="D486">
        <v>0.51482342829222727</v>
      </c>
      <c r="E486">
        <v>1.7227905539130006</v>
      </c>
      <c r="I486">
        <v>0.93645319485330791</v>
      </c>
      <c r="J486">
        <v>15</v>
      </c>
      <c r="K486">
        <v>9.057688051446651E-2</v>
      </c>
      <c r="L486">
        <v>24.031799116774582</v>
      </c>
      <c r="M486">
        <v>15</v>
      </c>
      <c r="N486">
        <v>0.10988332746819651</v>
      </c>
      <c r="O486">
        <v>188.06766639443566</v>
      </c>
      <c r="P486" s="1">
        <f t="shared" si="35"/>
        <v>7.5749809111146513</v>
      </c>
      <c r="Q486" s="1">
        <f t="shared" si="36"/>
        <v>1.0099974548152868</v>
      </c>
      <c r="R486" s="1">
        <f t="shared" si="37"/>
        <v>1.0049862958345686</v>
      </c>
      <c r="S486" s="1">
        <f t="shared" si="38"/>
        <v>-1.9210656935075312E-2</v>
      </c>
      <c r="T486" s="56">
        <f t="shared" si="39"/>
        <v>0.49240464967111575</v>
      </c>
    </row>
    <row r="487" spans="1:20" x14ac:dyDescent="0.25">
      <c r="A487">
        <v>0.5040110964254646</v>
      </c>
      <c r="B487">
        <v>0.89394916358287446</v>
      </c>
      <c r="D487">
        <v>0.51515543590716317</v>
      </c>
      <c r="E487">
        <v>2.8121651178025786</v>
      </c>
      <c r="I487">
        <v>0.1413834845625267</v>
      </c>
      <c r="J487">
        <v>15</v>
      </c>
      <c r="K487">
        <v>-0.15652593295574965</v>
      </c>
      <c r="L487">
        <v>10.140501692695823</v>
      </c>
      <c r="M487">
        <v>15</v>
      </c>
      <c r="N487">
        <v>-0.13991280297886988</v>
      </c>
      <c r="O487">
        <v>163.71625861801081</v>
      </c>
      <c r="P487" s="1">
        <f t="shared" si="35"/>
        <v>6.2091700110966661</v>
      </c>
      <c r="Q487" s="1">
        <f t="shared" si="36"/>
        <v>0.82788933481288884</v>
      </c>
      <c r="R487" s="1">
        <f t="shared" si="37"/>
        <v>0.90988424253466926</v>
      </c>
      <c r="S487" s="1">
        <f t="shared" si="38"/>
        <v>-1.8258509379831103E-2</v>
      </c>
      <c r="T487" s="56">
        <f t="shared" si="39"/>
        <v>0.49278105742607964</v>
      </c>
    </row>
    <row r="488" spans="1:20" x14ac:dyDescent="0.25">
      <c r="A488">
        <v>0.50555344140379521</v>
      </c>
      <c r="B488">
        <v>0.20206016415613703</v>
      </c>
      <c r="D488">
        <v>0.51521395175545825</v>
      </c>
      <c r="E488">
        <v>-1.3521291782581102</v>
      </c>
      <c r="I488">
        <v>0.25706187895326305</v>
      </c>
      <c r="J488">
        <v>15</v>
      </c>
      <c r="K488">
        <v>-7.6587487759146214E-2</v>
      </c>
      <c r="L488">
        <v>19.084750782222244</v>
      </c>
      <c r="M488">
        <v>15</v>
      </c>
      <c r="N488">
        <v>-6.4257168332915171E-2</v>
      </c>
      <c r="O488">
        <v>97.815417562881549</v>
      </c>
      <c r="P488" s="1">
        <f t="shared" si="35"/>
        <v>4.1750060123251354</v>
      </c>
      <c r="Q488" s="1">
        <f t="shared" si="36"/>
        <v>0.55666746831001801</v>
      </c>
      <c r="R488" s="1">
        <f t="shared" si="37"/>
        <v>0.74610151340820774</v>
      </c>
      <c r="S488" s="1">
        <f t="shared" si="38"/>
        <v>-1.6526329466758322E-2</v>
      </c>
      <c r="T488" s="56">
        <f t="shared" si="39"/>
        <v>0.49346584862434933</v>
      </c>
    </row>
    <row r="489" spans="1:20" x14ac:dyDescent="0.25">
      <c r="A489">
        <v>0.50570765199019962</v>
      </c>
      <c r="B489">
        <v>-0.33280684874625877</v>
      </c>
      <c r="D489">
        <v>0.51582248852720902</v>
      </c>
      <c r="E489">
        <v>1.1736967701381218</v>
      </c>
      <c r="I489">
        <v>0.2528916925717738</v>
      </c>
      <c r="J489">
        <v>15</v>
      </c>
      <c r="K489">
        <v>-0.10491347287218862</v>
      </c>
      <c r="L489">
        <v>18.656538747008703</v>
      </c>
      <c r="M489">
        <v>15</v>
      </c>
      <c r="N489">
        <v>-9.2710710077881231E-2</v>
      </c>
      <c r="O489">
        <v>115.7932106183934</v>
      </c>
      <c r="P489" s="1">
        <f t="shared" si="35"/>
        <v>4.8017767630500758</v>
      </c>
      <c r="Q489" s="1">
        <f t="shared" si="36"/>
        <v>0.64023690174001013</v>
      </c>
      <c r="R489" s="1">
        <f t="shared" si="37"/>
        <v>0.80014804988827548</v>
      </c>
      <c r="S489" s="1">
        <f t="shared" si="38"/>
        <v>-1.5250631175082236E-2</v>
      </c>
      <c r="T489" s="56">
        <f t="shared" si="39"/>
        <v>0.49397018980184199</v>
      </c>
    </row>
    <row r="490" spans="1:20" x14ac:dyDescent="0.25">
      <c r="A490">
        <v>0.5071248906283683</v>
      </c>
      <c r="B490">
        <v>-0.51181132221245207</v>
      </c>
      <c r="D490">
        <v>0.51626076942340127</v>
      </c>
      <c r="E490">
        <v>-1.0388105272340908</v>
      </c>
      <c r="I490">
        <v>0.81696191731791656</v>
      </c>
      <c r="J490">
        <v>15</v>
      </c>
      <c r="K490">
        <v>6.0864673893471867E-2</v>
      </c>
      <c r="L490">
        <v>13.705767527882841</v>
      </c>
      <c r="M490">
        <v>15</v>
      </c>
      <c r="N490">
        <v>6.9089079488549032E-2</v>
      </c>
      <c r="O490">
        <v>125.8792389509925</v>
      </c>
      <c r="P490" s="1">
        <f t="shared" si="35"/>
        <v>4.9851788028169768</v>
      </c>
      <c r="Q490" s="1">
        <f t="shared" si="36"/>
        <v>0.66469050704226351</v>
      </c>
      <c r="R490" s="1">
        <f t="shared" si="37"/>
        <v>0.81528553712319929</v>
      </c>
      <c r="S490" s="1">
        <f t="shared" si="38"/>
        <v>-1.0087760938453101E-2</v>
      </c>
      <c r="T490" s="56">
        <f t="shared" si="39"/>
        <v>0.49601140066567079</v>
      </c>
    </row>
    <row r="491" spans="1:20" x14ac:dyDescent="0.25">
      <c r="A491">
        <v>0.50734499333723493</v>
      </c>
      <c r="B491">
        <v>0.73818455348373391</v>
      </c>
      <c r="D491">
        <v>0.51762897754450565</v>
      </c>
      <c r="E491">
        <v>1.4738982338258211</v>
      </c>
      <c r="I491">
        <v>0.89870869508682771</v>
      </c>
      <c r="J491">
        <v>15</v>
      </c>
      <c r="K491">
        <v>-2.378442331973929E-2</v>
      </c>
      <c r="L491">
        <v>9.8744929581543435</v>
      </c>
      <c r="M491">
        <v>15</v>
      </c>
      <c r="N491">
        <v>-1.85559690635273E-2</v>
      </c>
      <c r="O491">
        <v>51.347685049169129</v>
      </c>
      <c r="P491" s="1">
        <f t="shared" si="35"/>
        <v>2.1865063574044097</v>
      </c>
      <c r="Q491" s="1">
        <f t="shared" si="36"/>
        <v>0.29153418098725464</v>
      </c>
      <c r="R491" s="1">
        <f t="shared" si="37"/>
        <v>0.53993905303029766</v>
      </c>
      <c r="S491" s="1">
        <f t="shared" si="38"/>
        <v>-9.6834156130555064E-3</v>
      </c>
      <c r="T491" s="56">
        <f t="shared" si="39"/>
        <v>0.49617126946182033</v>
      </c>
    </row>
    <row r="492" spans="1:20" x14ac:dyDescent="0.25">
      <c r="A492">
        <v>0.50758723473504774</v>
      </c>
      <c r="B492">
        <v>-1.2877853805548511</v>
      </c>
      <c r="D492">
        <v>0.51791676222476013</v>
      </c>
      <c r="E492">
        <v>-0.20174912037873582</v>
      </c>
      <c r="I492">
        <v>0.83275377819505825</v>
      </c>
      <c r="J492">
        <v>15</v>
      </c>
      <c r="K492">
        <v>5.8449510712913856E-2</v>
      </c>
      <c r="L492">
        <v>9.2576341009003809</v>
      </c>
      <c r="M492">
        <v>15</v>
      </c>
      <c r="N492">
        <v>6.375148245751916E-2</v>
      </c>
      <c r="O492">
        <v>93.94376881963646</v>
      </c>
      <c r="P492" s="1">
        <f t="shared" si="35"/>
        <v>3.6857643900191728</v>
      </c>
      <c r="Q492" s="1">
        <f t="shared" si="36"/>
        <v>0.49143525200255639</v>
      </c>
      <c r="R492" s="1">
        <f t="shared" si="37"/>
        <v>0.70102443038923856</v>
      </c>
      <c r="S492" s="1">
        <f t="shared" si="38"/>
        <v>-7.5631768519984722E-3</v>
      </c>
      <c r="T492" s="56">
        <f t="shared" si="39"/>
        <v>0.49700957284935154</v>
      </c>
    </row>
    <row r="493" spans="1:20" x14ac:dyDescent="0.25">
      <c r="A493">
        <v>0.50782559161733765</v>
      </c>
      <c r="B493">
        <v>-0.83590066424221732</v>
      </c>
      <c r="D493">
        <v>0.51989315721135321</v>
      </c>
      <c r="E493">
        <v>3.2543978215926472</v>
      </c>
      <c r="I493">
        <v>3.824802203960409E-2</v>
      </c>
      <c r="J493">
        <v>15</v>
      </c>
      <c r="K493">
        <v>0.15286984004584761</v>
      </c>
      <c r="L493">
        <v>8.6807507529855226</v>
      </c>
      <c r="M493">
        <v>15</v>
      </c>
      <c r="N493">
        <v>0.1557871166824043</v>
      </c>
      <c r="O493">
        <v>123.92064339547818</v>
      </c>
      <c r="P493" s="1">
        <f t="shared" si="35"/>
        <v>4.7357640767308462</v>
      </c>
      <c r="Q493" s="1">
        <f t="shared" si="36"/>
        <v>0.63143521023077953</v>
      </c>
      <c r="R493" s="1">
        <f t="shared" si="37"/>
        <v>0.79462897646057407</v>
      </c>
      <c r="S493" s="1">
        <f t="shared" si="38"/>
        <v>-3.6712437162193454E-3</v>
      </c>
      <c r="T493" s="56">
        <f t="shared" si="39"/>
        <v>0.49854840499415631</v>
      </c>
    </row>
    <row r="494" spans="1:20" x14ac:dyDescent="0.25">
      <c r="A494">
        <v>0.50824715949466659</v>
      </c>
      <c r="B494">
        <v>-2.492197381798178</v>
      </c>
      <c r="D494">
        <v>0.52023036113105181</v>
      </c>
      <c r="E494">
        <v>1.1544814208264143</v>
      </c>
      <c r="I494">
        <v>1.9404137332753368E-2</v>
      </c>
      <c r="J494">
        <v>15</v>
      </c>
      <c r="K494">
        <v>0.12510038989906511</v>
      </c>
      <c r="L494">
        <v>17.233882234959331</v>
      </c>
      <c r="M494">
        <v>15</v>
      </c>
      <c r="N494">
        <v>0.12655413797801884</v>
      </c>
      <c r="O494">
        <v>101.63274511653871</v>
      </c>
      <c r="P494" s="1">
        <f t="shared" si="35"/>
        <v>4.24523669112493</v>
      </c>
      <c r="Q494" s="1">
        <f t="shared" si="36"/>
        <v>0.56603155881665734</v>
      </c>
      <c r="R494" s="1">
        <f t="shared" si="37"/>
        <v>0.75235068871946764</v>
      </c>
      <c r="S494" s="1">
        <f t="shared" si="38"/>
        <v>-1.9322745373279012E-3</v>
      </c>
      <c r="T494" s="56">
        <f t="shared" si="39"/>
        <v>0.49923598513117362</v>
      </c>
    </row>
    <row r="495" spans="1:20" x14ac:dyDescent="0.25">
      <c r="A495">
        <v>0.50827853748383578</v>
      </c>
      <c r="B495">
        <v>1.8473292584531009</v>
      </c>
      <c r="D495">
        <v>0.52096379845337104</v>
      </c>
      <c r="E495">
        <v>-1.2660762001814874</v>
      </c>
      <c r="I495">
        <v>0.53796464891939832</v>
      </c>
      <c r="J495">
        <v>15</v>
      </c>
      <c r="K495">
        <v>3.1590237388930596E-2</v>
      </c>
      <c r="L495">
        <v>10.120040926312937</v>
      </c>
      <c r="M495">
        <v>15</v>
      </c>
      <c r="N495">
        <v>3.3114243933596299E-2</v>
      </c>
      <c r="O495">
        <v>231.61489397378935</v>
      </c>
      <c r="P495" s="1">
        <f t="shared" si="35"/>
        <v>8.6333905321465103</v>
      </c>
      <c r="Q495" s="1">
        <f t="shared" si="36"/>
        <v>1.1511187376195346</v>
      </c>
      <c r="R495" s="1">
        <f t="shared" si="37"/>
        <v>1.0729020167841679</v>
      </c>
      <c r="S495" s="1">
        <f t="shared" si="38"/>
        <v>-1.4204526795779918E-3</v>
      </c>
      <c r="T495" s="56">
        <f t="shared" si="39"/>
        <v>0.49943835761007954</v>
      </c>
    </row>
    <row r="496" spans="1:20" x14ac:dyDescent="0.25">
      <c r="A496">
        <v>0.50866597404207714</v>
      </c>
      <c r="B496">
        <v>0.62430672187474556</v>
      </c>
      <c r="D496">
        <v>0.52569658475789771</v>
      </c>
      <c r="E496">
        <v>2.2771162059598282</v>
      </c>
      <c r="I496">
        <v>0.59774396002185881</v>
      </c>
      <c r="J496">
        <v>15</v>
      </c>
      <c r="K496">
        <v>0.40549737908198341</v>
      </c>
      <c r="L496">
        <v>12.340577500301801</v>
      </c>
      <c r="M496">
        <v>15</v>
      </c>
      <c r="N496">
        <v>0.40662348169462348</v>
      </c>
      <c r="O496">
        <v>173.06646564660997</v>
      </c>
      <c r="P496" s="1">
        <f t="shared" si="35"/>
        <v>6.621680112389706</v>
      </c>
      <c r="Q496" s="1">
        <f t="shared" si="36"/>
        <v>0.88289068165196083</v>
      </c>
      <c r="R496" s="1">
        <f t="shared" si="37"/>
        <v>0.93962262725626233</v>
      </c>
      <c r="S496" s="1">
        <f t="shared" si="38"/>
        <v>-1.1984626380575089E-3</v>
      </c>
      <c r="T496" s="56">
        <f t="shared" si="39"/>
        <v>0.4995261317061126</v>
      </c>
    </row>
    <row r="497" spans="1:20" x14ac:dyDescent="0.25">
      <c r="A497">
        <v>0.50943723517256645</v>
      </c>
      <c r="B497">
        <v>-1.2469695320760366</v>
      </c>
      <c r="D497">
        <v>0.52666341572501763</v>
      </c>
      <c r="E497">
        <v>3.0997337000826519</v>
      </c>
      <c r="I497">
        <v>0.28141412548458289</v>
      </c>
      <c r="J497">
        <v>15</v>
      </c>
      <c r="K497">
        <v>-0.27729371746924397</v>
      </c>
      <c r="L497">
        <v>10.860791890846755</v>
      </c>
      <c r="M497">
        <v>15</v>
      </c>
      <c r="N497">
        <v>-0.27781857511399721</v>
      </c>
      <c r="O497">
        <v>164.69982500651474</v>
      </c>
      <c r="P497" s="1">
        <f t="shared" si="35"/>
        <v>6.2700220320486251</v>
      </c>
      <c r="Q497" s="1">
        <f t="shared" si="36"/>
        <v>0.83600293760648337</v>
      </c>
      <c r="R497" s="1">
        <f t="shared" si="37"/>
        <v>0.91433196247669446</v>
      </c>
      <c r="S497" s="1">
        <f t="shared" si="38"/>
        <v>5.7403401203599358E-4</v>
      </c>
      <c r="T497" s="56">
        <f t="shared" si="39"/>
        <v>0.50022697125571447</v>
      </c>
    </row>
    <row r="498" spans="1:20" x14ac:dyDescent="0.25">
      <c r="A498">
        <v>0.51004862221604019</v>
      </c>
      <c r="B498">
        <v>-1.798580342438072</v>
      </c>
      <c r="D498">
        <v>0.52724281751316004</v>
      </c>
      <c r="E498">
        <v>-3.3426947572934296</v>
      </c>
      <c r="I498">
        <v>0.51136838232334159</v>
      </c>
      <c r="J498">
        <v>15</v>
      </c>
      <c r="K498">
        <v>-5.7138019352957294E-2</v>
      </c>
      <c r="L498">
        <v>12.217056964913846</v>
      </c>
      <c r="M498">
        <v>15</v>
      </c>
      <c r="N498">
        <v>-5.8277922789784498E-2</v>
      </c>
      <c r="O498">
        <v>164.59263308221205</v>
      </c>
      <c r="P498" s="1">
        <f t="shared" si="35"/>
        <v>6.314631787397353</v>
      </c>
      <c r="Q498" s="1">
        <f t="shared" si="36"/>
        <v>0.84195090498631375</v>
      </c>
      <c r="R498" s="1">
        <f t="shared" si="37"/>
        <v>0.91757882766894405</v>
      </c>
      <c r="S498" s="1">
        <f t="shared" si="38"/>
        <v>1.242294833374766E-3</v>
      </c>
      <c r="T498" s="56">
        <f t="shared" si="39"/>
        <v>0.50049119939465037</v>
      </c>
    </row>
    <row r="499" spans="1:20" x14ac:dyDescent="0.25">
      <c r="A499">
        <v>0.51022286569082986</v>
      </c>
      <c r="B499">
        <v>3.653667590697296E-2</v>
      </c>
      <c r="D499">
        <v>0.52840299762805676</v>
      </c>
      <c r="E499">
        <v>-1.7854943087058928</v>
      </c>
      <c r="I499">
        <v>0.38083493651374156</v>
      </c>
      <c r="J499">
        <v>15</v>
      </c>
      <c r="K499">
        <v>0.451730405378233</v>
      </c>
      <c r="L499">
        <v>25.489740896007337</v>
      </c>
      <c r="M499">
        <v>15</v>
      </c>
      <c r="N499">
        <v>0.44895568521496898</v>
      </c>
      <c r="O499">
        <v>155.43986925734626</v>
      </c>
      <c r="P499" s="1">
        <f t="shared" si="35"/>
        <v>6.4617717911911994</v>
      </c>
      <c r="Q499" s="1">
        <f t="shared" si="36"/>
        <v>0.86156957215882657</v>
      </c>
      <c r="R499" s="1">
        <f t="shared" si="37"/>
        <v>0.92820772037234567</v>
      </c>
      <c r="S499" s="1">
        <f t="shared" si="38"/>
        <v>2.9893310542073032E-3</v>
      </c>
      <c r="T499" s="56">
        <f t="shared" si="39"/>
        <v>0.50118197040747736</v>
      </c>
    </row>
    <row r="500" spans="1:20" x14ac:dyDescent="0.25">
      <c r="A500">
        <v>0.51130860563999414</v>
      </c>
      <c r="B500">
        <v>0.32005800676415674</v>
      </c>
      <c r="D500">
        <v>0.5290704410713768</v>
      </c>
      <c r="E500">
        <v>-0.80801487797543814</v>
      </c>
      <c r="I500">
        <v>0.92101748361990121</v>
      </c>
      <c r="J500">
        <v>15</v>
      </c>
      <c r="K500">
        <v>-0.10961798579955939</v>
      </c>
      <c r="L500">
        <v>12.353495156940276</v>
      </c>
      <c r="M500">
        <v>15</v>
      </c>
      <c r="N500">
        <v>-0.11495604098854528</v>
      </c>
      <c r="O500">
        <v>130.2862388530969</v>
      </c>
      <c r="P500" s="1">
        <f t="shared" si="35"/>
        <v>5.0942762146441849</v>
      </c>
      <c r="Q500" s="1">
        <f t="shared" si="36"/>
        <v>0.67923682861922463</v>
      </c>
      <c r="R500" s="1">
        <f t="shared" si="37"/>
        <v>0.82415825459630299</v>
      </c>
      <c r="S500" s="1">
        <f t="shared" si="38"/>
        <v>6.4769783706172153E-3</v>
      </c>
      <c r="T500" s="56">
        <f t="shared" si="39"/>
        <v>0.50256095862112293</v>
      </c>
    </row>
    <row r="501" spans="1:20" x14ac:dyDescent="0.25">
      <c r="A501">
        <v>0.51227270148336401</v>
      </c>
      <c r="B501">
        <v>0.61605533119291067</v>
      </c>
      <c r="D501">
        <v>0.52945321655866584</v>
      </c>
      <c r="E501">
        <v>4.6764837372847978</v>
      </c>
      <c r="I501">
        <v>0.13835689443505728</v>
      </c>
      <c r="J501">
        <v>15</v>
      </c>
      <c r="K501">
        <v>3.0912284879984025E-2</v>
      </c>
      <c r="L501">
        <v>9.1544000911651633</v>
      </c>
      <c r="M501">
        <v>15</v>
      </c>
      <c r="N501">
        <v>2.431852067275031E-2</v>
      </c>
      <c r="O501">
        <v>136.1972123921752</v>
      </c>
      <c r="P501" s="1">
        <f t="shared" si="35"/>
        <v>5.1911290172621563</v>
      </c>
      <c r="Q501" s="1">
        <f t="shared" si="36"/>
        <v>0.69215053563495421</v>
      </c>
      <c r="R501" s="1">
        <f t="shared" si="37"/>
        <v>0.83195584957072943</v>
      </c>
      <c r="S501" s="1">
        <f t="shared" si="38"/>
        <v>7.9256179407067688E-3</v>
      </c>
      <c r="T501" s="56">
        <f t="shared" si="39"/>
        <v>0.50313373078169055</v>
      </c>
    </row>
    <row r="502" spans="1:20" x14ac:dyDescent="0.25">
      <c r="A502">
        <v>0.51240149830555326</v>
      </c>
      <c r="B502">
        <v>1.0517442206037231</v>
      </c>
      <c r="D502">
        <v>0.53052385372565447</v>
      </c>
      <c r="E502">
        <v>2.8020083357205294</v>
      </c>
      <c r="I502">
        <v>0.63436906063775955</v>
      </c>
      <c r="J502">
        <v>15</v>
      </c>
      <c r="K502">
        <v>-0.34960294215125032</v>
      </c>
      <c r="L502">
        <v>11.110969387807923</v>
      </c>
      <c r="M502">
        <v>15</v>
      </c>
      <c r="N502">
        <v>-0.35731000366467924</v>
      </c>
      <c r="O502">
        <v>164.48977294320224</v>
      </c>
      <c r="P502" s="1">
        <f t="shared" si="35"/>
        <v>6.2714550832503635</v>
      </c>
      <c r="Q502" s="1">
        <f t="shared" si="36"/>
        <v>0.83619401110004843</v>
      </c>
      <c r="R502" s="1">
        <f t="shared" si="37"/>
        <v>0.91443644453840989</v>
      </c>
      <c r="S502" s="1">
        <f t="shared" si="38"/>
        <v>8.4282090455387558E-3</v>
      </c>
      <c r="T502" s="56">
        <f t="shared" si="39"/>
        <v>0.50333244686350298</v>
      </c>
    </row>
    <row r="503" spans="1:20" x14ac:dyDescent="0.25">
      <c r="A503">
        <v>0.51354625720258662</v>
      </c>
      <c r="B503">
        <v>0.7789867595420219</v>
      </c>
      <c r="D503">
        <v>0.53232568401879321</v>
      </c>
      <c r="E503">
        <v>-3.1462370805002138</v>
      </c>
      <c r="I503">
        <v>0.25097712900055624</v>
      </c>
      <c r="J503">
        <v>15</v>
      </c>
      <c r="K503">
        <v>0.12846445921847285</v>
      </c>
      <c r="L503">
        <v>8.2272629262300434</v>
      </c>
      <c r="M503">
        <v>15</v>
      </c>
      <c r="N503">
        <v>0.12168925081823545</v>
      </c>
      <c r="O503">
        <v>111.85521083765357</v>
      </c>
      <c r="P503" s="1">
        <f t="shared" si="35"/>
        <v>4.2886597772815573</v>
      </c>
      <c r="Q503" s="1">
        <f t="shared" si="36"/>
        <v>0.57182130363754102</v>
      </c>
      <c r="R503" s="1">
        <f t="shared" si="37"/>
        <v>0.75618866933956441</v>
      </c>
      <c r="S503" s="1">
        <f t="shared" si="38"/>
        <v>8.9596798721603369E-3</v>
      </c>
      <c r="T503" s="56">
        <f t="shared" si="39"/>
        <v>0.50354258055280066</v>
      </c>
    </row>
    <row r="504" spans="1:20" x14ac:dyDescent="0.25">
      <c r="A504">
        <v>0.51404343528567986</v>
      </c>
      <c r="B504">
        <v>-0.57865463531925343</v>
      </c>
      <c r="D504">
        <v>0.53264506377251164</v>
      </c>
      <c r="E504">
        <v>1.1062861597110896</v>
      </c>
      <c r="I504">
        <v>0.48927672457578664</v>
      </c>
      <c r="J504">
        <v>15</v>
      </c>
      <c r="K504">
        <v>0.31915321111834299</v>
      </c>
      <c r="L504">
        <v>12.194986098306304</v>
      </c>
      <c r="M504">
        <v>15</v>
      </c>
      <c r="N504">
        <v>0.30569844625460973</v>
      </c>
      <c r="O504">
        <v>230.58473560705426</v>
      </c>
      <c r="P504" s="1">
        <f t="shared" si="35"/>
        <v>8.6707043466200204</v>
      </c>
      <c r="Q504" s="1">
        <f t="shared" si="36"/>
        <v>1.1560939128826693</v>
      </c>
      <c r="R504" s="1">
        <f t="shared" si="37"/>
        <v>1.0752180768954125</v>
      </c>
      <c r="S504" s="1">
        <f t="shared" si="38"/>
        <v>1.2513521817436871E-2</v>
      </c>
      <c r="T504" s="56">
        <f t="shared" si="39"/>
        <v>0.50494767399339391</v>
      </c>
    </row>
    <row r="505" spans="1:20" x14ac:dyDescent="0.25">
      <c r="A505">
        <v>0.5145404874485634</v>
      </c>
      <c r="B505">
        <v>-1.1983502190560102</v>
      </c>
      <c r="D505">
        <v>0.53312209152182621</v>
      </c>
      <c r="E505">
        <v>2.2992714968950168</v>
      </c>
      <c r="I505">
        <v>0.54907318619733814</v>
      </c>
      <c r="J505">
        <v>15</v>
      </c>
      <c r="K505">
        <v>1.0389082187127011E-2</v>
      </c>
      <c r="L505">
        <v>13.339777045361101</v>
      </c>
      <c r="M505">
        <v>15</v>
      </c>
      <c r="N505">
        <v>2.4306211798830191E-3</v>
      </c>
      <c r="O505">
        <v>60.674736584068093</v>
      </c>
      <c r="P505" s="1">
        <f t="shared" si="35"/>
        <v>2.6433754867653283</v>
      </c>
      <c r="Q505" s="1">
        <f t="shared" si="36"/>
        <v>0.35245006490204378</v>
      </c>
      <c r="R505" s="1">
        <f t="shared" si="37"/>
        <v>0.59367504992381459</v>
      </c>
      <c r="S505" s="1">
        <f t="shared" si="38"/>
        <v>1.3405415990221064E-2</v>
      </c>
      <c r="T505" s="56">
        <f t="shared" si="39"/>
        <v>0.50530029550219435</v>
      </c>
    </row>
    <row r="506" spans="1:20" x14ac:dyDescent="0.25">
      <c r="A506">
        <v>0.51499612028521535</v>
      </c>
      <c r="B506">
        <v>1.5787918528076261</v>
      </c>
      <c r="D506">
        <v>0.53315682752899818</v>
      </c>
      <c r="E506">
        <v>1.8238331415432185</v>
      </c>
      <c r="I506">
        <v>0.92011969901927193</v>
      </c>
      <c r="J506">
        <v>15</v>
      </c>
      <c r="K506">
        <v>-2.1759584948692162E-2</v>
      </c>
      <c r="L506">
        <v>11.444071968539326</v>
      </c>
      <c r="M506">
        <v>15</v>
      </c>
      <c r="N506">
        <v>-3.9878617599242716E-2</v>
      </c>
      <c r="O506">
        <v>296.95593872285059</v>
      </c>
      <c r="P506" s="1">
        <f t="shared" si="35"/>
        <v>11.014286096121069</v>
      </c>
      <c r="Q506" s="1">
        <f t="shared" si="36"/>
        <v>1.4685714794828091</v>
      </c>
      <c r="R506" s="1">
        <f t="shared" si="37"/>
        <v>1.2118463101741941</v>
      </c>
      <c r="S506" s="1">
        <f t="shared" si="38"/>
        <v>1.4951592869846734E-2</v>
      </c>
      <c r="T506" s="56">
        <f t="shared" si="39"/>
        <v>0.50591158534227565</v>
      </c>
    </row>
    <row r="507" spans="1:20" x14ac:dyDescent="0.25">
      <c r="A507">
        <v>0.51730211625290012</v>
      </c>
      <c r="B507">
        <v>-1.1944371181016322</v>
      </c>
      <c r="D507">
        <v>0.53466959792648971</v>
      </c>
      <c r="E507">
        <v>3.4914758055037964</v>
      </c>
      <c r="I507">
        <v>0.53318938183489284</v>
      </c>
      <c r="J507">
        <v>15</v>
      </c>
      <c r="K507">
        <v>-0.23055872588884085</v>
      </c>
      <c r="L507">
        <v>9.3720190753400221</v>
      </c>
      <c r="M507">
        <v>15</v>
      </c>
      <c r="N507">
        <v>-0.24170413212232233</v>
      </c>
      <c r="O507">
        <v>81.797341220159453</v>
      </c>
      <c r="P507" s="1">
        <f t="shared" si="35"/>
        <v>3.2560485819821241</v>
      </c>
      <c r="Q507" s="1">
        <f t="shared" si="36"/>
        <v>0.43413981093094989</v>
      </c>
      <c r="R507" s="1">
        <f t="shared" si="37"/>
        <v>0.65889286756721677</v>
      </c>
      <c r="S507" s="1">
        <f t="shared" si="38"/>
        <v>1.6915354198069971E-2</v>
      </c>
      <c r="T507" s="56">
        <f t="shared" si="39"/>
        <v>0.50668794827815244</v>
      </c>
    </row>
    <row r="508" spans="1:20" x14ac:dyDescent="0.25">
      <c r="A508">
        <v>0.51836917668073845</v>
      </c>
      <c r="B508">
        <v>-0.475773731523077</v>
      </c>
      <c r="D508">
        <v>0.53506211197589015</v>
      </c>
      <c r="E508">
        <v>-1.1913396099316742</v>
      </c>
      <c r="I508">
        <v>0.28562343255772482</v>
      </c>
      <c r="J508">
        <v>15</v>
      </c>
      <c r="K508">
        <v>-0.32819563481704489</v>
      </c>
      <c r="L508">
        <v>13.783839293584281</v>
      </c>
      <c r="M508">
        <v>15</v>
      </c>
      <c r="N508">
        <v>-0.34412892432555964</v>
      </c>
      <c r="O508">
        <v>162.56777112767617</v>
      </c>
      <c r="P508" s="1">
        <f t="shared" si="35"/>
        <v>6.2982718007593022</v>
      </c>
      <c r="Q508" s="1">
        <f t="shared" si="36"/>
        <v>0.83976957343457359</v>
      </c>
      <c r="R508" s="1">
        <f t="shared" si="37"/>
        <v>0.91638942237161025</v>
      </c>
      <c r="S508" s="1">
        <f t="shared" si="38"/>
        <v>1.7387029050684032E-2</v>
      </c>
      <c r="T508" s="56">
        <f t="shared" si="39"/>
        <v>0.50687441864280225</v>
      </c>
    </row>
    <row r="509" spans="1:20" x14ac:dyDescent="0.25">
      <c r="A509">
        <v>0.51884513099107699</v>
      </c>
      <c r="B509">
        <v>1.4173633644531947</v>
      </c>
      <c r="D509">
        <v>0.53673934931571099</v>
      </c>
      <c r="E509">
        <v>-2.5667138777407672</v>
      </c>
      <c r="I509">
        <v>0.34709523346167692</v>
      </c>
      <c r="J509">
        <v>15</v>
      </c>
      <c r="K509">
        <v>0.31588213763219147</v>
      </c>
      <c r="L509">
        <v>7.0996049562732386</v>
      </c>
      <c r="M509">
        <v>15</v>
      </c>
      <c r="N509">
        <v>0.30241471563385858</v>
      </c>
      <c r="O509">
        <v>110.98531709382443</v>
      </c>
      <c r="P509" s="1">
        <f t="shared" si="35"/>
        <v>4.2173186446463458</v>
      </c>
      <c r="Q509" s="1">
        <f t="shared" si="36"/>
        <v>0.56230915261951275</v>
      </c>
      <c r="R509" s="1">
        <f t="shared" si="37"/>
        <v>0.74987275761925953</v>
      </c>
      <c r="S509" s="1">
        <f t="shared" si="38"/>
        <v>1.7959609629092363E-2</v>
      </c>
      <c r="T509" s="56">
        <f t="shared" si="39"/>
        <v>0.5071007786084305</v>
      </c>
    </row>
    <row r="510" spans="1:20" x14ac:dyDescent="0.25">
      <c r="A510">
        <v>0.51900852227839378</v>
      </c>
      <c r="B510">
        <v>0.92284153652144596</v>
      </c>
      <c r="D510">
        <v>0.5368540952914399</v>
      </c>
      <c r="E510">
        <v>-1.7644304114128317</v>
      </c>
      <c r="I510">
        <v>0.30352405009329864</v>
      </c>
      <c r="J510">
        <v>15</v>
      </c>
      <c r="K510">
        <v>0.19800063455477357</v>
      </c>
      <c r="L510">
        <v>9.5380551034952603</v>
      </c>
      <c r="M510">
        <v>15</v>
      </c>
      <c r="N510">
        <v>0.18170566931985377</v>
      </c>
      <c r="O510">
        <v>155.27469371727835</v>
      </c>
      <c r="P510" s="1">
        <f t="shared" si="35"/>
        <v>5.8861696007419146</v>
      </c>
      <c r="Q510" s="1">
        <f t="shared" si="36"/>
        <v>0.78482261343225523</v>
      </c>
      <c r="R510" s="1">
        <f t="shared" si="37"/>
        <v>0.88590214664614919</v>
      </c>
      <c r="S510" s="1">
        <f t="shared" si="38"/>
        <v>1.8393640083850485E-2</v>
      </c>
      <c r="T510" s="56">
        <f t="shared" si="39"/>
        <v>0.50727236354357508</v>
      </c>
    </row>
    <row r="511" spans="1:20" x14ac:dyDescent="0.25">
      <c r="A511">
        <v>0.52047542683082226</v>
      </c>
      <c r="B511">
        <v>2.0251900423318148</v>
      </c>
      <c r="D511">
        <v>0.53708062845909599</v>
      </c>
      <c r="E511">
        <v>3.1604083653746784</v>
      </c>
      <c r="I511">
        <v>0.77602928322226161</v>
      </c>
      <c r="J511">
        <v>15</v>
      </c>
      <c r="K511">
        <v>-0.42341321204730775</v>
      </c>
      <c r="L511">
        <v>21.938265143295762</v>
      </c>
      <c r="M511">
        <v>15</v>
      </c>
      <c r="N511">
        <v>-0.44699027398564795</v>
      </c>
      <c r="O511">
        <v>123.12622170225093</v>
      </c>
      <c r="P511" s="1">
        <f t="shared" si="35"/>
        <v>5.1808745301980963</v>
      </c>
      <c r="Q511" s="1">
        <f t="shared" si="36"/>
        <v>0.69078327069307954</v>
      </c>
      <c r="R511" s="1">
        <f t="shared" si="37"/>
        <v>0.83113372611937697</v>
      </c>
      <c r="S511" s="1">
        <f t="shared" si="38"/>
        <v>2.8367350761258587E-2</v>
      </c>
      <c r="T511" s="56">
        <f t="shared" si="39"/>
        <v>0.51121480471013925</v>
      </c>
    </row>
    <row r="512" spans="1:20" x14ac:dyDescent="0.25">
      <c r="A512">
        <v>0.52161835905284826</v>
      </c>
      <c r="B512">
        <v>1.5982459444785491</v>
      </c>
      <c r="D512">
        <v>0.53762086620841376</v>
      </c>
      <c r="E512">
        <v>-5.5671596362572018</v>
      </c>
      <c r="I512">
        <v>0.6438684420071622</v>
      </c>
      <c r="J512">
        <v>15</v>
      </c>
      <c r="K512">
        <v>-0.15594400792906526</v>
      </c>
      <c r="L512">
        <v>12.345089543378116</v>
      </c>
      <c r="M512">
        <v>15</v>
      </c>
      <c r="N512">
        <v>-0.18181163227382058</v>
      </c>
      <c r="O512">
        <v>93.694820877413093</v>
      </c>
      <c r="P512" s="1">
        <f t="shared" si="35"/>
        <v>3.7871396578854006</v>
      </c>
      <c r="Q512" s="1">
        <f t="shared" si="36"/>
        <v>0.50495195438472007</v>
      </c>
      <c r="R512" s="1">
        <f t="shared" si="37"/>
        <v>0.71059971459656535</v>
      </c>
      <c r="S512" s="1">
        <f t="shared" si="38"/>
        <v>3.6402525660232436E-2</v>
      </c>
      <c r="T512" s="56">
        <f t="shared" si="39"/>
        <v>0.51439015407832256</v>
      </c>
    </row>
    <row r="513" spans="1:20" x14ac:dyDescent="0.25">
      <c r="A513">
        <v>0.52220242313884002</v>
      </c>
      <c r="B513">
        <v>-1.5208388504106551</v>
      </c>
      <c r="D513">
        <v>0.53928174311003385</v>
      </c>
      <c r="E513">
        <v>-6.1270172898275632</v>
      </c>
      <c r="I513">
        <v>0.53104219316134527</v>
      </c>
      <c r="J513">
        <v>15</v>
      </c>
      <c r="K513">
        <v>-4.3134832594660111E-2</v>
      </c>
      <c r="L513">
        <v>19.356592161350598</v>
      </c>
      <c r="M513">
        <v>15</v>
      </c>
      <c r="N513">
        <v>-8.0584644592818222E-2</v>
      </c>
      <c r="O513">
        <v>125.54772259503217</v>
      </c>
      <c r="P513" s="1">
        <f t="shared" si="35"/>
        <v>5.1751540984422419</v>
      </c>
      <c r="Q513" s="1">
        <f t="shared" si="36"/>
        <v>0.6900205464589656</v>
      </c>
      <c r="R513" s="1">
        <f t="shared" si="37"/>
        <v>0.83067475371469279</v>
      </c>
      <c r="S513" s="1">
        <f t="shared" si="38"/>
        <v>4.5083604420004787E-2</v>
      </c>
      <c r="T513" s="56">
        <f t="shared" si="39"/>
        <v>0.51781966523315059</v>
      </c>
    </row>
    <row r="514" spans="1:20" x14ac:dyDescent="0.25">
      <c r="A514">
        <v>0.52245795178953847</v>
      </c>
      <c r="B514">
        <v>0.14512806956190616</v>
      </c>
      <c r="D514">
        <v>0.53976911462448762</v>
      </c>
      <c r="E514">
        <v>-2.3711224946509901</v>
      </c>
      <c r="I514">
        <v>0.70219832830342244</v>
      </c>
      <c r="J514">
        <v>15</v>
      </c>
      <c r="K514">
        <v>0.2234984701014279</v>
      </c>
      <c r="L514">
        <v>16.851758546946048</v>
      </c>
      <c r="M514">
        <v>15</v>
      </c>
      <c r="N514">
        <v>0.18782793290483824</v>
      </c>
      <c r="O514">
        <v>101.35968003483285</v>
      </c>
      <c r="P514" s="1">
        <f t="shared" ref="P514:P577" si="40">(L514+O514)/(J514+M514-2)</f>
        <v>4.221837092206389</v>
      </c>
      <c r="Q514" s="1">
        <f t="shared" ref="Q514:Q577" si="41">P514*(2/15)</f>
        <v>0.56291161229418518</v>
      </c>
      <c r="R514" s="1">
        <f t="shared" ref="R514:R577" si="42">SQRT(Q514)</f>
        <v>0.75027435801457665</v>
      </c>
      <c r="S514" s="1">
        <f t="shared" ref="S514:S577" si="43">(K514-N514)/R514</f>
        <v>4.754332440599901E-2</v>
      </c>
      <c r="T514" s="56">
        <f t="shared" ref="T514:T577" si="44">_xlfn.T.DIST(S514,28,TRUE)</f>
        <v>0.5187911509798927</v>
      </c>
    </row>
    <row r="515" spans="1:20" x14ac:dyDescent="0.25">
      <c r="A515">
        <v>0.52420381017023776</v>
      </c>
      <c r="B515">
        <v>-1.3118187780492008</v>
      </c>
      <c r="D515">
        <v>0.54067797090158265</v>
      </c>
      <c r="E515">
        <v>-5.4911713539240736</v>
      </c>
      <c r="I515">
        <v>0.3356901902080347</v>
      </c>
      <c r="J515">
        <v>15</v>
      </c>
      <c r="K515">
        <v>0.12938744475832209</v>
      </c>
      <c r="L515">
        <v>17.062684306704778</v>
      </c>
      <c r="M515">
        <v>15</v>
      </c>
      <c r="N515">
        <v>5.9646023373716162E-2</v>
      </c>
      <c r="O515">
        <v>410.05139634075834</v>
      </c>
      <c r="P515" s="1">
        <f t="shared" si="40"/>
        <v>15.25407430883797</v>
      </c>
      <c r="Q515" s="1">
        <f t="shared" si="41"/>
        <v>2.0338765745117291</v>
      </c>
      <c r="R515" s="1">
        <f t="shared" si="42"/>
        <v>1.4261404469797949</v>
      </c>
      <c r="S515" s="1">
        <f t="shared" si="43"/>
        <v>4.8902211231930649E-2</v>
      </c>
      <c r="T515" s="56">
        <f t="shared" si="44"/>
        <v>0.51932780395191025</v>
      </c>
    </row>
    <row r="516" spans="1:20" x14ac:dyDescent="0.25">
      <c r="A516">
        <v>0.52781493217665187</v>
      </c>
      <c r="B516">
        <v>1.7860020307125524</v>
      </c>
      <c r="D516">
        <v>0.54145685833391211</v>
      </c>
      <c r="E516">
        <v>4.2064477804615308</v>
      </c>
      <c r="I516">
        <v>0.9405826508644598</v>
      </c>
      <c r="J516">
        <v>15</v>
      </c>
      <c r="K516">
        <v>-0.16580649268386574</v>
      </c>
      <c r="L516">
        <v>13.323550679446127</v>
      </c>
      <c r="M516">
        <v>15</v>
      </c>
      <c r="N516">
        <v>-0.20646553252845479</v>
      </c>
      <c r="O516">
        <v>129.50125200010132</v>
      </c>
      <c r="P516" s="1">
        <f t="shared" si="40"/>
        <v>5.1008858099838372</v>
      </c>
      <c r="Q516" s="1">
        <f t="shared" si="41"/>
        <v>0.680118107997845</v>
      </c>
      <c r="R516" s="1">
        <f t="shared" si="42"/>
        <v>0.8246927355068947</v>
      </c>
      <c r="S516" s="1">
        <f t="shared" si="43"/>
        <v>4.930204680364754E-2</v>
      </c>
      <c r="T516" s="56">
        <f t="shared" si="44"/>
        <v>0.51948570043782216</v>
      </c>
    </row>
    <row r="517" spans="1:20" x14ac:dyDescent="0.25">
      <c r="A517">
        <v>0.52848164069275483</v>
      </c>
      <c r="B517">
        <v>0.58554178394842893</v>
      </c>
      <c r="D517">
        <v>0.54187825523118482</v>
      </c>
      <c r="E517">
        <v>-2.4787270865544997</v>
      </c>
      <c r="I517">
        <v>9.6866939067185021E-3</v>
      </c>
      <c r="J517">
        <v>15</v>
      </c>
      <c r="K517">
        <v>-9.2605584237996183E-2</v>
      </c>
      <c r="L517">
        <v>16.395293712839507</v>
      </c>
      <c r="M517">
        <v>15</v>
      </c>
      <c r="N517">
        <v>-0.13787871807835472</v>
      </c>
      <c r="O517">
        <v>158.15870340199234</v>
      </c>
      <c r="P517" s="1">
        <f t="shared" si="40"/>
        <v>6.2340713255297091</v>
      </c>
      <c r="Q517" s="1">
        <f t="shared" si="41"/>
        <v>0.83120951007062782</v>
      </c>
      <c r="R517" s="1">
        <f t="shared" si="42"/>
        <v>0.91170692114880203</v>
      </c>
      <c r="S517" s="1">
        <f t="shared" si="43"/>
        <v>4.9657551994134082E-2</v>
      </c>
      <c r="T517" s="56">
        <f t="shared" si="44"/>
        <v>0.51962608799255605</v>
      </c>
    </row>
    <row r="518" spans="1:20" x14ac:dyDescent="0.25">
      <c r="A518">
        <v>0.52899609407108128</v>
      </c>
      <c r="B518">
        <v>-0.78147650128812529</v>
      </c>
      <c r="D518">
        <v>0.54204778853727487</v>
      </c>
      <c r="E518">
        <v>-0.95162863885889237</v>
      </c>
      <c r="I518">
        <v>0.32898099409981696</v>
      </c>
      <c r="J518">
        <v>15</v>
      </c>
      <c r="K518">
        <v>4.8444993202186497E-3</v>
      </c>
      <c r="L518">
        <v>12.456019186930257</v>
      </c>
      <c r="M518">
        <v>15</v>
      </c>
      <c r="N518">
        <v>-3.3592190220588236E-2</v>
      </c>
      <c r="O518">
        <v>101.38578649988672</v>
      </c>
      <c r="P518" s="1">
        <f t="shared" si="40"/>
        <v>4.0657787745291776</v>
      </c>
      <c r="Q518" s="1">
        <f t="shared" si="41"/>
        <v>0.54210383660389039</v>
      </c>
      <c r="R518" s="1">
        <f t="shared" si="42"/>
        <v>0.73627701078051488</v>
      </c>
      <c r="S518" s="1">
        <f t="shared" si="43"/>
        <v>5.220411472587036E-2</v>
      </c>
      <c r="T518" s="56">
        <f t="shared" si="44"/>
        <v>0.52063163912314858</v>
      </c>
    </row>
    <row r="519" spans="1:20" x14ac:dyDescent="0.25">
      <c r="A519">
        <v>0.52963901505680788</v>
      </c>
      <c r="B519">
        <v>0.73447267823212314</v>
      </c>
      <c r="D519">
        <v>0.54206251375912906</v>
      </c>
      <c r="E519">
        <v>-1.9538520098194567</v>
      </c>
      <c r="I519">
        <v>5.3179937573467284E-2</v>
      </c>
      <c r="J519">
        <v>15</v>
      </c>
      <c r="K519">
        <v>0.14037065435938226</v>
      </c>
      <c r="L519">
        <v>9.1039377578817025</v>
      </c>
      <c r="M519">
        <v>15</v>
      </c>
      <c r="N519">
        <v>7.1094742679633782E-2</v>
      </c>
      <c r="O519">
        <v>254.55152764555049</v>
      </c>
      <c r="P519" s="1">
        <f t="shared" si="40"/>
        <v>9.4162666215511486</v>
      </c>
      <c r="Q519" s="1">
        <f t="shared" si="41"/>
        <v>1.2555022162068199</v>
      </c>
      <c r="R519" s="1">
        <f t="shared" si="42"/>
        <v>1.1204919527630799</v>
      </c>
      <c r="S519" s="1">
        <f t="shared" si="43"/>
        <v>6.1826335752717697E-2</v>
      </c>
      <c r="T519" s="56">
        <f t="shared" si="44"/>
        <v>0.52442982140242866</v>
      </c>
    </row>
    <row r="520" spans="1:20" x14ac:dyDescent="0.25">
      <c r="A520">
        <v>0.52988934761127682</v>
      </c>
      <c r="B520">
        <v>2.0175139070488513</v>
      </c>
      <c r="D520">
        <v>0.54266345170546704</v>
      </c>
      <c r="E520">
        <v>-8.6915740700987953</v>
      </c>
      <c r="I520">
        <v>0.4887867190399805</v>
      </c>
      <c r="J520">
        <v>15</v>
      </c>
      <c r="K520">
        <v>9.6272742666769773E-2</v>
      </c>
      <c r="L520">
        <v>18.897157525939981</v>
      </c>
      <c r="M520">
        <v>15</v>
      </c>
      <c r="N520">
        <v>2.3624803588973009E-2</v>
      </c>
      <c r="O520">
        <v>265.32601932522999</v>
      </c>
      <c r="P520" s="1">
        <f t="shared" si="40"/>
        <v>10.150827744684642</v>
      </c>
      <c r="Q520" s="1">
        <f t="shared" si="41"/>
        <v>1.3534436992912857</v>
      </c>
      <c r="R520" s="1">
        <f t="shared" si="42"/>
        <v>1.1633759922274851</v>
      </c>
      <c r="S520" s="1">
        <f t="shared" si="43"/>
        <v>6.2445795308788937E-2</v>
      </c>
      <c r="T520" s="56">
        <f t="shared" si="44"/>
        <v>0.52467426459391298</v>
      </c>
    </row>
    <row r="521" spans="1:20" x14ac:dyDescent="0.25">
      <c r="A521">
        <v>0.53108272179165694</v>
      </c>
      <c r="B521">
        <v>0.37278141462593339</v>
      </c>
      <c r="D521">
        <v>0.5437022320865591</v>
      </c>
      <c r="E521">
        <v>7.6190856327684742</v>
      </c>
      <c r="I521">
        <v>0.99257136271938562</v>
      </c>
      <c r="J521">
        <v>15</v>
      </c>
      <c r="K521">
        <v>0.11461891820848298</v>
      </c>
      <c r="L521">
        <v>23.219028034974901</v>
      </c>
      <c r="M521">
        <v>15</v>
      </c>
      <c r="N521">
        <v>6.0866110516144545E-2</v>
      </c>
      <c r="O521">
        <v>125.98799000526371</v>
      </c>
      <c r="P521" s="1">
        <f t="shared" si="40"/>
        <v>5.3288220728656643</v>
      </c>
      <c r="Q521" s="1">
        <f t="shared" si="41"/>
        <v>0.71050960971542187</v>
      </c>
      <c r="R521" s="1">
        <f t="shared" si="42"/>
        <v>0.84291732080638959</v>
      </c>
      <c r="S521" s="1">
        <f t="shared" si="43"/>
        <v>6.3769964580766947E-2</v>
      </c>
      <c r="T521" s="56">
        <f t="shared" si="44"/>
        <v>0.52519675834229484</v>
      </c>
    </row>
    <row r="522" spans="1:20" x14ac:dyDescent="0.25">
      <c r="A522">
        <v>0.53175063464912142</v>
      </c>
      <c r="B522">
        <v>1.0611006473482121</v>
      </c>
      <c r="D522">
        <v>0.54515823126971175</v>
      </c>
      <c r="E522">
        <v>1.5503026099850103</v>
      </c>
      <c r="I522">
        <v>2.7803092179088607E-2</v>
      </c>
      <c r="J522">
        <v>15</v>
      </c>
      <c r="K522">
        <v>-4.1944304030039348E-2</v>
      </c>
      <c r="L522">
        <v>13.767378935059405</v>
      </c>
      <c r="M522">
        <v>15</v>
      </c>
      <c r="N522">
        <v>-7.7376402032314218E-2</v>
      </c>
      <c r="O522">
        <v>48.95735435042851</v>
      </c>
      <c r="P522" s="1">
        <f t="shared" si="40"/>
        <v>2.2401690459102825</v>
      </c>
      <c r="Q522" s="1">
        <f t="shared" si="41"/>
        <v>0.29868920612137101</v>
      </c>
      <c r="R522" s="1">
        <f t="shared" si="42"/>
        <v>0.54652466195165517</v>
      </c>
      <c r="S522" s="1">
        <f t="shared" si="43"/>
        <v>6.4831654395514082E-2</v>
      </c>
      <c r="T522" s="56">
        <f t="shared" si="44"/>
        <v>0.52561564938873695</v>
      </c>
    </row>
    <row r="523" spans="1:20" x14ac:dyDescent="0.25">
      <c r="A523">
        <v>0.53242644636530134</v>
      </c>
      <c r="B523">
        <v>0.53974417824065313</v>
      </c>
      <c r="D523">
        <v>0.55104932328673351</v>
      </c>
      <c r="E523">
        <v>-4.5185291810412309E-2</v>
      </c>
      <c r="I523">
        <v>0.4089562003992292</v>
      </c>
      <c r="J523">
        <v>15</v>
      </c>
      <c r="K523">
        <v>0.12761582487049358</v>
      </c>
      <c r="L523">
        <v>13.366413512345394</v>
      </c>
      <c r="M523">
        <v>15</v>
      </c>
      <c r="N523">
        <v>6.10557401614642E-2</v>
      </c>
      <c r="O523">
        <v>197.03046350817283</v>
      </c>
      <c r="P523" s="1">
        <f t="shared" si="40"/>
        <v>7.5141741793042218</v>
      </c>
      <c r="Q523" s="1">
        <f t="shared" si="41"/>
        <v>1.0018898905738962</v>
      </c>
      <c r="R523" s="1">
        <f t="shared" si="42"/>
        <v>1.0009444992475338</v>
      </c>
      <c r="S523" s="1">
        <f t="shared" si="43"/>
        <v>6.6497278079919855E-2</v>
      </c>
      <c r="T523" s="56">
        <f t="shared" si="44"/>
        <v>0.52627276295079084</v>
      </c>
    </row>
    <row r="524" spans="1:20" x14ac:dyDescent="0.25">
      <c r="A524">
        <v>0.53276393296504088</v>
      </c>
      <c r="B524">
        <v>0.10834241948032286</v>
      </c>
      <c r="D524">
        <v>0.55126594450320987</v>
      </c>
      <c r="E524">
        <v>2.3582545020417456</v>
      </c>
      <c r="I524">
        <v>0.16807034156877754</v>
      </c>
      <c r="J524">
        <v>15</v>
      </c>
      <c r="K524">
        <v>-1.9074832380283624E-2</v>
      </c>
      <c r="L524">
        <v>11.348917139270107</v>
      </c>
      <c r="M524">
        <v>15</v>
      </c>
      <c r="N524">
        <v>-8.9550443362895749E-2</v>
      </c>
      <c r="O524">
        <v>197.39339165083993</v>
      </c>
      <c r="P524" s="1">
        <f t="shared" si="40"/>
        <v>7.4550824567896443</v>
      </c>
      <c r="Q524" s="1">
        <f t="shared" si="41"/>
        <v>0.99401099423861927</v>
      </c>
      <c r="R524" s="1">
        <f t="shared" si="42"/>
        <v>0.99700100011916704</v>
      </c>
      <c r="S524" s="1">
        <f t="shared" si="43"/>
        <v>7.0687603095873019E-2</v>
      </c>
      <c r="T524" s="56">
        <f t="shared" si="44"/>
        <v>0.52792557161910536</v>
      </c>
    </row>
    <row r="525" spans="1:20" x14ac:dyDescent="0.25">
      <c r="A525">
        <v>0.53373995786830875</v>
      </c>
      <c r="B525">
        <v>-0.53074018069310114</v>
      </c>
      <c r="D525">
        <v>0.55129367256715711</v>
      </c>
      <c r="E525">
        <v>-1.8777716411477741</v>
      </c>
      <c r="I525">
        <v>0.9071646105426463</v>
      </c>
      <c r="J525">
        <v>15</v>
      </c>
      <c r="K525">
        <v>-9.5389244355222516E-2</v>
      </c>
      <c r="L525">
        <v>8.6429933688707159</v>
      </c>
      <c r="M525">
        <v>15</v>
      </c>
      <c r="N525">
        <v>-0.15398973459923582</v>
      </c>
      <c r="O525">
        <v>134.06823296453095</v>
      </c>
      <c r="P525" s="1">
        <f t="shared" si="40"/>
        <v>5.0968295119072025</v>
      </c>
      <c r="Q525" s="1">
        <f t="shared" si="41"/>
        <v>0.67957726825429365</v>
      </c>
      <c r="R525" s="1">
        <f t="shared" si="42"/>
        <v>0.82436476650466672</v>
      </c>
      <c r="S525" s="1">
        <f t="shared" si="43"/>
        <v>7.1085631779826394E-2</v>
      </c>
      <c r="T525" s="56">
        <f t="shared" si="44"/>
        <v>0.5280825419642845</v>
      </c>
    </row>
    <row r="526" spans="1:20" x14ac:dyDescent="0.25">
      <c r="A526">
        <v>0.53447984401600257</v>
      </c>
      <c r="B526">
        <v>0.71359409048454836</v>
      </c>
      <c r="D526">
        <v>0.55140717958099683</v>
      </c>
      <c r="E526">
        <v>5.7161862480370473</v>
      </c>
      <c r="I526">
        <v>0.43105041927760246</v>
      </c>
      <c r="J526">
        <v>15</v>
      </c>
      <c r="K526">
        <v>0.13053242279662905</v>
      </c>
      <c r="L526">
        <v>8.0604638896027136</v>
      </c>
      <c r="M526">
        <v>15</v>
      </c>
      <c r="N526">
        <v>6.3387229829459102E-2</v>
      </c>
      <c r="O526">
        <v>163.11352680589755</v>
      </c>
      <c r="P526" s="1">
        <f t="shared" si="40"/>
        <v>6.1133568105535812</v>
      </c>
      <c r="Q526" s="1">
        <f t="shared" si="41"/>
        <v>0.81511424140714417</v>
      </c>
      <c r="R526" s="1">
        <f t="shared" si="42"/>
        <v>0.90283677450973621</v>
      </c>
      <c r="S526" s="1">
        <f t="shared" si="43"/>
        <v>7.4371353563473894E-2</v>
      </c>
      <c r="T526" s="56">
        <f t="shared" si="44"/>
        <v>0.52937815214217643</v>
      </c>
    </row>
    <row r="527" spans="1:20" x14ac:dyDescent="0.25">
      <c r="A527">
        <v>0.53473509364421612</v>
      </c>
      <c r="B527">
        <v>1.4123679648037069</v>
      </c>
      <c r="D527">
        <v>0.55142716752286469</v>
      </c>
      <c r="E527">
        <v>-1.2362913855668012</v>
      </c>
      <c r="I527">
        <v>0.74069825849974602</v>
      </c>
      <c r="J527">
        <v>15</v>
      </c>
      <c r="K527">
        <v>-3.1950852038183562E-2</v>
      </c>
      <c r="L527">
        <v>8.7404938994425159</v>
      </c>
      <c r="M527">
        <v>15</v>
      </c>
      <c r="N527">
        <v>-9.5166118398992694E-2</v>
      </c>
      <c r="O527">
        <v>124.03300028553288</v>
      </c>
      <c r="P527" s="1">
        <f t="shared" si="40"/>
        <v>4.7419105066062643</v>
      </c>
      <c r="Q527" s="1">
        <f t="shared" si="41"/>
        <v>0.63225473421416856</v>
      </c>
      <c r="R527" s="1">
        <f t="shared" si="42"/>
        <v>0.79514447379967912</v>
      </c>
      <c r="S527" s="1">
        <f t="shared" si="43"/>
        <v>7.9501610642816287E-2</v>
      </c>
      <c r="T527" s="56">
        <f t="shared" si="44"/>
        <v>0.53140042983260305</v>
      </c>
    </row>
    <row r="528" spans="1:20" x14ac:dyDescent="0.25">
      <c r="A528">
        <v>0.5365021999237376</v>
      </c>
      <c r="B528">
        <v>0.90472440206212923</v>
      </c>
      <c r="D528">
        <v>0.55170074507360278</v>
      </c>
      <c r="E528">
        <v>2.4259550139049679</v>
      </c>
      <c r="I528">
        <v>0.53469562098294754</v>
      </c>
      <c r="J528">
        <v>15</v>
      </c>
      <c r="K528">
        <v>0.34527958329514757</v>
      </c>
      <c r="L528">
        <v>10.105201348060241</v>
      </c>
      <c r="M528">
        <v>15</v>
      </c>
      <c r="N528">
        <v>0.27183045517631399</v>
      </c>
      <c r="O528">
        <v>157.71606179363567</v>
      </c>
      <c r="P528" s="1">
        <f t="shared" si="40"/>
        <v>5.9936165407748536</v>
      </c>
      <c r="Q528" s="1">
        <f t="shared" si="41"/>
        <v>0.79914887210331376</v>
      </c>
      <c r="R528" s="1">
        <f t="shared" si="42"/>
        <v>0.89395126942317937</v>
      </c>
      <c r="S528" s="1">
        <f t="shared" si="43"/>
        <v>8.216233997433274E-2</v>
      </c>
      <c r="T528" s="56">
        <f t="shared" si="44"/>
        <v>0.53244892039762193</v>
      </c>
    </row>
    <row r="529" spans="1:20" x14ac:dyDescent="0.25">
      <c r="A529">
        <v>0.53737225074402062</v>
      </c>
      <c r="B529">
        <v>-0.18016862668446265</v>
      </c>
      <c r="D529">
        <v>0.55222924964668341</v>
      </c>
      <c r="E529">
        <v>-0.33748097280295042</v>
      </c>
      <c r="I529">
        <v>0.28823926386375776</v>
      </c>
      <c r="J529">
        <v>15</v>
      </c>
      <c r="K529">
        <v>0.19836382610568157</v>
      </c>
      <c r="L529">
        <v>18.983320208132849</v>
      </c>
      <c r="M529">
        <v>15</v>
      </c>
      <c r="N529">
        <v>0.10858297741833667</v>
      </c>
      <c r="O529">
        <v>231.30775318921027</v>
      </c>
      <c r="P529" s="1">
        <f t="shared" si="40"/>
        <v>8.938966907047968</v>
      </c>
      <c r="Q529" s="1">
        <f t="shared" si="41"/>
        <v>1.1918622542730624</v>
      </c>
      <c r="R529" s="1">
        <f t="shared" si="42"/>
        <v>1.0917244406319127</v>
      </c>
      <c r="S529" s="1">
        <f t="shared" si="43"/>
        <v>8.2237646557933516E-2</v>
      </c>
      <c r="T529" s="56">
        <f t="shared" si="44"/>
        <v>0.53247859239339546</v>
      </c>
    </row>
    <row r="530" spans="1:20" x14ac:dyDescent="0.25">
      <c r="A530">
        <v>0.53822794416898401</v>
      </c>
      <c r="B530">
        <v>1.0686540008464362</v>
      </c>
      <c r="D530">
        <v>0.55258649161634421</v>
      </c>
      <c r="E530">
        <v>2.9382551895196229</v>
      </c>
      <c r="I530">
        <v>0.56345324163422361</v>
      </c>
      <c r="J530">
        <v>15</v>
      </c>
      <c r="K530">
        <v>-2.7748683351092041E-3</v>
      </c>
      <c r="L530">
        <v>12.448781510303833</v>
      </c>
      <c r="M530">
        <v>15</v>
      </c>
      <c r="N530">
        <v>-0.1008368178645469</v>
      </c>
      <c r="O530">
        <v>285.64328401799435</v>
      </c>
      <c r="P530" s="1">
        <f t="shared" si="40"/>
        <v>10.646145197439221</v>
      </c>
      <c r="Q530" s="1">
        <f t="shared" si="41"/>
        <v>1.4194860263252296</v>
      </c>
      <c r="R530" s="1">
        <f t="shared" si="42"/>
        <v>1.191421850699923</v>
      </c>
      <c r="S530" s="1">
        <f t="shared" si="43"/>
        <v>8.2306656934174383E-2</v>
      </c>
      <c r="T530" s="56">
        <f t="shared" si="44"/>
        <v>0.5325057834159127</v>
      </c>
    </row>
    <row r="531" spans="1:20" x14ac:dyDescent="0.25">
      <c r="A531">
        <v>0.53832218690806322</v>
      </c>
      <c r="B531">
        <v>-0.75333787208364811</v>
      </c>
      <c r="D531">
        <v>0.55328940244521696</v>
      </c>
      <c r="E531">
        <v>0.81953612266261189</v>
      </c>
      <c r="I531">
        <v>0.48254222050263718</v>
      </c>
      <c r="J531">
        <v>15</v>
      </c>
      <c r="K531">
        <v>-3.2795621033680313E-2</v>
      </c>
      <c r="L531">
        <v>10.830660975354782</v>
      </c>
      <c r="M531">
        <v>15</v>
      </c>
      <c r="N531">
        <v>-0.11993893508588371</v>
      </c>
      <c r="O531">
        <v>222.0946468532324</v>
      </c>
      <c r="P531" s="1">
        <f t="shared" si="40"/>
        <v>8.3187609938781133</v>
      </c>
      <c r="Q531" s="1">
        <f t="shared" si="41"/>
        <v>1.1091681325170817</v>
      </c>
      <c r="R531" s="1">
        <f t="shared" si="42"/>
        <v>1.0531705144548444</v>
      </c>
      <c r="S531" s="1">
        <f t="shared" si="43"/>
        <v>8.2743784464296019E-2</v>
      </c>
      <c r="T531" s="56">
        <f t="shared" si="44"/>
        <v>0.53267801386049118</v>
      </c>
    </row>
    <row r="532" spans="1:20" x14ac:dyDescent="0.25">
      <c r="A532">
        <v>0.53885062978170406</v>
      </c>
      <c r="B532">
        <v>0.81035295806941576</v>
      </c>
      <c r="D532">
        <v>0.55448763134128354</v>
      </c>
      <c r="E532">
        <v>-3.1889583203792427</v>
      </c>
      <c r="I532">
        <v>0.53287569239298227</v>
      </c>
      <c r="J532">
        <v>15</v>
      </c>
      <c r="K532">
        <v>0.24285623112518806</v>
      </c>
      <c r="L532">
        <v>15.184863644909624</v>
      </c>
      <c r="M532">
        <v>15</v>
      </c>
      <c r="N532">
        <v>0.15620002727700921</v>
      </c>
      <c r="O532">
        <v>196.41202840269972</v>
      </c>
      <c r="P532" s="1">
        <f t="shared" si="40"/>
        <v>7.5570318588431906</v>
      </c>
      <c r="Q532" s="1">
        <f t="shared" si="41"/>
        <v>1.0076042478457587</v>
      </c>
      <c r="R532" s="1">
        <f t="shared" si="42"/>
        <v>1.0037949232018255</v>
      </c>
      <c r="S532" s="1">
        <f t="shared" si="43"/>
        <v>8.6328593465854309E-2</v>
      </c>
      <c r="T532" s="56">
        <f t="shared" si="44"/>
        <v>0.53409020021700404</v>
      </c>
    </row>
    <row r="533" spans="1:20" x14ac:dyDescent="0.25">
      <c r="A533">
        <v>0.53896019462489708</v>
      </c>
      <c r="B533">
        <v>-0.78480297815985978</v>
      </c>
      <c r="D533">
        <v>0.55501172436953938</v>
      </c>
      <c r="E533">
        <v>0.983176956879106</v>
      </c>
      <c r="I533">
        <v>0.15464519565347568</v>
      </c>
      <c r="J533">
        <v>15</v>
      </c>
      <c r="K533">
        <v>0.11518712502341562</v>
      </c>
      <c r="L533">
        <v>15.768376534853275</v>
      </c>
      <c r="M533">
        <v>15</v>
      </c>
      <c r="N533">
        <v>4.6096371306703077E-2</v>
      </c>
      <c r="O533">
        <v>113.8259811632561</v>
      </c>
      <c r="P533" s="1">
        <f t="shared" si="40"/>
        <v>4.6283699177896205</v>
      </c>
      <c r="Q533" s="1">
        <f t="shared" si="41"/>
        <v>0.61711598903861609</v>
      </c>
      <c r="R533" s="1">
        <f t="shared" si="42"/>
        <v>0.7855673039521287</v>
      </c>
      <c r="S533" s="1">
        <f t="shared" si="43"/>
        <v>8.7950139178555764E-2</v>
      </c>
      <c r="T533" s="56">
        <f t="shared" si="44"/>
        <v>0.53472883841866592</v>
      </c>
    </row>
    <row r="534" spans="1:20" x14ac:dyDescent="0.25">
      <c r="A534">
        <v>0.53949240086749095</v>
      </c>
      <c r="B534">
        <v>-3.2249545256490819E-2</v>
      </c>
      <c r="D534">
        <v>0.55614808215114386</v>
      </c>
      <c r="E534">
        <v>-1.7860331843166932</v>
      </c>
      <c r="I534">
        <v>0.56921349168840307</v>
      </c>
      <c r="J534">
        <v>15</v>
      </c>
      <c r="K534">
        <v>7.9102695356899247E-2</v>
      </c>
      <c r="L534">
        <v>23.678073536213255</v>
      </c>
      <c r="M534">
        <v>15</v>
      </c>
      <c r="N534">
        <v>-3.6794293691855273E-2</v>
      </c>
      <c r="O534">
        <v>334.40612873176207</v>
      </c>
      <c r="P534" s="1">
        <f t="shared" si="40"/>
        <v>12.788721509570548</v>
      </c>
      <c r="Q534" s="1">
        <f t="shared" si="41"/>
        <v>1.7051628679427397</v>
      </c>
      <c r="R534" s="1">
        <f t="shared" si="42"/>
        <v>1.3058188495893064</v>
      </c>
      <c r="S534" s="1">
        <f t="shared" si="43"/>
        <v>8.8754262572641934E-2</v>
      </c>
      <c r="T534" s="56">
        <f t="shared" si="44"/>
        <v>0.53504550379094473</v>
      </c>
    </row>
    <row r="535" spans="1:20" x14ac:dyDescent="0.25">
      <c r="A535">
        <v>0.54133157647461805</v>
      </c>
      <c r="B535">
        <v>0.69370116762001999</v>
      </c>
      <c r="D535">
        <v>0.55698977942476879</v>
      </c>
      <c r="E535">
        <v>-0.42356464632575808</v>
      </c>
      <c r="I535">
        <v>0.89610617117481073</v>
      </c>
      <c r="J535">
        <v>15</v>
      </c>
      <c r="K535">
        <v>0.11425398345939659</v>
      </c>
      <c r="L535">
        <v>8.7832265320826384</v>
      </c>
      <c r="M535">
        <v>15</v>
      </c>
      <c r="N535">
        <v>2.6074982315549278E-2</v>
      </c>
      <c r="O535">
        <v>190.02633148136417</v>
      </c>
      <c r="P535" s="1">
        <f t="shared" si="40"/>
        <v>7.1003413576231003</v>
      </c>
      <c r="Q535" s="1">
        <f t="shared" si="41"/>
        <v>0.9467121810164133</v>
      </c>
      <c r="R535" s="1">
        <f t="shared" si="42"/>
        <v>0.9729913571129053</v>
      </c>
      <c r="S535" s="1">
        <f t="shared" si="43"/>
        <v>9.0626705467862737E-2</v>
      </c>
      <c r="T535" s="56">
        <f t="shared" si="44"/>
        <v>0.53578278443794225</v>
      </c>
    </row>
    <row r="536" spans="1:20" x14ac:dyDescent="0.25">
      <c r="A536">
        <v>0.54259611051651135</v>
      </c>
      <c r="B536">
        <v>-0.46168565859261435</v>
      </c>
      <c r="D536">
        <v>0.55785820492091709</v>
      </c>
      <c r="E536">
        <v>1.3053597706402797</v>
      </c>
      <c r="I536">
        <v>0.46466594070595357</v>
      </c>
      <c r="J536">
        <v>15</v>
      </c>
      <c r="K536">
        <v>-0.38550031907410204</v>
      </c>
      <c r="L536">
        <v>14.706725733382573</v>
      </c>
      <c r="M536">
        <v>15</v>
      </c>
      <c r="N536">
        <v>-0.46905120484552754</v>
      </c>
      <c r="O536">
        <v>162.49391047414085</v>
      </c>
      <c r="P536" s="1">
        <f t="shared" si="40"/>
        <v>6.3285941502686933</v>
      </c>
      <c r="Q536" s="1">
        <f t="shared" si="41"/>
        <v>0.84381255336915906</v>
      </c>
      <c r="R536" s="1">
        <f t="shared" si="42"/>
        <v>0.91859270265398862</v>
      </c>
      <c r="S536" s="1">
        <f t="shared" si="43"/>
        <v>9.0955311891800505E-2</v>
      </c>
      <c r="T536" s="56">
        <f t="shared" si="44"/>
        <v>0.53591216102988204</v>
      </c>
    </row>
    <row r="537" spans="1:20" x14ac:dyDescent="0.25">
      <c r="A537">
        <v>0.54384212649068475</v>
      </c>
      <c r="B537">
        <v>-1.1719475878635421</v>
      </c>
      <c r="D537">
        <v>0.5579935360864714</v>
      </c>
      <c r="E537">
        <v>-0.27140390898239275</v>
      </c>
      <c r="I537">
        <v>0.92068526000818185</v>
      </c>
      <c r="J537">
        <v>15</v>
      </c>
      <c r="K537">
        <v>0.38740320936388645</v>
      </c>
      <c r="L537">
        <v>17.017747407295097</v>
      </c>
      <c r="M537">
        <v>15</v>
      </c>
      <c r="N537">
        <v>0.29483225830517767</v>
      </c>
      <c r="O537">
        <v>200.07869013094003</v>
      </c>
      <c r="P537" s="1">
        <f t="shared" si="40"/>
        <v>7.7534441977941118</v>
      </c>
      <c r="Q537" s="1">
        <f t="shared" si="41"/>
        <v>1.0337925597058815</v>
      </c>
      <c r="R537" s="1">
        <f t="shared" si="42"/>
        <v>1.0167558997644821</v>
      </c>
      <c r="S537" s="1">
        <f t="shared" si="43"/>
        <v>9.104540340523383E-2</v>
      </c>
      <c r="T537" s="56">
        <f t="shared" si="44"/>
        <v>0.53594763052324601</v>
      </c>
    </row>
    <row r="538" spans="1:20" x14ac:dyDescent="0.25">
      <c r="A538">
        <v>0.54520994057853212</v>
      </c>
      <c r="B538">
        <v>-1.2942973626195453</v>
      </c>
      <c r="D538">
        <v>0.55893914739128991</v>
      </c>
      <c r="E538">
        <v>-3.0332641961194895</v>
      </c>
      <c r="I538">
        <v>0.22776993905213005</v>
      </c>
      <c r="J538">
        <v>15</v>
      </c>
      <c r="K538">
        <v>0.17773739576417333</v>
      </c>
      <c r="L538">
        <v>16.759628504314584</v>
      </c>
      <c r="M538">
        <v>15</v>
      </c>
      <c r="N538">
        <v>9.5382116569453501E-2</v>
      </c>
      <c r="O538">
        <v>149.37718051847875</v>
      </c>
      <c r="P538" s="1">
        <f t="shared" si="40"/>
        <v>5.933457465099762</v>
      </c>
      <c r="Q538" s="1">
        <f t="shared" si="41"/>
        <v>0.79112766201330165</v>
      </c>
      <c r="R538" s="1">
        <f t="shared" si="42"/>
        <v>0.88945357496234823</v>
      </c>
      <c r="S538" s="1">
        <f t="shared" si="43"/>
        <v>9.2590868723200132E-2</v>
      </c>
      <c r="T538" s="56">
        <f t="shared" si="44"/>
        <v>0.53655604103340271</v>
      </c>
    </row>
    <row r="539" spans="1:20" x14ac:dyDescent="0.25">
      <c r="A539">
        <v>0.54661874192699222</v>
      </c>
      <c r="B539">
        <v>-0.56262933867401443</v>
      </c>
      <c r="D539">
        <v>0.55937461019960288</v>
      </c>
      <c r="E539">
        <v>5.1252511605071049</v>
      </c>
      <c r="I539">
        <v>0.19414854121169445</v>
      </c>
      <c r="J539">
        <v>15</v>
      </c>
      <c r="K539">
        <v>0.37805648389621638</v>
      </c>
      <c r="L539">
        <v>17.862670836851372</v>
      </c>
      <c r="M539">
        <v>15</v>
      </c>
      <c r="N539">
        <v>0.28783960829059652</v>
      </c>
      <c r="O539">
        <v>177.5615300323696</v>
      </c>
      <c r="P539" s="1">
        <f t="shared" si="40"/>
        <v>6.9794357453293205</v>
      </c>
      <c r="Q539" s="1">
        <f t="shared" si="41"/>
        <v>0.93059143271057609</v>
      </c>
      <c r="R539" s="1">
        <f t="shared" si="42"/>
        <v>0.96467167093813644</v>
      </c>
      <c r="S539" s="1">
        <f t="shared" si="43"/>
        <v>9.3520809539150845E-2</v>
      </c>
      <c r="T539" s="56">
        <f t="shared" si="44"/>
        <v>0.53692209181294315</v>
      </c>
    </row>
    <row r="540" spans="1:20" x14ac:dyDescent="0.25">
      <c r="A540">
        <v>0.54772715732757604</v>
      </c>
      <c r="B540">
        <v>-2.3305619833990932</v>
      </c>
      <c r="D540">
        <v>0.55966945500420795</v>
      </c>
      <c r="E540">
        <v>2.8085294127322413</v>
      </c>
      <c r="I540">
        <v>0.20055932800098442</v>
      </c>
      <c r="J540">
        <v>15</v>
      </c>
      <c r="K540">
        <v>-0.48342599257011898</v>
      </c>
      <c r="L540">
        <v>16.886745883792237</v>
      </c>
      <c r="M540">
        <v>15</v>
      </c>
      <c r="N540">
        <v>-0.57881652878677414</v>
      </c>
      <c r="O540">
        <v>197.00603211268714</v>
      </c>
      <c r="P540" s="1">
        <f t="shared" si="40"/>
        <v>7.6390277855885484</v>
      </c>
      <c r="Q540" s="1">
        <f t="shared" si="41"/>
        <v>1.0185370380784731</v>
      </c>
      <c r="R540" s="1">
        <f t="shared" si="42"/>
        <v>1.0092259598714617</v>
      </c>
      <c r="S540" s="1">
        <f t="shared" si="43"/>
        <v>9.4518512215841552E-2</v>
      </c>
      <c r="T540" s="56">
        <f t="shared" si="44"/>
        <v>0.53731477890181878</v>
      </c>
    </row>
    <row r="541" spans="1:20" x14ac:dyDescent="0.25">
      <c r="A541">
        <v>0.54850668537975467</v>
      </c>
      <c r="B541">
        <v>-0.86167347035370767</v>
      </c>
      <c r="D541">
        <v>0.56055906231428809</v>
      </c>
      <c r="E541">
        <v>0.34322124179197999</v>
      </c>
      <c r="I541">
        <v>0.81297272130513398</v>
      </c>
      <c r="J541">
        <v>15</v>
      </c>
      <c r="K541">
        <v>-1.5106934370123781E-2</v>
      </c>
      <c r="L541">
        <v>24.230963203860313</v>
      </c>
      <c r="M541">
        <v>15</v>
      </c>
      <c r="N541">
        <v>-0.12034138649141823</v>
      </c>
      <c r="O541">
        <v>215.94856550620105</v>
      </c>
      <c r="P541" s="1">
        <f t="shared" si="40"/>
        <v>8.5778403110736203</v>
      </c>
      <c r="Q541" s="1">
        <f t="shared" si="41"/>
        <v>1.1437120414764828</v>
      </c>
      <c r="R541" s="1">
        <f t="shared" si="42"/>
        <v>1.0694447351202785</v>
      </c>
      <c r="S541" s="1">
        <f t="shared" si="43"/>
        <v>9.8401019393918404E-2</v>
      </c>
      <c r="T541" s="56">
        <f t="shared" si="44"/>
        <v>0.53884253136560134</v>
      </c>
    </row>
    <row r="542" spans="1:20" x14ac:dyDescent="0.25">
      <c r="A542">
        <v>0.54850770047155328</v>
      </c>
      <c r="B542">
        <v>0.33377773434040137</v>
      </c>
      <c r="D542">
        <v>0.56186468421399061</v>
      </c>
      <c r="E542">
        <v>1.0404444276446156</v>
      </c>
      <c r="I542">
        <v>0.77625316260609012</v>
      </c>
      <c r="J542">
        <v>15</v>
      </c>
      <c r="K542">
        <v>-0.19925118976971135</v>
      </c>
      <c r="L542">
        <v>8.7162882191126716</v>
      </c>
      <c r="M542">
        <v>15</v>
      </c>
      <c r="N542">
        <v>-0.25669146793916298</v>
      </c>
      <c r="O542">
        <v>62.42767919491407</v>
      </c>
      <c r="P542" s="1">
        <f t="shared" si="40"/>
        <v>2.5408559790723837</v>
      </c>
      <c r="Q542" s="1">
        <f t="shared" si="41"/>
        <v>0.33878079720965115</v>
      </c>
      <c r="R542" s="1">
        <f t="shared" si="42"/>
        <v>0.58204879280834454</v>
      </c>
      <c r="S542" s="1">
        <f t="shared" si="43"/>
        <v>9.8686362516630821E-2</v>
      </c>
      <c r="T542" s="56">
        <f t="shared" si="44"/>
        <v>0.53895478930083907</v>
      </c>
    </row>
    <row r="543" spans="1:20" x14ac:dyDescent="0.25">
      <c r="A543">
        <v>0.5489749666123529</v>
      </c>
      <c r="B543">
        <v>0.35414814192336053</v>
      </c>
      <c r="D543">
        <v>0.5621109835246999</v>
      </c>
      <c r="E543">
        <v>-2.9890150051414821</v>
      </c>
      <c r="I543">
        <v>0.90047792989337216</v>
      </c>
      <c r="J543">
        <v>15</v>
      </c>
      <c r="K543">
        <v>6.466818073628626E-2</v>
      </c>
      <c r="L543">
        <v>6.9735006926423466</v>
      </c>
      <c r="M543">
        <v>15</v>
      </c>
      <c r="N543">
        <v>-4.0889748333938769E-2</v>
      </c>
      <c r="O543">
        <v>202.75773236585096</v>
      </c>
      <c r="P543" s="1">
        <f t="shared" si="40"/>
        <v>7.4904011806604753</v>
      </c>
      <c r="Q543" s="1">
        <f t="shared" si="41"/>
        <v>0.99872015742139675</v>
      </c>
      <c r="R543" s="1">
        <f t="shared" si="42"/>
        <v>0.99935987382994163</v>
      </c>
      <c r="S543" s="1">
        <f t="shared" si="43"/>
        <v>0.10562554274436231</v>
      </c>
      <c r="T543" s="56">
        <f t="shared" si="44"/>
        <v>0.54168372891856653</v>
      </c>
    </row>
    <row r="544" spans="1:20" x14ac:dyDescent="0.25">
      <c r="A544">
        <v>0.54983767520765181</v>
      </c>
      <c r="B544">
        <v>-0.17752427083905786</v>
      </c>
      <c r="D544">
        <v>0.56219243277268161</v>
      </c>
      <c r="E544">
        <v>1.7754025486738101</v>
      </c>
      <c r="I544">
        <v>0.19024457698173403</v>
      </c>
      <c r="J544">
        <v>15</v>
      </c>
      <c r="K544">
        <v>0.37946733755234163</v>
      </c>
      <c r="L544">
        <v>19.687042730943212</v>
      </c>
      <c r="M544">
        <v>15</v>
      </c>
      <c r="N544">
        <v>0.29648549229932541</v>
      </c>
      <c r="O544">
        <v>109.27481677770255</v>
      </c>
      <c r="P544" s="1">
        <f t="shared" si="40"/>
        <v>4.6057806967373489</v>
      </c>
      <c r="Q544" s="1">
        <f t="shared" si="41"/>
        <v>0.61410409289831314</v>
      </c>
      <c r="R544" s="1">
        <f t="shared" si="42"/>
        <v>0.78364793938242006</v>
      </c>
      <c r="S544" s="1">
        <f t="shared" si="43"/>
        <v>0.10589174179212776</v>
      </c>
      <c r="T544" s="56">
        <f t="shared" si="44"/>
        <v>0.54178837542840363</v>
      </c>
    </row>
    <row r="545" spans="1:20" x14ac:dyDescent="0.25">
      <c r="A545">
        <v>0.55005057198568563</v>
      </c>
      <c r="B545">
        <v>-0.43167801777599379</v>
      </c>
      <c r="D545">
        <v>0.56232998938628886</v>
      </c>
      <c r="E545">
        <v>-2.6605737309637334</v>
      </c>
      <c r="I545">
        <v>0.29551770797066979</v>
      </c>
      <c r="J545">
        <v>15</v>
      </c>
      <c r="K545">
        <v>7.0212536229519174E-2</v>
      </c>
      <c r="L545">
        <v>12.854601623150595</v>
      </c>
      <c r="M545">
        <v>15</v>
      </c>
      <c r="N545">
        <v>-2.6223236773148528E-2</v>
      </c>
      <c r="O545">
        <v>145.50881655273719</v>
      </c>
      <c r="P545" s="1">
        <f t="shared" si="40"/>
        <v>5.6558363634245632</v>
      </c>
      <c r="Q545" s="1">
        <f t="shared" si="41"/>
        <v>0.75411151512327512</v>
      </c>
      <c r="R545" s="1">
        <f t="shared" si="42"/>
        <v>0.868395943751049</v>
      </c>
      <c r="S545" s="1">
        <f t="shared" si="43"/>
        <v>0.11105046459120015</v>
      </c>
      <c r="T545" s="56">
        <f t="shared" si="44"/>
        <v>0.54381572816174584</v>
      </c>
    </row>
    <row r="546" spans="1:20" x14ac:dyDescent="0.25">
      <c r="A546">
        <v>0.55068279357500971</v>
      </c>
      <c r="B546">
        <v>0.11457700566097628</v>
      </c>
      <c r="D546">
        <v>0.56321611232152158</v>
      </c>
      <c r="E546">
        <v>1.6677365658779308</v>
      </c>
      <c r="I546">
        <v>0.79030128923733944</v>
      </c>
      <c r="J546">
        <v>15</v>
      </c>
      <c r="K546">
        <v>0.19080660725497486</v>
      </c>
      <c r="L546">
        <v>15.867157191182603</v>
      </c>
      <c r="M546">
        <v>15</v>
      </c>
      <c r="N546">
        <v>0.10562689226389921</v>
      </c>
      <c r="O546">
        <v>105.01414463649228</v>
      </c>
      <c r="P546" s="1">
        <f t="shared" si="40"/>
        <v>4.3171893509883885</v>
      </c>
      <c r="Q546" s="1">
        <f t="shared" si="41"/>
        <v>0.57562524679845184</v>
      </c>
      <c r="R546" s="1">
        <f t="shared" si="42"/>
        <v>0.75869970792036812</v>
      </c>
      <c r="S546" s="1">
        <f t="shared" si="43"/>
        <v>0.11227065741801495</v>
      </c>
      <c r="T546" s="56">
        <f t="shared" si="44"/>
        <v>0.54429508422080242</v>
      </c>
    </row>
    <row r="547" spans="1:20" x14ac:dyDescent="0.25">
      <c r="A547">
        <v>0.5507540773519366</v>
      </c>
      <c r="B547">
        <v>-0.90138883024337701</v>
      </c>
      <c r="D547">
        <v>0.56763658969286568</v>
      </c>
      <c r="E547">
        <v>-1.4410368328299228</v>
      </c>
      <c r="I547">
        <v>0.82910819487190457</v>
      </c>
      <c r="J547">
        <v>15</v>
      </c>
      <c r="K547">
        <v>0.15936787652511461</v>
      </c>
      <c r="L547">
        <v>14.139934569337822</v>
      </c>
      <c r="M547">
        <v>15</v>
      </c>
      <c r="N547">
        <v>7.2552435312900343E-2</v>
      </c>
      <c r="O547">
        <v>110.46389429270995</v>
      </c>
      <c r="P547" s="1">
        <f t="shared" si="40"/>
        <v>4.4501367450731353</v>
      </c>
      <c r="Q547" s="1">
        <f t="shared" si="41"/>
        <v>0.59335156600975136</v>
      </c>
      <c r="R547" s="1">
        <f t="shared" si="42"/>
        <v>0.77029316887127552</v>
      </c>
      <c r="S547" s="1">
        <f t="shared" si="43"/>
        <v>0.11270441530648194</v>
      </c>
      <c r="T547" s="56">
        <f t="shared" si="44"/>
        <v>0.54446547084301411</v>
      </c>
    </row>
    <row r="548" spans="1:20" x14ac:dyDescent="0.25">
      <c r="A548">
        <v>0.55705460625132552</v>
      </c>
      <c r="B548">
        <v>0.21167352315387689</v>
      </c>
      <c r="D548">
        <v>0.56816395578548096</v>
      </c>
      <c r="E548">
        <v>-2.8443780627185333</v>
      </c>
      <c r="I548">
        <v>4.7577154121675735E-2</v>
      </c>
      <c r="J548">
        <v>15</v>
      </c>
      <c r="K548">
        <v>4.2877748758958965E-2</v>
      </c>
      <c r="L548">
        <v>10.728365201818363</v>
      </c>
      <c r="M548">
        <v>15</v>
      </c>
      <c r="N548">
        <v>-8.974189199761895E-2</v>
      </c>
      <c r="O548">
        <v>261.75965412845198</v>
      </c>
      <c r="P548" s="1">
        <f t="shared" si="40"/>
        <v>9.7317149760810828</v>
      </c>
      <c r="Q548" s="1">
        <f t="shared" si="41"/>
        <v>1.297561996810811</v>
      </c>
      <c r="R548" s="1">
        <f t="shared" si="42"/>
        <v>1.1391057882439237</v>
      </c>
      <c r="S548" s="1">
        <f t="shared" si="43"/>
        <v>0.11642434102720867</v>
      </c>
      <c r="T548" s="56">
        <f t="shared" si="44"/>
        <v>0.54592635614339757</v>
      </c>
    </row>
    <row r="549" spans="1:20" x14ac:dyDescent="0.25">
      <c r="A549">
        <v>0.55759012632100879</v>
      </c>
      <c r="B549">
        <v>0.69896714194328524</v>
      </c>
      <c r="D549">
        <v>0.56835497684916714</v>
      </c>
      <c r="E549">
        <v>1.8341945599331666</v>
      </c>
      <c r="I549">
        <v>0.14191843983133923</v>
      </c>
      <c r="J549">
        <v>15</v>
      </c>
      <c r="K549">
        <v>-8.6473619376192801E-2</v>
      </c>
      <c r="L549">
        <v>22.354911734079188</v>
      </c>
      <c r="M549">
        <v>15</v>
      </c>
      <c r="N549">
        <v>-0.19059553210354352</v>
      </c>
      <c r="O549">
        <v>141.99405853646513</v>
      </c>
      <c r="P549" s="1">
        <f t="shared" si="40"/>
        <v>5.8696060810908692</v>
      </c>
      <c r="Q549" s="1">
        <f t="shared" si="41"/>
        <v>0.78261414414544928</v>
      </c>
      <c r="R549" s="1">
        <f t="shared" si="42"/>
        <v>0.8846548163806317</v>
      </c>
      <c r="S549" s="1">
        <f t="shared" si="43"/>
        <v>0.11769778539537303</v>
      </c>
      <c r="T549" s="56">
        <f t="shared" si="44"/>
        <v>0.54642631245556283</v>
      </c>
    </row>
    <row r="550" spans="1:20" x14ac:dyDescent="0.25">
      <c r="A550">
        <v>0.55760952732248781</v>
      </c>
      <c r="B550">
        <v>0.20549691726046149</v>
      </c>
      <c r="D550">
        <v>0.5686637872333471</v>
      </c>
      <c r="E550">
        <v>1.7249801624075189</v>
      </c>
      <c r="I550">
        <v>0.51115688561170447</v>
      </c>
      <c r="J550">
        <v>15</v>
      </c>
      <c r="K550">
        <v>-7.8192442742874846E-2</v>
      </c>
      <c r="L550">
        <v>8.9761491256787949</v>
      </c>
      <c r="M550">
        <v>15</v>
      </c>
      <c r="N550">
        <v>-0.17087450373765023</v>
      </c>
      <c r="O550">
        <v>108.86333805291318</v>
      </c>
      <c r="P550" s="1">
        <f t="shared" si="40"/>
        <v>4.208553113521142</v>
      </c>
      <c r="Q550" s="1">
        <f t="shared" si="41"/>
        <v>0.56114041513615232</v>
      </c>
      <c r="R550" s="1">
        <f t="shared" si="42"/>
        <v>0.74909306173275447</v>
      </c>
      <c r="S550" s="1">
        <f t="shared" si="43"/>
        <v>0.12372569675173486</v>
      </c>
      <c r="T550" s="56">
        <f t="shared" si="44"/>
        <v>0.54879181365289598</v>
      </c>
    </row>
    <row r="551" spans="1:20" x14ac:dyDescent="0.25">
      <c r="A551">
        <v>0.55881681756734425</v>
      </c>
      <c r="B551">
        <v>1.0046346687886398</v>
      </c>
      <c r="D551">
        <v>0.57071992385639747</v>
      </c>
      <c r="E551">
        <v>5.9436872527385276</v>
      </c>
      <c r="I551">
        <v>0.352001831324811</v>
      </c>
      <c r="J551">
        <v>15</v>
      </c>
      <c r="K551">
        <v>0.13361492771461295</v>
      </c>
      <c r="L551">
        <v>11.795829200972792</v>
      </c>
      <c r="M551">
        <v>15</v>
      </c>
      <c r="N551">
        <v>3.7806554473718279E-2</v>
      </c>
      <c r="O551">
        <v>113.99989084391288</v>
      </c>
      <c r="P551" s="1">
        <f t="shared" si="40"/>
        <v>4.4927042873173457</v>
      </c>
      <c r="Q551" s="1">
        <f t="shared" si="41"/>
        <v>0.59902723830897942</v>
      </c>
      <c r="R551" s="1">
        <f t="shared" si="42"/>
        <v>0.77396849955859282</v>
      </c>
      <c r="S551" s="1">
        <f t="shared" si="43"/>
        <v>0.12378846593309131</v>
      </c>
      <c r="T551" s="56">
        <f t="shared" si="44"/>
        <v>0.5488164363771032</v>
      </c>
    </row>
    <row r="552" spans="1:20" x14ac:dyDescent="0.25">
      <c r="A552">
        <v>0.55971504467827404</v>
      </c>
      <c r="B552">
        <v>-0.97837073553819209</v>
      </c>
      <c r="D552">
        <v>0.5713747214868159</v>
      </c>
      <c r="E552">
        <v>0.54978795219540189</v>
      </c>
      <c r="I552">
        <v>0.57035623532898572</v>
      </c>
      <c r="J552">
        <v>15</v>
      </c>
      <c r="K552">
        <v>-0.26490511118026916</v>
      </c>
      <c r="L552">
        <v>21.652079636250722</v>
      </c>
      <c r="M552">
        <v>15</v>
      </c>
      <c r="N552">
        <v>-0.38647636188215984</v>
      </c>
      <c r="O552">
        <v>174.98899151601177</v>
      </c>
      <c r="P552" s="1">
        <f t="shared" si="40"/>
        <v>7.0228953982950895</v>
      </c>
      <c r="Q552" s="1">
        <f t="shared" si="41"/>
        <v>0.93638605310601186</v>
      </c>
      <c r="R552" s="1">
        <f t="shared" si="42"/>
        <v>0.96767042587133556</v>
      </c>
      <c r="S552" s="1">
        <f t="shared" si="43"/>
        <v>0.1256329091512973</v>
      </c>
      <c r="T552" s="56">
        <f t="shared" si="44"/>
        <v>0.54953987485538169</v>
      </c>
    </row>
    <row r="553" spans="1:20" x14ac:dyDescent="0.25">
      <c r="A553">
        <v>0.5609093416494475</v>
      </c>
      <c r="B553">
        <v>1.0473650036146864</v>
      </c>
      <c r="D553">
        <v>0.57322619718043011</v>
      </c>
      <c r="E553">
        <v>-0.24403721340604534</v>
      </c>
      <c r="I553">
        <v>0.71089814632538029</v>
      </c>
      <c r="J553">
        <v>15</v>
      </c>
      <c r="K553">
        <v>0.23415380686249895</v>
      </c>
      <c r="L553">
        <v>16.414392205082905</v>
      </c>
      <c r="M553">
        <v>15</v>
      </c>
      <c r="N553">
        <v>0.11621159160313255</v>
      </c>
      <c r="O553">
        <v>151.02268222291059</v>
      </c>
      <c r="P553" s="1">
        <f t="shared" si="40"/>
        <v>5.9798955152854818</v>
      </c>
      <c r="Q553" s="1">
        <f t="shared" si="41"/>
        <v>0.79731940203806428</v>
      </c>
      <c r="R553" s="1">
        <f t="shared" si="42"/>
        <v>0.89292743380302986</v>
      </c>
      <c r="S553" s="1">
        <f t="shared" si="43"/>
        <v>0.13208488259459522</v>
      </c>
      <c r="T553" s="56">
        <f t="shared" si="44"/>
        <v>0.55206912482098514</v>
      </c>
    </row>
    <row r="554" spans="1:20" x14ac:dyDescent="0.25">
      <c r="A554">
        <v>0.56136635600465035</v>
      </c>
      <c r="B554">
        <v>-1.099772362067597</v>
      </c>
      <c r="D554">
        <v>0.57418989477046745</v>
      </c>
      <c r="E554">
        <v>2.7381822712868598</v>
      </c>
      <c r="I554">
        <v>0.62576562109699785</v>
      </c>
      <c r="J554">
        <v>15</v>
      </c>
      <c r="K554">
        <v>0.37275564560938318</v>
      </c>
      <c r="L554">
        <v>13.239201630319291</v>
      </c>
      <c r="M554">
        <v>15</v>
      </c>
      <c r="N554">
        <v>0.22071230546316656</v>
      </c>
      <c r="O554">
        <v>262.77472892279337</v>
      </c>
      <c r="P554" s="1">
        <f t="shared" si="40"/>
        <v>9.8576403768968817</v>
      </c>
      <c r="Q554" s="1">
        <f t="shared" si="41"/>
        <v>1.3143520502529176</v>
      </c>
      <c r="R554" s="1">
        <f t="shared" si="42"/>
        <v>1.1464519397920341</v>
      </c>
      <c r="S554" s="1">
        <f t="shared" si="43"/>
        <v>0.13262077097954689</v>
      </c>
      <c r="T554" s="56">
        <f t="shared" si="44"/>
        <v>0.5522791005763521</v>
      </c>
    </row>
    <row r="555" spans="1:20" x14ac:dyDescent="0.25">
      <c r="A555">
        <v>0.56326052187108355</v>
      </c>
      <c r="B555">
        <v>1.1736210581148043</v>
      </c>
      <c r="D555">
        <v>0.57448298791188368</v>
      </c>
      <c r="E555">
        <v>-4.5449467086200457</v>
      </c>
      <c r="I555">
        <v>4.6325396774315686E-2</v>
      </c>
      <c r="J555">
        <v>15</v>
      </c>
      <c r="K555">
        <v>-9.9180397228337824E-4</v>
      </c>
      <c r="L555">
        <v>10.141404895583319</v>
      </c>
      <c r="M555">
        <v>15</v>
      </c>
      <c r="N555">
        <v>-0.13720546462536731</v>
      </c>
      <c r="O555">
        <v>198.1489261006846</v>
      </c>
      <c r="P555" s="1">
        <f t="shared" si="40"/>
        <v>7.4389403927238549</v>
      </c>
      <c r="Q555" s="1">
        <f t="shared" si="41"/>
        <v>0.99185871902984735</v>
      </c>
      <c r="R555" s="1">
        <f t="shared" si="42"/>
        <v>0.99592104055986652</v>
      </c>
      <c r="S555" s="1">
        <f t="shared" si="43"/>
        <v>0.13677154624277255</v>
      </c>
      <c r="T555" s="56">
        <f t="shared" si="44"/>
        <v>0.55390496027567626</v>
      </c>
    </row>
    <row r="556" spans="1:20" x14ac:dyDescent="0.25">
      <c r="A556">
        <v>0.56369810238578699</v>
      </c>
      <c r="B556">
        <v>7.9987785284174606E-2</v>
      </c>
      <c r="D556">
        <v>0.57511560411349461</v>
      </c>
      <c r="E556">
        <v>0.30827277100797801</v>
      </c>
      <c r="I556">
        <v>0.68922028030487259</v>
      </c>
      <c r="J556">
        <v>15</v>
      </c>
      <c r="K556">
        <v>-0.13516607092848668</v>
      </c>
      <c r="L556">
        <v>15.273374330659818</v>
      </c>
      <c r="M556">
        <v>15</v>
      </c>
      <c r="N556">
        <v>-0.23363873310700001</v>
      </c>
      <c r="O556">
        <v>91.492520773060477</v>
      </c>
      <c r="P556" s="1">
        <f t="shared" si="40"/>
        <v>3.813067682275725</v>
      </c>
      <c r="Q556" s="1">
        <f t="shared" si="41"/>
        <v>0.50840902430343005</v>
      </c>
      <c r="R556" s="1">
        <f t="shared" si="42"/>
        <v>0.71302806698153898</v>
      </c>
      <c r="S556" s="1">
        <f t="shared" si="43"/>
        <v>0.13810488918813191</v>
      </c>
      <c r="T556" s="56">
        <f t="shared" si="44"/>
        <v>0.55442702973028402</v>
      </c>
    </row>
    <row r="557" spans="1:20" x14ac:dyDescent="0.25">
      <c r="A557">
        <v>0.56446487790281308</v>
      </c>
      <c r="B557">
        <v>0.10595726962492336</v>
      </c>
      <c r="D557">
        <v>0.57610062514201776</v>
      </c>
      <c r="E557">
        <v>-0.21553478632085898</v>
      </c>
      <c r="I557">
        <v>0.1439147317913656</v>
      </c>
      <c r="J557">
        <v>15</v>
      </c>
      <c r="K557">
        <v>4.094408723176457E-2</v>
      </c>
      <c r="L557">
        <v>21.733987141903398</v>
      </c>
      <c r="M557">
        <v>15</v>
      </c>
      <c r="N557">
        <v>-6.0508003798531718E-2</v>
      </c>
      <c r="O557">
        <v>91.329978250275062</v>
      </c>
      <c r="P557" s="1">
        <f t="shared" si="40"/>
        <v>4.0379987640063737</v>
      </c>
      <c r="Q557" s="1">
        <f t="shared" si="41"/>
        <v>0.53839983520084977</v>
      </c>
      <c r="R557" s="1">
        <f t="shared" si="42"/>
        <v>0.73375734081564714</v>
      </c>
      <c r="S557" s="1">
        <f t="shared" si="43"/>
        <v>0.13826381745976374</v>
      </c>
      <c r="T557" s="56">
        <f t="shared" si="44"/>
        <v>0.55448925136099758</v>
      </c>
    </row>
    <row r="558" spans="1:20" x14ac:dyDescent="0.25">
      <c r="A558">
        <v>0.56454494421633628</v>
      </c>
      <c r="B558">
        <v>1.4221836863725912</v>
      </c>
      <c r="D558">
        <v>0.57626847341466814</v>
      </c>
      <c r="E558">
        <v>4.5339613700434711</v>
      </c>
      <c r="I558">
        <v>0.44045021706904641</v>
      </c>
      <c r="J558">
        <v>15</v>
      </c>
      <c r="K558">
        <v>0.1336926137203894</v>
      </c>
      <c r="L558">
        <v>15.842537597649466</v>
      </c>
      <c r="M558">
        <v>15</v>
      </c>
      <c r="N558">
        <v>1.8578244862510473E-2</v>
      </c>
      <c r="O558">
        <v>126.57581611310671</v>
      </c>
      <c r="P558" s="1">
        <f t="shared" si="40"/>
        <v>5.0863697753841492</v>
      </c>
      <c r="Q558" s="1">
        <f t="shared" si="41"/>
        <v>0.67818263671788659</v>
      </c>
      <c r="R558" s="1">
        <f t="shared" si="42"/>
        <v>0.8235184495309662</v>
      </c>
      <c r="S558" s="1">
        <f t="shared" si="43"/>
        <v>0.13978359431223691</v>
      </c>
      <c r="T558" s="56">
        <f t="shared" si="44"/>
        <v>0.55508418389474445</v>
      </c>
    </row>
    <row r="559" spans="1:20" x14ac:dyDescent="0.25">
      <c r="A559">
        <v>0.56664164437701103</v>
      </c>
      <c r="B559">
        <v>-0.57829311117529869</v>
      </c>
      <c r="D559">
        <v>0.57813725364003465</v>
      </c>
      <c r="E559">
        <v>-0.1946277768638538</v>
      </c>
      <c r="I559">
        <v>0.24625731998697886</v>
      </c>
      <c r="J559">
        <v>15</v>
      </c>
      <c r="K559">
        <v>0.37758733621255186</v>
      </c>
      <c r="L559">
        <v>14.465175530469825</v>
      </c>
      <c r="M559">
        <v>15</v>
      </c>
      <c r="N559">
        <v>0.27062014510192967</v>
      </c>
      <c r="O559">
        <v>102.75057273729132</v>
      </c>
      <c r="P559" s="1">
        <f t="shared" si="40"/>
        <v>4.1862767238486125</v>
      </c>
      <c r="Q559" s="1">
        <f t="shared" si="41"/>
        <v>0.55817022984648168</v>
      </c>
      <c r="R559" s="1">
        <f t="shared" si="42"/>
        <v>0.74710791044298397</v>
      </c>
      <c r="S559" s="1">
        <f t="shared" si="43"/>
        <v>0.14317502146001634</v>
      </c>
      <c r="T559" s="56">
        <f t="shared" si="44"/>
        <v>0.55641131984080516</v>
      </c>
    </row>
    <row r="560" spans="1:20" x14ac:dyDescent="0.25">
      <c r="A560">
        <v>0.56720391746729937</v>
      </c>
      <c r="B560">
        <v>-1.7252887118957005</v>
      </c>
      <c r="D560">
        <v>0.57910303944919872</v>
      </c>
      <c r="E560">
        <v>-3.4192423788681481</v>
      </c>
      <c r="I560">
        <v>0.45158479641743599</v>
      </c>
      <c r="J560">
        <v>15</v>
      </c>
      <c r="K560">
        <v>0.47523864547353395</v>
      </c>
      <c r="L560">
        <v>16.844838099001777</v>
      </c>
      <c r="M560">
        <v>15</v>
      </c>
      <c r="N560">
        <v>0.33926357559721509</v>
      </c>
      <c r="O560">
        <v>164.382985724663</v>
      </c>
      <c r="P560" s="1">
        <f t="shared" si="40"/>
        <v>6.4724222794165991</v>
      </c>
      <c r="Q560" s="1">
        <f t="shared" si="41"/>
        <v>0.86298963725554656</v>
      </c>
      <c r="R560" s="1">
        <f t="shared" si="42"/>
        <v>0.92897235548510626</v>
      </c>
      <c r="S560" s="1">
        <f t="shared" si="43"/>
        <v>0.1463714921907586</v>
      </c>
      <c r="T560" s="56">
        <f t="shared" si="44"/>
        <v>0.55766155517870319</v>
      </c>
    </row>
    <row r="561" spans="1:20" x14ac:dyDescent="0.25">
      <c r="A561">
        <v>0.56736070747166834</v>
      </c>
      <c r="B561">
        <v>-0.31796616895007901</v>
      </c>
      <c r="D561">
        <v>0.57934945805515126</v>
      </c>
      <c r="E561">
        <v>-2.0198028812501434</v>
      </c>
      <c r="I561">
        <v>0.35964947662276303</v>
      </c>
      <c r="J561">
        <v>15</v>
      </c>
      <c r="K561">
        <v>0.39585097511007916</v>
      </c>
      <c r="L561">
        <v>12.946270461661051</v>
      </c>
      <c r="M561">
        <v>15</v>
      </c>
      <c r="N561">
        <v>0.27643863745652197</v>
      </c>
      <c r="O561">
        <v>111.01061590367956</v>
      </c>
      <c r="P561" s="1">
        <f t="shared" si="40"/>
        <v>4.4270316559050213</v>
      </c>
      <c r="Q561" s="1">
        <f t="shared" si="41"/>
        <v>0.5902708874540028</v>
      </c>
      <c r="R561" s="1">
        <f t="shared" si="42"/>
        <v>0.76829088726471484</v>
      </c>
      <c r="S561" s="1">
        <f t="shared" si="43"/>
        <v>0.15542594560595593</v>
      </c>
      <c r="T561" s="56">
        <f t="shared" si="44"/>
        <v>0.56119969472470399</v>
      </c>
    </row>
    <row r="562" spans="1:20" x14ac:dyDescent="0.25">
      <c r="A562">
        <v>0.56758088338722912</v>
      </c>
      <c r="B562">
        <v>0.64932351051538717</v>
      </c>
      <c r="D562">
        <v>0.5794436513605109</v>
      </c>
      <c r="E562">
        <v>0.39052292436281277</v>
      </c>
      <c r="I562">
        <v>0.30347514603105552</v>
      </c>
      <c r="J562">
        <v>15</v>
      </c>
      <c r="K562">
        <v>0.27772694011218846</v>
      </c>
      <c r="L562">
        <v>7.3552698523363542</v>
      </c>
      <c r="M562">
        <v>15</v>
      </c>
      <c r="N562">
        <v>0.12297868693167402</v>
      </c>
      <c r="O562">
        <v>196.42182215245762</v>
      </c>
      <c r="P562" s="1">
        <f t="shared" si="40"/>
        <v>7.2777532858854999</v>
      </c>
      <c r="Q562" s="1">
        <f t="shared" si="41"/>
        <v>0.97036710478473331</v>
      </c>
      <c r="R562" s="1">
        <f t="shared" si="42"/>
        <v>0.9850721317673814</v>
      </c>
      <c r="S562" s="1">
        <f t="shared" si="43"/>
        <v>0.15709332158536515</v>
      </c>
      <c r="T562" s="56">
        <f t="shared" si="44"/>
        <v>0.56185068976796004</v>
      </c>
    </row>
    <row r="563" spans="1:20" x14ac:dyDescent="0.25">
      <c r="A563">
        <v>0.56905842680559882</v>
      </c>
      <c r="B563">
        <v>-1.4602164810639806</v>
      </c>
      <c r="D563">
        <v>0.58022373763563928</v>
      </c>
      <c r="E563">
        <v>-2.9823779675552942</v>
      </c>
      <c r="I563">
        <v>0.50922764594310799</v>
      </c>
      <c r="J563">
        <v>15</v>
      </c>
      <c r="K563">
        <v>-6.4604061359811268E-2</v>
      </c>
      <c r="L563">
        <v>25.069168654228729</v>
      </c>
      <c r="M563">
        <v>15</v>
      </c>
      <c r="N563">
        <v>-0.22501513171846454</v>
      </c>
      <c r="O563">
        <v>192.60523995079529</v>
      </c>
      <c r="P563" s="1">
        <f t="shared" si="40"/>
        <v>7.7740860216080003</v>
      </c>
      <c r="Q563" s="1">
        <f t="shared" si="41"/>
        <v>1.0365448028810667</v>
      </c>
      <c r="R563" s="1">
        <f t="shared" si="42"/>
        <v>1.0181084435761578</v>
      </c>
      <c r="S563" s="1">
        <f t="shared" si="43"/>
        <v>0.15755794126920428</v>
      </c>
      <c r="T563" s="56">
        <f t="shared" si="44"/>
        <v>0.56203206027958641</v>
      </c>
    </row>
    <row r="564" spans="1:20" x14ac:dyDescent="0.25">
      <c r="A564">
        <v>0.56958573828027004</v>
      </c>
      <c r="B564">
        <v>1.2357304512988776</v>
      </c>
      <c r="D564">
        <v>0.58062817716621495</v>
      </c>
      <c r="E564">
        <v>0.6987120252688328</v>
      </c>
      <c r="I564">
        <v>0.84533667017146619</v>
      </c>
      <c r="J564">
        <v>15</v>
      </c>
      <c r="K564">
        <v>6.3122797655523755E-2</v>
      </c>
      <c r="L564">
        <v>5.2454525667765495</v>
      </c>
      <c r="M564">
        <v>15</v>
      </c>
      <c r="N564">
        <v>-6.9675710392402834E-2</v>
      </c>
      <c r="O564">
        <v>139.51963032944917</v>
      </c>
      <c r="P564" s="1">
        <f t="shared" si="40"/>
        <v>5.1701815320080611</v>
      </c>
      <c r="Q564" s="1">
        <f t="shared" si="41"/>
        <v>0.68935753760107477</v>
      </c>
      <c r="R564" s="1">
        <f t="shared" si="42"/>
        <v>0.83027557931151674</v>
      </c>
      <c r="S564" s="1">
        <f t="shared" si="43"/>
        <v>0.15994509697376155</v>
      </c>
      <c r="T564" s="56">
        <f t="shared" si="44"/>
        <v>0.56296370097196302</v>
      </c>
    </row>
    <row r="565" spans="1:20" x14ac:dyDescent="0.25">
      <c r="A565">
        <v>0.57017658778825286</v>
      </c>
      <c r="B565">
        <v>1.0258963811793365</v>
      </c>
      <c r="D565">
        <v>0.58066664239786769</v>
      </c>
      <c r="E565">
        <v>-2.9552431931278988</v>
      </c>
      <c r="I565">
        <v>0.39212890996029937</v>
      </c>
      <c r="J565">
        <v>15</v>
      </c>
      <c r="K565">
        <v>6.7353009095919944E-2</v>
      </c>
      <c r="L565">
        <v>13.213112608165162</v>
      </c>
      <c r="M565">
        <v>15</v>
      </c>
      <c r="N565">
        <v>-7.564313250441046E-2</v>
      </c>
      <c r="O565">
        <v>153.08359609798853</v>
      </c>
      <c r="P565" s="1">
        <f t="shared" si="40"/>
        <v>5.9391681680769182</v>
      </c>
      <c r="Q565" s="1">
        <f t="shared" si="41"/>
        <v>0.79188908907692246</v>
      </c>
      <c r="R565" s="1">
        <f t="shared" si="42"/>
        <v>0.88988150282884437</v>
      </c>
      <c r="S565" s="1">
        <f t="shared" si="43"/>
        <v>0.16069121691569044</v>
      </c>
      <c r="T565" s="56">
        <f t="shared" si="44"/>
        <v>0.56325481566427316</v>
      </c>
    </row>
    <row r="566" spans="1:20" x14ac:dyDescent="0.25">
      <c r="A566">
        <v>0.57210363991031876</v>
      </c>
      <c r="B566">
        <v>-1.4022771210875362</v>
      </c>
      <c r="D566">
        <v>0.582119898069556</v>
      </c>
      <c r="E566">
        <v>-0.16178706005121057</v>
      </c>
      <c r="I566">
        <v>0.68139559960160434</v>
      </c>
      <c r="J566">
        <v>15</v>
      </c>
      <c r="K566">
        <v>0.11401652955100872</v>
      </c>
      <c r="L566">
        <v>16.998270411013522</v>
      </c>
      <c r="M566">
        <v>15</v>
      </c>
      <c r="N566">
        <v>-4.7623874479540973E-2</v>
      </c>
      <c r="O566">
        <v>193.08142975258852</v>
      </c>
      <c r="P566" s="1">
        <f t="shared" si="40"/>
        <v>7.5028464344143586</v>
      </c>
      <c r="Q566" s="1">
        <f t="shared" si="41"/>
        <v>1.0003795245885811</v>
      </c>
      <c r="R566" s="1">
        <f t="shared" si="42"/>
        <v>1.0001897442928422</v>
      </c>
      <c r="S566" s="1">
        <f t="shared" si="43"/>
        <v>0.16160973950481092</v>
      </c>
      <c r="T566" s="56">
        <f t="shared" si="44"/>
        <v>0.56361314733313672</v>
      </c>
    </row>
    <row r="567" spans="1:20" x14ac:dyDescent="0.25">
      <c r="A567">
        <v>0.5723727500369139</v>
      </c>
      <c r="B567">
        <v>1.0384064808022231</v>
      </c>
      <c r="D567">
        <v>0.58348180614501544</v>
      </c>
      <c r="E567">
        <v>-0.19761205635404622</v>
      </c>
      <c r="I567">
        <v>0.1346672102844394</v>
      </c>
      <c r="J567">
        <v>15</v>
      </c>
      <c r="K567">
        <v>7.8548813083519534E-2</v>
      </c>
      <c r="L567">
        <v>10.723623129309564</v>
      </c>
      <c r="M567">
        <v>15</v>
      </c>
      <c r="N567">
        <v>-3.494597308417724E-2</v>
      </c>
      <c r="O567">
        <v>91.838334603617838</v>
      </c>
      <c r="P567" s="1">
        <f t="shared" si="40"/>
        <v>3.6629270618902643</v>
      </c>
      <c r="Q567" s="1">
        <f t="shared" si="41"/>
        <v>0.48839027491870191</v>
      </c>
      <c r="R567" s="1">
        <f t="shared" si="42"/>
        <v>0.69884925049591484</v>
      </c>
      <c r="S567" s="1">
        <f t="shared" si="43"/>
        <v>0.16240238661937323</v>
      </c>
      <c r="T567" s="56">
        <f t="shared" si="44"/>
        <v>0.56392232855770397</v>
      </c>
    </row>
    <row r="568" spans="1:20" x14ac:dyDescent="0.25">
      <c r="A568">
        <v>0.57240396178455932</v>
      </c>
      <c r="B568">
        <v>-0.3769673639908433</v>
      </c>
      <c r="D568">
        <v>0.58355308880933821</v>
      </c>
      <c r="E568">
        <v>-1.0422006687349494</v>
      </c>
      <c r="I568">
        <v>0.44352718500873822</v>
      </c>
      <c r="J568">
        <v>15</v>
      </c>
      <c r="K568">
        <v>0.38445682548626792</v>
      </c>
      <c r="L568">
        <v>8.9534442193957542</v>
      </c>
      <c r="M568">
        <v>15</v>
      </c>
      <c r="N568">
        <v>0.26098382136297005</v>
      </c>
      <c r="O568">
        <v>111.83492278514174</v>
      </c>
      <c r="P568" s="1">
        <f t="shared" si="40"/>
        <v>4.3138702501620534</v>
      </c>
      <c r="Q568" s="1">
        <f t="shared" si="41"/>
        <v>0.5751827000216071</v>
      </c>
      <c r="R568" s="1">
        <f t="shared" si="42"/>
        <v>0.75840800366399552</v>
      </c>
      <c r="S568" s="1">
        <f t="shared" si="43"/>
        <v>0.16280551303095325</v>
      </c>
      <c r="T568" s="56">
        <f t="shared" si="44"/>
        <v>0.5640795569171918</v>
      </c>
    </row>
    <row r="569" spans="1:20" x14ac:dyDescent="0.25">
      <c r="A569">
        <v>0.57416932829937184</v>
      </c>
      <c r="B569">
        <v>0.4397543307277374</v>
      </c>
      <c r="D569">
        <v>0.58436464706319013</v>
      </c>
      <c r="E569">
        <v>3.4274451047622279</v>
      </c>
      <c r="I569">
        <v>0.21802197858336891</v>
      </c>
      <c r="J569">
        <v>15</v>
      </c>
      <c r="K569">
        <v>1.4713350537931547E-3</v>
      </c>
      <c r="L569">
        <v>19.60906737844336</v>
      </c>
      <c r="M569">
        <v>15</v>
      </c>
      <c r="N569">
        <v>-0.1428013581517007</v>
      </c>
      <c r="O569">
        <v>136.32623306959698</v>
      </c>
      <c r="P569" s="1">
        <f t="shared" si="40"/>
        <v>5.5691178731442985</v>
      </c>
      <c r="Q569" s="1">
        <f t="shared" si="41"/>
        <v>0.74254904975257308</v>
      </c>
      <c r="R569" s="1">
        <f t="shared" si="42"/>
        <v>0.86171285806385245</v>
      </c>
      <c r="S569" s="1">
        <f t="shared" si="43"/>
        <v>0.16742548501557039</v>
      </c>
      <c r="T569" s="56">
        <f t="shared" si="44"/>
        <v>0.56588068107598266</v>
      </c>
    </row>
    <row r="570" spans="1:20" x14ac:dyDescent="0.25">
      <c r="A570">
        <v>0.57699400408709234</v>
      </c>
      <c r="B570">
        <v>-0.67754172050626948</v>
      </c>
      <c r="D570">
        <v>0.58475469100978383</v>
      </c>
      <c r="E570">
        <v>-0.41478233811176324</v>
      </c>
      <c r="I570">
        <v>0.77525729106691577</v>
      </c>
      <c r="J570">
        <v>15</v>
      </c>
      <c r="K570">
        <v>0.12176982030117263</v>
      </c>
      <c r="L570">
        <v>13.449522714461411</v>
      </c>
      <c r="M570">
        <v>15</v>
      </c>
      <c r="N570">
        <v>-5.6223146884804009E-2</v>
      </c>
      <c r="O570">
        <v>212.29904501440078</v>
      </c>
      <c r="P570" s="1">
        <f t="shared" si="40"/>
        <v>8.062448847459363</v>
      </c>
      <c r="Q570" s="1">
        <f t="shared" si="41"/>
        <v>1.0749931796612484</v>
      </c>
      <c r="R570" s="1">
        <f t="shared" si="42"/>
        <v>1.0368187786017615</v>
      </c>
      <c r="S570" s="1">
        <f t="shared" si="43"/>
        <v>0.17167220623262178</v>
      </c>
      <c r="T570" s="56">
        <f t="shared" si="44"/>
        <v>0.56753502107950382</v>
      </c>
    </row>
    <row r="571" spans="1:20" x14ac:dyDescent="0.25">
      <c r="A571">
        <v>0.57781095869636823</v>
      </c>
      <c r="B571">
        <v>0.36606593312171753</v>
      </c>
      <c r="D571">
        <v>0.58800759142536263</v>
      </c>
      <c r="E571">
        <v>5.5366168680848205E-2</v>
      </c>
      <c r="I571">
        <v>0.95262794112546145</v>
      </c>
      <c r="J571">
        <v>15</v>
      </c>
      <c r="K571">
        <v>-0.11858317823983573</v>
      </c>
      <c r="L571">
        <v>5.9837903071820095</v>
      </c>
      <c r="M571">
        <v>15</v>
      </c>
      <c r="N571">
        <v>-0.30119076996015792</v>
      </c>
      <c r="O571">
        <v>223.40523092777065</v>
      </c>
      <c r="P571" s="1">
        <f t="shared" si="40"/>
        <v>8.1924650441054521</v>
      </c>
      <c r="Q571" s="1">
        <f t="shared" si="41"/>
        <v>1.0923286725473935</v>
      </c>
      <c r="R571" s="1">
        <f t="shared" si="42"/>
        <v>1.0451452877697882</v>
      </c>
      <c r="S571" s="1">
        <f t="shared" si="43"/>
        <v>0.17471981537608461</v>
      </c>
      <c r="T571" s="56">
        <f t="shared" si="44"/>
        <v>0.56872147152060648</v>
      </c>
    </row>
    <row r="572" spans="1:20" x14ac:dyDescent="0.25">
      <c r="A572">
        <v>0.57892031758952189</v>
      </c>
      <c r="B572">
        <v>-0.88859906099969521</v>
      </c>
      <c r="D572">
        <v>0.58824845728814057</v>
      </c>
      <c r="E572">
        <v>-3.5264718042071763</v>
      </c>
      <c r="I572">
        <v>0.57522957677871833</v>
      </c>
      <c r="J572">
        <v>15</v>
      </c>
      <c r="K572">
        <v>0.37042589913956664</v>
      </c>
      <c r="L572">
        <v>19.450815689111913</v>
      </c>
      <c r="M572">
        <v>15</v>
      </c>
      <c r="N572">
        <v>0.2111141805016814</v>
      </c>
      <c r="O572">
        <v>149.01845107640827</v>
      </c>
      <c r="P572" s="1">
        <f t="shared" si="40"/>
        <v>6.0167595273400067</v>
      </c>
      <c r="Q572" s="1">
        <f t="shared" si="41"/>
        <v>0.80223460364533417</v>
      </c>
      <c r="R572" s="1">
        <f t="shared" si="42"/>
        <v>0.89567550130911489</v>
      </c>
      <c r="S572" s="1">
        <f t="shared" si="43"/>
        <v>0.17786767462662093</v>
      </c>
      <c r="T572" s="56">
        <f t="shared" si="44"/>
        <v>0.56994626371166268</v>
      </c>
    </row>
    <row r="573" spans="1:20" x14ac:dyDescent="0.25">
      <c r="A573">
        <v>0.57935715063002524</v>
      </c>
      <c r="B573">
        <v>-0.5123342816659715</v>
      </c>
      <c r="D573">
        <v>0.58922474678539905</v>
      </c>
      <c r="E573">
        <v>-1.956372447011745</v>
      </c>
      <c r="I573">
        <v>0.43121387157702817</v>
      </c>
      <c r="J573">
        <v>15</v>
      </c>
      <c r="K573">
        <v>-1.9347756582040649E-2</v>
      </c>
      <c r="L573">
        <v>7.2490593390296141</v>
      </c>
      <c r="M573">
        <v>15</v>
      </c>
      <c r="N573">
        <v>-0.15294677154997771</v>
      </c>
      <c r="O573">
        <v>108.20475759458886</v>
      </c>
      <c r="P573" s="1">
        <f t="shared" si="40"/>
        <v>4.1233506047720878</v>
      </c>
      <c r="Q573" s="1">
        <f t="shared" si="41"/>
        <v>0.54978008063627837</v>
      </c>
      <c r="R573" s="1">
        <f t="shared" si="42"/>
        <v>0.74147156428030225</v>
      </c>
      <c r="S573" s="1">
        <f t="shared" si="43"/>
        <v>0.18018090160694542</v>
      </c>
      <c r="T573" s="56">
        <f t="shared" si="44"/>
        <v>0.57084585963248546</v>
      </c>
    </row>
    <row r="574" spans="1:20" x14ac:dyDescent="0.25">
      <c r="A574">
        <v>0.57937663213313684</v>
      </c>
      <c r="B574">
        <v>0.19145318219671026</v>
      </c>
      <c r="D574">
        <v>0.59078982295886662</v>
      </c>
      <c r="E574">
        <v>-2.3050522520406957</v>
      </c>
      <c r="I574">
        <v>0.48567253282478473</v>
      </c>
      <c r="J574">
        <v>15</v>
      </c>
      <c r="K574">
        <v>0.81971711551886983</v>
      </c>
      <c r="L574">
        <v>18.399196411822551</v>
      </c>
      <c r="M574">
        <v>15</v>
      </c>
      <c r="N574">
        <v>0.67468704060047457</v>
      </c>
      <c r="O574">
        <v>112.57816564146641</v>
      </c>
      <c r="P574" s="1">
        <f t="shared" si="40"/>
        <v>4.6777629304746062</v>
      </c>
      <c r="Q574" s="1">
        <f t="shared" si="41"/>
        <v>0.62370172406328084</v>
      </c>
      <c r="R574" s="1">
        <f t="shared" si="42"/>
        <v>0.78974788639367743</v>
      </c>
      <c r="S574" s="1">
        <f t="shared" si="43"/>
        <v>0.18364097887069233</v>
      </c>
      <c r="T574" s="56">
        <f t="shared" si="44"/>
        <v>0.5721907313281045</v>
      </c>
    </row>
    <row r="575" spans="1:20" x14ac:dyDescent="0.25">
      <c r="A575">
        <v>0.57981540171830015</v>
      </c>
      <c r="B575">
        <v>1.2636201063287444</v>
      </c>
      <c r="D575">
        <v>0.59172109438677045</v>
      </c>
      <c r="E575">
        <v>4.5044800992855016</v>
      </c>
      <c r="I575">
        <v>0.79576228535828508</v>
      </c>
      <c r="J575">
        <v>15</v>
      </c>
      <c r="K575">
        <v>-0.18150270382951325</v>
      </c>
      <c r="L575">
        <v>16.203562314694143</v>
      </c>
      <c r="M575">
        <v>15</v>
      </c>
      <c r="N575">
        <v>-0.36272968259254412</v>
      </c>
      <c r="O575">
        <v>186.62550566219659</v>
      </c>
      <c r="P575" s="1">
        <f t="shared" si="40"/>
        <v>7.2438952848889553</v>
      </c>
      <c r="Q575" s="1">
        <f t="shared" si="41"/>
        <v>0.96585270465186068</v>
      </c>
      <c r="R575" s="1">
        <f t="shared" si="42"/>
        <v>0.98277805462467505</v>
      </c>
      <c r="S575" s="1">
        <f t="shared" si="43"/>
        <v>0.18440275290054359</v>
      </c>
      <c r="T575" s="56">
        <f t="shared" si="44"/>
        <v>0.57248670147286229</v>
      </c>
    </row>
    <row r="576" spans="1:20" x14ac:dyDescent="0.25">
      <c r="A576">
        <v>0.57999604300079521</v>
      </c>
      <c r="B576">
        <v>-1.0176427167607471</v>
      </c>
      <c r="D576">
        <v>0.59175472476144175</v>
      </c>
      <c r="E576">
        <v>0.99098383202544937</v>
      </c>
      <c r="I576">
        <v>0.17744953334847779</v>
      </c>
      <c r="J576">
        <v>15</v>
      </c>
      <c r="K576">
        <v>0.23788940476758094</v>
      </c>
      <c r="L576">
        <v>13.290517133493443</v>
      </c>
      <c r="M576">
        <v>15</v>
      </c>
      <c r="N576">
        <v>0.1146088345649332</v>
      </c>
      <c r="O576">
        <v>74.715900634469506</v>
      </c>
      <c r="P576" s="1">
        <f t="shared" si="40"/>
        <v>3.1430863488558196</v>
      </c>
      <c r="Q576" s="1">
        <f t="shared" si="41"/>
        <v>0.41907817984744261</v>
      </c>
      <c r="R576" s="1">
        <f t="shared" si="42"/>
        <v>0.64736247948691206</v>
      </c>
      <c r="S576" s="1">
        <f t="shared" si="43"/>
        <v>0.19043514894523655</v>
      </c>
      <c r="T576" s="56">
        <f t="shared" si="44"/>
        <v>0.57482892051812096</v>
      </c>
    </row>
    <row r="577" spans="1:20" x14ac:dyDescent="0.25">
      <c r="A577">
        <v>0.5809697039884405</v>
      </c>
      <c r="B577">
        <v>-0.55886971495056059</v>
      </c>
      <c r="D577">
        <v>0.59193324186715157</v>
      </c>
      <c r="E577">
        <v>0.1657162977153348</v>
      </c>
      <c r="I577">
        <v>0.29831149076720465</v>
      </c>
      <c r="J577">
        <v>15</v>
      </c>
      <c r="K577">
        <v>0.1021090459592718</v>
      </c>
      <c r="L577">
        <v>12.241312531995474</v>
      </c>
      <c r="M577">
        <v>15</v>
      </c>
      <c r="N577">
        <v>-9.4064947688821121E-2</v>
      </c>
      <c r="O577">
        <v>202.77137118104591</v>
      </c>
      <c r="P577" s="1">
        <f t="shared" si="40"/>
        <v>7.6790244183229062</v>
      </c>
      <c r="Q577" s="1">
        <f t="shared" si="41"/>
        <v>1.0238699224430541</v>
      </c>
      <c r="R577" s="1">
        <f t="shared" si="42"/>
        <v>1.0118645771263337</v>
      </c>
      <c r="S577" s="1">
        <f t="shared" si="43"/>
        <v>0.19387376342911558</v>
      </c>
      <c r="T577" s="56">
        <f t="shared" si="44"/>
        <v>0.57616280388053154</v>
      </c>
    </row>
    <row r="578" spans="1:20" x14ac:dyDescent="0.25">
      <c r="A578">
        <v>0.58160461553646925</v>
      </c>
      <c r="B578">
        <v>4.6029526856727898E-2</v>
      </c>
      <c r="D578">
        <v>0.59244601700884347</v>
      </c>
      <c r="E578">
        <v>-1.3707749565128324</v>
      </c>
      <c r="I578">
        <v>0.62763711465703975</v>
      </c>
      <c r="J578">
        <v>15</v>
      </c>
      <c r="K578">
        <v>-3.4527753693206854E-2</v>
      </c>
      <c r="L578">
        <v>10.647827508498265</v>
      </c>
      <c r="M578">
        <v>15</v>
      </c>
      <c r="N578">
        <v>-0.22460449486061407</v>
      </c>
      <c r="O578">
        <v>183.94639465353586</v>
      </c>
      <c r="P578" s="1">
        <f t="shared" ref="P578:P641" si="45">(L578+O578)/(J578+M578-2)</f>
        <v>6.9497936486440759</v>
      </c>
      <c r="Q578" s="1">
        <f t="shared" ref="Q578:Q641" si="46">P578*(2/15)</f>
        <v>0.92663915315254342</v>
      </c>
      <c r="R578" s="1">
        <f t="shared" ref="R578:R641" si="47">SQRT(Q578)</f>
        <v>0.96262098104734006</v>
      </c>
      <c r="S578" s="1">
        <f t="shared" ref="S578:S641" si="48">(K578-N578)/R578</f>
        <v>0.19745750914404761</v>
      </c>
      <c r="T578" s="56">
        <f t="shared" ref="T578:T641" si="49">_xlfn.T.DIST(S578,28,TRUE)</f>
        <v>0.57755200682719021</v>
      </c>
    </row>
    <row r="579" spans="1:20" x14ac:dyDescent="0.25">
      <c r="A579">
        <v>0.58191555276561358</v>
      </c>
      <c r="B579">
        <v>8.9880813902709633E-3</v>
      </c>
      <c r="D579">
        <v>0.59621002374100607</v>
      </c>
      <c r="E579">
        <v>-3.972381140329162</v>
      </c>
      <c r="I579">
        <v>0.31222905819593438</v>
      </c>
      <c r="J579">
        <v>15</v>
      </c>
      <c r="K579">
        <v>0.49235351677149691</v>
      </c>
      <c r="L579">
        <v>6.9753035618498807</v>
      </c>
      <c r="M579">
        <v>15</v>
      </c>
      <c r="N579">
        <v>0.34633808013495582</v>
      </c>
      <c r="O579">
        <v>107.21209618210655</v>
      </c>
      <c r="P579" s="1">
        <f t="shared" si="45"/>
        <v>4.0781214194270152</v>
      </c>
      <c r="Q579" s="1">
        <f t="shared" si="46"/>
        <v>0.54374952259026865</v>
      </c>
      <c r="R579" s="1">
        <f t="shared" si="47"/>
        <v>0.73739373647344508</v>
      </c>
      <c r="S579" s="1">
        <f t="shared" si="48"/>
        <v>0.19801556402533857</v>
      </c>
      <c r="T579" s="56">
        <f t="shared" si="49"/>
        <v>0.57776824017414075</v>
      </c>
    </row>
    <row r="580" spans="1:20" x14ac:dyDescent="0.25">
      <c r="A580">
        <v>0.58242329912349911</v>
      </c>
      <c r="B580">
        <v>0.47714479478599969</v>
      </c>
      <c r="D580">
        <v>0.59767209192310344</v>
      </c>
      <c r="E580">
        <v>-2.1345015318274818</v>
      </c>
      <c r="I580">
        <v>0.78958956922998469</v>
      </c>
      <c r="J580">
        <v>15</v>
      </c>
      <c r="K580">
        <v>9.9477574622142129E-2</v>
      </c>
      <c r="L580">
        <v>15.692659583253517</v>
      </c>
      <c r="M580">
        <v>15</v>
      </c>
      <c r="N580">
        <v>-0.11962379517171939</v>
      </c>
      <c r="O580">
        <v>240.48889796479094</v>
      </c>
      <c r="P580" s="1">
        <f t="shared" si="45"/>
        <v>9.1493413410015876</v>
      </c>
      <c r="Q580" s="1">
        <f t="shared" si="46"/>
        <v>1.2199121788002116</v>
      </c>
      <c r="R580" s="1">
        <f t="shared" si="47"/>
        <v>1.1044963462140613</v>
      </c>
      <c r="S580" s="1">
        <f t="shared" si="48"/>
        <v>0.19837219973147624</v>
      </c>
      <c r="T580" s="56">
        <f t="shared" si="49"/>
        <v>0.57790641531538067</v>
      </c>
    </row>
    <row r="581" spans="1:20" x14ac:dyDescent="0.25">
      <c r="A581">
        <v>0.58329231080244504</v>
      </c>
      <c r="B581">
        <v>-0.84570501712732948</v>
      </c>
      <c r="D581">
        <v>0.59853487965840035</v>
      </c>
      <c r="E581">
        <v>-1.8085431781855732</v>
      </c>
      <c r="I581">
        <v>0.34845069048645583</v>
      </c>
      <c r="J581">
        <v>15</v>
      </c>
      <c r="K581">
        <v>0.44327225623419508</v>
      </c>
      <c r="L581">
        <v>17.283042812241991</v>
      </c>
      <c r="M581">
        <v>15</v>
      </c>
      <c r="N581">
        <v>0.2513584115604317</v>
      </c>
      <c r="O581">
        <v>177.22441671710126</v>
      </c>
      <c r="P581" s="1">
        <f t="shared" si="45"/>
        <v>6.9466949831908309</v>
      </c>
      <c r="Q581" s="1">
        <f t="shared" si="46"/>
        <v>0.92622599775877745</v>
      </c>
      <c r="R581" s="1">
        <f t="shared" si="47"/>
        <v>0.96240635791685081</v>
      </c>
      <c r="S581" s="1">
        <f t="shared" si="48"/>
        <v>0.19941040818679234</v>
      </c>
      <c r="T581" s="56">
        <f t="shared" si="49"/>
        <v>0.57830860177333343</v>
      </c>
    </row>
    <row r="582" spans="1:20" x14ac:dyDescent="0.25">
      <c r="A582">
        <v>0.58362833885862331</v>
      </c>
      <c r="B582">
        <v>0.43874251787201501</v>
      </c>
      <c r="D582">
        <v>0.59884806660572432</v>
      </c>
      <c r="E582">
        <v>4.0944162230971415</v>
      </c>
      <c r="I582">
        <v>0.5233656592977719</v>
      </c>
      <c r="J582">
        <v>15</v>
      </c>
      <c r="K582">
        <v>0.15412282057999013</v>
      </c>
      <c r="L582">
        <v>10.943676400825474</v>
      </c>
      <c r="M582">
        <v>15</v>
      </c>
      <c r="N582">
        <v>-3.2044457611846155E-2</v>
      </c>
      <c r="O582">
        <v>163.62885743123667</v>
      </c>
      <c r="P582" s="1">
        <f t="shared" si="45"/>
        <v>6.234733351145076</v>
      </c>
      <c r="Q582" s="1">
        <f t="shared" si="46"/>
        <v>0.83129778015267675</v>
      </c>
      <c r="R582" s="1">
        <f t="shared" si="47"/>
        <v>0.91175532910571833</v>
      </c>
      <c r="S582" s="1">
        <f t="shared" si="48"/>
        <v>0.20418556629050438</v>
      </c>
      <c r="T582" s="56">
        <f t="shared" si="49"/>
        <v>0.58015731132603099</v>
      </c>
    </row>
    <row r="583" spans="1:20" x14ac:dyDescent="0.25">
      <c r="A583">
        <v>0.58446567242526015</v>
      </c>
      <c r="B583">
        <v>-0.95457380666630343</v>
      </c>
      <c r="D583">
        <v>0.5991478940103766</v>
      </c>
      <c r="E583">
        <v>-4.9618454374922294</v>
      </c>
      <c r="I583">
        <v>0.36217163648339168</v>
      </c>
      <c r="J583">
        <v>15</v>
      </c>
      <c r="K583">
        <v>-0.13233087277815989</v>
      </c>
      <c r="L583">
        <v>10.546490299766296</v>
      </c>
      <c r="M583">
        <v>15</v>
      </c>
      <c r="N583">
        <v>-0.28555382755257597</v>
      </c>
      <c r="O583">
        <v>105.50053683763757</v>
      </c>
      <c r="P583" s="1">
        <f t="shared" si="45"/>
        <v>4.1445366834787096</v>
      </c>
      <c r="Q583" s="1">
        <f t="shared" si="46"/>
        <v>0.5526048911304946</v>
      </c>
      <c r="R583" s="1">
        <f t="shared" si="47"/>
        <v>0.74337399142725902</v>
      </c>
      <c r="S583" s="1">
        <f t="shared" si="48"/>
        <v>0.20611826152302146</v>
      </c>
      <c r="T583" s="56">
        <f t="shared" si="49"/>
        <v>0.58090502984032855</v>
      </c>
    </row>
    <row r="584" spans="1:20" x14ac:dyDescent="0.25">
      <c r="A584">
        <v>0.58713338149132877</v>
      </c>
      <c r="B584">
        <v>0.18787090994010214</v>
      </c>
      <c r="D584">
        <v>0.59978052669007209</v>
      </c>
      <c r="E584">
        <v>2.617617379883086</v>
      </c>
      <c r="I584">
        <v>7.135771616516684E-2</v>
      </c>
      <c r="J584">
        <v>15</v>
      </c>
      <c r="K584">
        <v>1.454895937058609E-2</v>
      </c>
      <c r="L584">
        <v>25.763223396095878</v>
      </c>
      <c r="M584">
        <v>15</v>
      </c>
      <c r="N584">
        <v>-0.16749391193116026</v>
      </c>
      <c r="O584">
        <v>119.44600362564047</v>
      </c>
      <c r="P584" s="1">
        <f t="shared" si="45"/>
        <v>5.1860438222048701</v>
      </c>
      <c r="Q584" s="1">
        <f t="shared" si="46"/>
        <v>0.69147250962731599</v>
      </c>
      <c r="R584" s="1">
        <f t="shared" si="47"/>
        <v>0.8315482605521558</v>
      </c>
      <c r="S584" s="1">
        <f t="shared" si="48"/>
        <v>0.21892039216204742</v>
      </c>
      <c r="T584" s="56">
        <f t="shared" si="49"/>
        <v>0.58584999439645613</v>
      </c>
    </row>
    <row r="585" spans="1:20" x14ac:dyDescent="0.25">
      <c r="A585">
        <v>0.58724511873303176</v>
      </c>
      <c r="B585">
        <v>1.7856245904113166</v>
      </c>
      <c r="D585">
        <v>0.6027756442599872</v>
      </c>
      <c r="E585">
        <v>-3.9874423725905217</v>
      </c>
      <c r="I585">
        <v>0.34551374571584215</v>
      </c>
      <c r="J585">
        <v>15</v>
      </c>
      <c r="K585">
        <v>0.17029712277386957</v>
      </c>
      <c r="L585">
        <v>12.719083691361659</v>
      </c>
      <c r="M585">
        <v>15</v>
      </c>
      <c r="N585">
        <v>-3.7569183177765808E-2</v>
      </c>
      <c r="O585">
        <v>174.79867967108586</v>
      </c>
      <c r="P585" s="1">
        <f t="shared" si="45"/>
        <v>6.6970629772302681</v>
      </c>
      <c r="Q585" s="1">
        <f t="shared" si="46"/>
        <v>0.89294173029736912</v>
      </c>
      <c r="R585" s="1">
        <f t="shared" si="47"/>
        <v>0.94495594092918911</v>
      </c>
      <c r="S585" s="1">
        <f t="shared" si="48"/>
        <v>0.21997460087635132</v>
      </c>
      <c r="T585" s="56">
        <f t="shared" si="49"/>
        <v>0.58625656733573128</v>
      </c>
    </row>
    <row r="586" spans="1:20" x14ac:dyDescent="0.25">
      <c r="A586">
        <v>0.58825906754985857</v>
      </c>
      <c r="B586">
        <v>0.13083990779705346</v>
      </c>
      <c r="D586">
        <v>0.60324901092977434</v>
      </c>
      <c r="E586">
        <v>1.5864925410369324</v>
      </c>
      <c r="I586">
        <v>0.42723961186739856</v>
      </c>
      <c r="J586">
        <v>15</v>
      </c>
      <c r="K586">
        <v>0.20884272089460865</v>
      </c>
      <c r="L586">
        <v>21.577545445067379</v>
      </c>
      <c r="M586">
        <v>15</v>
      </c>
      <c r="N586">
        <v>3.2099475220093154E-2</v>
      </c>
      <c r="O586">
        <v>111.66501959327255</v>
      </c>
      <c r="P586" s="1">
        <f t="shared" si="45"/>
        <v>4.7586630370835694</v>
      </c>
      <c r="Q586" s="1">
        <f t="shared" si="46"/>
        <v>0.63448840494447589</v>
      </c>
      <c r="R586" s="1">
        <f t="shared" si="47"/>
        <v>0.79654780455693674</v>
      </c>
      <c r="S586" s="1">
        <f t="shared" si="48"/>
        <v>0.2218865517717738</v>
      </c>
      <c r="T586" s="56">
        <f t="shared" si="49"/>
        <v>0.58699369366372345</v>
      </c>
    </row>
    <row r="587" spans="1:20" x14ac:dyDescent="0.25">
      <c r="A587">
        <v>0.58878359436079808</v>
      </c>
      <c r="B587">
        <v>0.16177068573597353</v>
      </c>
      <c r="D587">
        <v>0.60399882191091059</v>
      </c>
      <c r="E587">
        <v>-0.36261031141293643</v>
      </c>
      <c r="I587">
        <v>2.2546183521967023E-2</v>
      </c>
      <c r="J587">
        <v>15</v>
      </c>
      <c r="K587">
        <v>7.7134018283686601E-2</v>
      </c>
      <c r="L587">
        <v>13.99256183075749</v>
      </c>
      <c r="M587">
        <v>15</v>
      </c>
      <c r="N587">
        <v>-8.3068474623360089E-2</v>
      </c>
      <c r="O587">
        <v>91.844553888896669</v>
      </c>
      <c r="P587" s="1">
        <f t="shared" si="45"/>
        <v>3.7798969899876487</v>
      </c>
      <c r="Q587" s="1">
        <f t="shared" si="46"/>
        <v>0.50398626533168644</v>
      </c>
      <c r="R587" s="1">
        <f t="shared" si="47"/>
        <v>0.70991990064491528</v>
      </c>
      <c r="S587" s="1">
        <f t="shared" si="48"/>
        <v>0.22566277232334708</v>
      </c>
      <c r="T587" s="56">
        <f t="shared" si="49"/>
        <v>0.5884486112805063</v>
      </c>
    </row>
    <row r="588" spans="1:20" x14ac:dyDescent="0.25">
      <c r="A588">
        <v>0.58905571776337973</v>
      </c>
      <c r="B588">
        <v>-0.22279550648818258</v>
      </c>
      <c r="D588">
        <v>0.60422031776405705</v>
      </c>
      <c r="E588">
        <v>0.59908824937338068</v>
      </c>
      <c r="I588">
        <v>0.36423573092681105</v>
      </c>
      <c r="J588">
        <v>15</v>
      </c>
      <c r="K588">
        <v>-0.25136425089537323</v>
      </c>
      <c r="L588">
        <v>12.416192752506969</v>
      </c>
      <c r="M588">
        <v>15</v>
      </c>
      <c r="N588">
        <v>-0.53053895840093901</v>
      </c>
      <c r="O588">
        <v>293.20322938946231</v>
      </c>
      <c r="P588" s="1">
        <f t="shared" si="45"/>
        <v>10.914979362213188</v>
      </c>
      <c r="Q588" s="1">
        <f t="shared" si="46"/>
        <v>1.455330581628425</v>
      </c>
      <c r="R588" s="1">
        <f t="shared" si="47"/>
        <v>1.206370830892568</v>
      </c>
      <c r="S588" s="1">
        <f t="shared" si="48"/>
        <v>0.23141699082612133</v>
      </c>
      <c r="T588" s="56">
        <f t="shared" si="49"/>
        <v>0.59066314961564947</v>
      </c>
    </row>
    <row r="589" spans="1:20" x14ac:dyDescent="0.25">
      <c r="A589">
        <v>0.59037010578206439</v>
      </c>
      <c r="B589">
        <v>-1.3853036762156989</v>
      </c>
      <c r="D589">
        <v>0.60500734136917889</v>
      </c>
      <c r="E589">
        <v>1.6401584127834212</v>
      </c>
      <c r="I589">
        <v>0.67110568800157355</v>
      </c>
      <c r="J589">
        <v>15</v>
      </c>
      <c r="K589">
        <v>1.7229012883035466E-2</v>
      </c>
      <c r="L589">
        <v>13.010178854844352</v>
      </c>
      <c r="M589">
        <v>15</v>
      </c>
      <c r="N589">
        <v>-0.13294038922140317</v>
      </c>
      <c r="O589">
        <v>73.555057994503613</v>
      </c>
      <c r="P589" s="1">
        <f t="shared" si="45"/>
        <v>3.0916156017624274</v>
      </c>
      <c r="Q589" s="1">
        <f t="shared" si="46"/>
        <v>0.41221541356832364</v>
      </c>
      <c r="R589" s="1">
        <f t="shared" si="47"/>
        <v>0.64204004047124941</v>
      </c>
      <c r="S589" s="1">
        <f t="shared" si="48"/>
        <v>0.23389413843132922</v>
      </c>
      <c r="T589" s="56">
        <f t="shared" si="49"/>
        <v>0.59161555782208142</v>
      </c>
    </row>
    <row r="590" spans="1:20" x14ac:dyDescent="0.25">
      <c r="A590">
        <v>0.59098371333519528</v>
      </c>
      <c r="B590">
        <v>1.3901126294513233</v>
      </c>
      <c r="D590">
        <v>0.60547341430265866</v>
      </c>
      <c r="E590">
        <v>7.1844926844732981</v>
      </c>
      <c r="I590">
        <v>0.66767224364712341</v>
      </c>
      <c r="J590">
        <v>15</v>
      </c>
      <c r="K590">
        <v>-0.30006913220859133</v>
      </c>
      <c r="L590">
        <v>20.950463520849507</v>
      </c>
      <c r="M590">
        <v>15</v>
      </c>
      <c r="N590">
        <v>-0.45998740802133398</v>
      </c>
      <c r="O590">
        <v>76.446421473479731</v>
      </c>
      <c r="P590" s="1">
        <f t="shared" si="45"/>
        <v>3.4784601783689015</v>
      </c>
      <c r="Q590" s="1">
        <f t="shared" si="46"/>
        <v>0.46379469044918686</v>
      </c>
      <c r="R590" s="1">
        <f t="shared" si="47"/>
        <v>0.68102473556339116</v>
      </c>
      <c r="S590" s="1">
        <f t="shared" si="48"/>
        <v>0.23482006961237187</v>
      </c>
      <c r="T590" s="56">
        <f t="shared" si="49"/>
        <v>0.59197141167813139</v>
      </c>
    </row>
    <row r="591" spans="1:20" x14ac:dyDescent="0.25">
      <c r="A591">
        <v>0.59120363901608153</v>
      </c>
      <c r="B591">
        <v>-0.82940914580831304</v>
      </c>
      <c r="D591">
        <v>0.6063052656492588</v>
      </c>
      <c r="E591">
        <v>-1.2563832603973424</v>
      </c>
      <c r="I591">
        <v>0.29232374151293261</v>
      </c>
      <c r="J591">
        <v>15</v>
      </c>
      <c r="K591">
        <v>0.3911944380282269</v>
      </c>
      <c r="L591">
        <v>10.945888292613301</v>
      </c>
      <c r="M591">
        <v>15</v>
      </c>
      <c r="N591">
        <v>0.18834566276382247</v>
      </c>
      <c r="O591">
        <v>145.25680774182001</v>
      </c>
      <c r="P591" s="1">
        <f t="shared" si="45"/>
        <v>5.5786677155154747</v>
      </c>
      <c r="Q591" s="1">
        <f t="shared" si="46"/>
        <v>0.74382236206872998</v>
      </c>
      <c r="R591" s="1">
        <f t="shared" si="47"/>
        <v>0.86245136794414679</v>
      </c>
      <c r="S591" s="1">
        <f t="shared" si="48"/>
        <v>0.23520024757794936</v>
      </c>
      <c r="T591" s="56">
        <f t="shared" si="49"/>
        <v>0.59211749852635198</v>
      </c>
    </row>
    <row r="592" spans="1:20" x14ac:dyDescent="0.25">
      <c r="A592">
        <v>0.59220260723987073</v>
      </c>
      <c r="B592">
        <v>-2.1469168132171035</v>
      </c>
      <c r="D592">
        <v>0.60659965905047175</v>
      </c>
      <c r="E592">
        <v>-4.7343853600523289</v>
      </c>
      <c r="I592">
        <v>0.30429215793268449</v>
      </c>
      <c r="J592">
        <v>15</v>
      </c>
      <c r="K592">
        <v>-6.5354773444899672E-4</v>
      </c>
      <c r="L592">
        <v>13.308519414398539</v>
      </c>
      <c r="M592">
        <v>15</v>
      </c>
      <c r="N592">
        <v>-0.15766000046824047</v>
      </c>
      <c r="O592">
        <v>80.219487783684798</v>
      </c>
      <c r="P592" s="1">
        <f t="shared" si="45"/>
        <v>3.3402859713601196</v>
      </c>
      <c r="Q592" s="1">
        <f t="shared" si="46"/>
        <v>0.44537146284801593</v>
      </c>
      <c r="R592" s="1">
        <f t="shared" si="47"/>
        <v>0.66736156830313198</v>
      </c>
      <c r="S592" s="1">
        <f t="shared" si="48"/>
        <v>0.23526445062307705</v>
      </c>
      <c r="T592" s="56">
        <f t="shared" si="49"/>
        <v>0.59214216779953177</v>
      </c>
    </row>
    <row r="593" spans="1:20" x14ac:dyDescent="0.25">
      <c r="A593">
        <v>0.59322182091705844</v>
      </c>
      <c r="B593">
        <v>-0.51530150813050568</v>
      </c>
      <c r="D593">
        <v>0.60879584430876721</v>
      </c>
      <c r="E593">
        <v>-7.7743641213601222E-3</v>
      </c>
      <c r="I593">
        <v>0.19490099116829074</v>
      </c>
      <c r="J593">
        <v>15</v>
      </c>
      <c r="K593">
        <v>-0.25102137139280484</v>
      </c>
      <c r="L593">
        <v>11.92565025936652</v>
      </c>
      <c r="M593">
        <v>15</v>
      </c>
      <c r="N593">
        <v>-0.46749551415814494</v>
      </c>
      <c r="O593">
        <v>162.29835205669249</v>
      </c>
      <c r="P593" s="1">
        <f t="shared" si="45"/>
        <v>6.2222857970021073</v>
      </c>
      <c r="Q593" s="1">
        <f t="shared" si="46"/>
        <v>0.82963810626694767</v>
      </c>
      <c r="R593" s="1">
        <f t="shared" si="47"/>
        <v>0.91084472127083638</v>
      </c>
      <c r="S593" s="1">
        <f t="shared" si="48"/>
        <v>0.23766305903744958</v>
      </c>
      <c r="T593" s="56">
        <f t="shared" si="49"/>
        <v>0.5930635283297877</v>
      </c>
    </row>
    <row r="594" spans="1:20" x14ac:dyDescent="0.25">
      <c r="A594">
        <v>0.59569336910993542</v>
      </c>
      <c r="B594">
        <v>-1.3492672223947011</v>
      </c>
      <c r="D594">
        <v>0.60912272512038756</v>
      </c>
      <c r="E594">
        <v>2.3541276698324509</v>
      </c>
      <c r="I594">
        <v>0.37384892315553897</v>
      </c>
      <c r="J594">
        <v>15</v>
      </c>
      <c r="K594">
        <v>0.25748120909459732</v>
      </c>
      <c r="L594">
        <v>12.267357855132037</v>
      </c>
      <c r="M594">
        <v>15</v>
      </c>
      <c r="N594">
        <v>-2.657930394889263E-2</v>
      </c>
      <c r="O594">
        <v>281.85864756747287</v>
      </c>
      <c r="P594" s="1">
        <f t="shared" si="45"/>
        <v>10.504500193664461</v>
      </c>
      <c r="Q594" s="1">
        <f t="shared" si="46"/>
        <v>1.400600025821928</v>
      </c>
      <c r="R594" s="1">
        <f t="shared" si="47"/>
        <v>1.1834694866459077</v>
      </c>
      <c r="S594" s="1">
        <f t="shared" si="48"/>
        <v>0.2400235208839655</v>
      </c>
      <c r="T594" s="56">
        <f t="shared" si="49"/>
        <v>0.59396970605890775</v>
      </c>
    </row>
    <row r="595" spans="1:20" x14ac:dyDescent="0.25">
      <c r="A595">
        <v>0.59576609547508452</v>
      </c>
      <c r="B595">
        <v>3.9062797441147268E-2</v>
      </c>
      <c r="D595">
        <v>0.60941557625048515</v>
      </c>
      <c r="E595">
        <v>0.64077607589752006</v>
      </c>
      <c r="I595">
        <v>3.9949176105450679E-2</v>
      </c>
      <c r="J595">
        <v>15</v>
      </c>
      <c r="K595">
        <v>-0.58517177118725761</v>
      </c>
      <c r="L595">
        <v>9.037960521616764</v>
      </c>
      <c r="M595">
        <v>15</v>
      </c>
      <c r="N595">
        <v>-0.77536720141324622</v>
      </c>
      <c r="O595">
        <v>122.56590205528198</v>
      </c>
      <c r="P595" s="1">
        <f t="shared" si="45"/>
        <v>4.7001379491749544</v>
      </c>
      <c r="Q595" s="1">
        <f t="shared" si="46"/>
        <v>0.6266850598899939</v>
      </c>
      <c r="R595" s="1">
        <f t="shared" si="47"/>
        <v>0.79163442313355337</v>
      </c>
      <c r="S595" s="1">
        <f t="shared" si="48"/>
        <v>0.240256644567238</v>
      </c>
      <c r="T595" s="56">
        <f t="shared" si="49"/>
        <v>0.59405917318385515</v>
      </c>
    </row>
    <row r="596" spans="1:20" x14ac:dyDescent="0.25">
      <c r="A596">
        <v>0.59619547037856435</v>
      </c>
      <c r="B596">
        <v>1.5353452909039333</v>
      </c>
      <c r="D596">
        <v>0.61229607247052242</v>
      </c>
      <c r="E596">
        <v>-1.0581861749869859</v>
      </c>
      <c r="I596">
        <v>0.20115435825587746</v>
      </c>
      <c r="J596">
        <v>15</v>
      </c>
      <c r="K596">
        <v>0.12407319142463773</v>
      </c>
      <c r="L596">
        <v>11.381674966291147</v>
      </c>
      <c r="M596">
        <v>15</v>
      </c>
      <c r="N596">
        <v>-0.10228973565062915</v>
      </c>
      <c r="O596">
        <v>169.44306349965731</v>
      </c>
      <c r="P596" s="1">
        <f t="shared" si="45"/>
        <v>6.4580263737838735</v>
      </c>
      <c r="Q596" s="1">
        <f t="shared" si="46"/>
        <v>0.86107018317118311</v>
      </c>
      <c r="R596" s="1">
        <f t="shared" si="47"/>
        <v>0.92793867425125842</v>
      </c>
      <c r="S596" s="1">
        <f t="shared" si="48"/>
        <v>0.2439416885581541</v>
      </c>
      <c r="T596" s="56">
        <f t="shared" si="49"/>
        <v>0.59547271118885658</v>
      </c>
    </row>
    <row r="597" spans="1:20" x14ac:dyDescent="0.25">
      <c r="A597">
        <v>0.59639251018807449</v>
      </c>
      <c r="B597">
        <v>-6.6794427766581066E-2</v>
      </c>
      <c r="D597">
        <v>0.61253176542913124</v>
      </c>
      <c r="E597">
        <v>-3.9761396271842386</v>
      </c>
      <c r="I597">
        <v>0.56541986838692337</v>
      </c>
      <c r="J597">
        <v>15</v>
      </c>
      <c r="K597">
        <v>0.56152695530424046</v>
      </c>
      <c r="L597">
        <v>18.467599017999166</v>
      </c>
      <c r="M597">
        <v>15</v>
      </c>
      <c r="N597">
        <v>0.31981062079466938</v>
      </c>
      <c r="O597">
        <v>184.93798360296495</v>
      </c>
      <c r="P597" s="1">
        <f t="shared" si="45"/>
        <v>7.2644850936058614</v>
      </c>
      <c r="Q597" s="1">
        <f t="shared" si="46"/>
        <v>0.96859801248078148</v>
      </c>
      <c r="R597" s="1">
        <f t="shared" si="47"/>
        <v>0.98417377148590046</v>
      </c>
      <c r="S597" s="1">
        <f t="shared" si="48"/>
        <v>0.24560330859521792</v>
      </c>
      <c r="T597" s="56">
        <f t="shared" si="49"/>
        <v>0.5961096601224416</v>
      </c>
    </row>
    <row r="598" spans="1:20" x14ac:dyDescent="0.25">
      <c r="A598">
        <v>0.59651337312375063</v>
      </c>
      <c r="B598">
        <v>-1.5037994671729393</v>
      </c>
      <c r="D598">
        <v>0.61321970083693544</v>
      </c>
      <c r="E598">
        <v>-2.192550031168139</v>
      </c>
      <c r="I598">
        <v>0.50935808829262441</v>
      </c>
      <c r="J598">
        <v>15</v>
      </c>
      <c r="K598">
        <v>0.15410061375102183</v>
      </c>
      <c r="L598">
        <v>11.908173438244351</v>
      </c>
      <c r="M598">
        <v>15</v>
      </c>
      <c r="N598">
        <v>-4.4478159679783857E-2</v>
      </c>
      <c r="O598">
        <v>124.0173393428842</v>
      </c>
      <c r="P598" s="1">
        <f t="shared" si="45"/>
        <v>4.8544825993260199</v>
      </c>
      <c r="Q598" s="1">
        <f t="shared" si="46"/>
        <v>0.64726434657680265</v>
      </c>
      <c r="R598" s="1">
        <f t="shared" si="47"/>
        <v>0.80452740573382753</v>
      </c>
      <c r="S598" s="1">
        <f t="shared" si="48"/>
        <v>0.24682661151819624</v>
      </c>
      <c r="T598" s="56">
        <f t="shared" si="49"/>
        <v>0.59657841736304951</v>
      </c>
    </row>
    <row r="599" spans="1:20" x14ac:dyDescent="0.25">
      <c r="A599">
        <v>0.59702144907448906</v>
      </c>
      <c r="B599">
        <v>-0.57720853874343447</v>
      </c>
      <c r="D599">
        <v>0.61518222594938221</v>
      </c>
      <c r="E599">
        <v>-0.4055430088101275</v>
      </c>
      <c r="I599">
        <v>0.52097272466122124</v>
      </c>
      <c r="J599">
        <v>15</v>
      </c>
      <c r="K599">
        <v>-3.6176137048945144E-2</v>
      </c>
      <c r="L599">
        <v>8.4327543734801456</v>
      </c>
      <c r="M599">
        <v>15</v>
      </c>
      <c r="N599">
        <v>-0.21121150325598137</v>
      </c>
      <c r="O599">
        <v>95.402898749337012</v>
      </c>
      <c r="P599" s="1">
        <f t="shared" si="45"/>
        <v>3.7084161829577558</v>
      </c>
      <c r="Q599" s="1">
        <f t="shared" si="46"/>
        <v>0.49445549106103409</v>
      </c>
      <c r="R599" s="1">
        <f t="shared" si="47"/>
        <v>0.70317529184481031</v>
      </c>
      <c r="S599" s="1">
        <f t="shared" si="48"/>
        <v>0.24892138309897591</v>
      </c>
      <c r="T599" s="56">
        <f t="shared" si="49"/>
        <v>0.59738077251253729</v>
      </c>
    </row>
    <row r="600" spans="1:20" x14ac:dyDescent="0.25">
      <c r="A600">
        <v>0.59783246478851892</v>
      </c>
      <c r="B600">
        <v>-4.5723709263256751E-2</v>
      </c>
      <c r="D600">
        <v>0.62015058972161652</v>
      </c>
      <c r="E600">
        <v>1.783165085953442</v>
      </c>
      <c r="I600">
        <v>0.25474793062810908</v>
      </c>
      <c r="J600">
        <v>15</v>
      </c>
      <c r="K600">
        <v>-0.18067506365089989</v>
      </c>
      <c r="L600">
        <v>10.019299506537942</v>
      </c>
      <c r="M600">
        <v>15</v>
      </c>
      <c r="N600">
        <v>-0.3596849217046838</v>
      </c>
      <c r="O600">
        <v>95.638682629373491</v>
      </c>
      <c r="P600" s="1">
        <f t="shared" si="45"/>
        <v>3.7734993619968371</v>
      </c>
      <c r="Q600" s="1">
        <f t="shared" si="46"/>
        <v>0.50313324826624495</v>
      </c>
      <c r="R600" s="1">
        <f t="shared" si="47"/>
        <v>0.70931886219544804</v>
      </c>
      <c r="S600" s="1">
        <f t="shared" si="48"/>
        <v>0.25236867027576515</v>
      </c>
      <c r="T600" s="56">
        <f t="shared" si="49"/>
        <v>0.59870023579589837</v>
      </c>
    </row>
    <row r="601" spans="1:20" x14ac:dyDescent="0.25">
      <c r="A601">
        <v>0.59861744412026596</v>
      </c>
      <c r="B601">
        <v>-0.10103462955157738</v>
      </c>
      <c r="D601">
        <v>0.62180130300966951</v>
      </c>
      <c r="E601">
        <v>-5.5512604149043909E-2</v>
      </c>
      <c r="I601">
        <v>0.31001386751956161</v>
      </c>
      <c r="J601">
        <v>15</v>
      </c>
      <c r="K601">
        <v>-1.8480174427774425E-3</v>
      </c>
      <c r="L601">
        <v>24.408896103812793</v>
      </c>
      <c r="M601">
        <v>15</v>
      </c>
      <c r="N601">
        <v>-0.20578773160195851</v>
      </c>
      <c r="O601">
        <v>111.40308964129329</v>
      </c>
      <c r="P601" s="1">
        <f t="shared" si="45"/>
        <v>4.8504280623252169</v>
      </c>
      <c r="Q601" s="1">
        <f t="shared" si="46"/>
        <v>0.64672374164336222</v>
      </c>
      <c r="R601" s="1">
        <f t="shared" si="47"/>
        <v>0.80419135884648885</v>
      </c>
      <c r="S601" s="1">
        <f t="shared" si="48"/>
        <v>0.25359600288631168</v>
      </c>
      <c r="T601" s="56">
        <f t="shared" si="49"/>
        <v>0.59916971694410648</v>
      </c>
    </row>
    <row r="602" spans="1:20" x14ac:dyDescent="0.25">
      <c r="A602">
        <v>0.59994848410991353</v>
      </c>
      <c r="B602">
        <v>-0.81888060776691418</v>
      </c>
      <c r="D602">
        <v>0.6231819193402246</v>
      </c>
      <c r="E602">
        <v>-0.16523177123417554</v>
      </c>
      <c r="I602">
        <v>0.18814383655675571</v>
      </c>
      <c r="J602">
        <v>15</v>
      </c>
      <c r="K602">
        <v>0.15996382292845132</v>
      </c>
      <c r="L602">
        <v>4.917118056406677</v>
      </c>
      <c r="M602">
        <v>15</v>
      </c>
      <c r="N602">
        <v>-7.1390820721717319E-3</v>
      </c>
      <c r="O602">
        <v>84.930085967670408</v>
      </c>
      <c r="P602" s="1">
        <f t="shared" si="45"/>
        <v>3.2088287151456103</v>
      </c>
      <c r="Q602" s="1">
        <f t="shared" si="46"/>
        <v>0.42784382868608134</v>
      </c>
      <c r="R602" s="1">
        <f t="shared" si="47"/>
        <v>0.65409772105250552</v>
      </c>
      <c r="S602" s="1">
        <f t="shared" si="48"/>
        <v>0.25547085645205819</v>
      </c>
      <c r="T602" s="56">
        <f t="shared" si="49"/>
        <v>0.59988659710973602</v>
      </c>
    </row>
    <row r="603" spans="1:20" x14ac:dyDescent="0.25">
      <c r="A603">
        <v>0.60007220735267786</v>
      </c>
      <c r="B603">
        <v>-1.1031397662009113</v>
      </c>
      <c r="D603">
        <v>0.6236285039364502</v>
      </c>
      <c r="E603">
        <v>1.3017922776725754</v>
      </c>
      <c r="I603">
        <v>0.83727418334981618</v>
      </c>
      <c r="J603">
        <v>15</v>
      </c>
      <c r="K603">
        <v>0.27785222300735768</v>
      </c>
      <c r="L603">
        <v>8.8727171322714291</v>
      </c>
      <c r="M603">
        <v>15</v>
      </c>
      <c r="N603">
        <v>3.7346577528296621E-2</v>
      </c>
      <c r="O603">
        <v>177.07421620072438</v>
      </c>
      <c r="P603" s="1">
        <f t="shared" si="45"/>
        <v>6.64096190474985</v>
      </c>
      <c r="Q603" s="1">
        <f t="shared" si="46"/>
        <v>0.88546158729998004</v>
      </c>
      <c r="R603" s="1">
        <f t="shared" si="47"/>
        <v>0.94098968501252978</v>
      </c>
      <c r="S603" s="1">
        <f t="shared" si="48"/>
        <v>0.2555879722271967</v>
      </c>
      <c r="T603" s="56">
        <f t="shared" si="49"/>
        <v>0.59993136644855449</v>
      </c>
    </row>
    <row r="604" spans="1:20" x14ac:dyDescent="0.25">
      <c r="A604">
        <v>0.60080965394646368</v>
      </c>
      <c r="B604">
        <v>-1.1476663530629594</v>
      </c>
      <c r="D604">
        <v>0.6249239824398215</v>
      </c>
      <c r="E604">
        <v>0.78508218962269893</v>
      </c>
      <c r="I604">
        <v>0.41267095598268999</v>
      </c>
      <c r="J604">
        <v>15</v>
      </c>
      <c r="K604">
        <v>0.10502473439070552</v>
      </c>
      <c r="L604">
        <v>5.036007761461792</v>
      </c>
      <c r="M604">
        <v>15</v>
      </c>
      <c r="N604">
        <v>-0.1615510461761005</v>
      </c>
      <c r="O604">
        <v>220.82902274076807</v>
      </c>
      <c r="P604" s="1">
        <f t="shared" si="45"/>
        <v>8.0666082322224959</v>
      </c>
      <c r="Q604" s="1">
        <f t="shared" si="46"/>
        <v>1.0755477642963327</v>
      </c>
      <c r="R604" s="1">
        <f t="shared" si="47"/>
        <v>1.0370861894251282</v>
      </c>
      <c r="S604" s="1">
        <f t="shared" si="48"/>
        <v>0.25704303392042355</v>
      </c>
      <c r="T604" s="56">
        <f t="shared" si="49"/>
        <v>0.60048747090407173</v>
      </c>
    </row>
    <row r="605" spans="1:20" x14ac:dyDescent="0.25">
      <c r="A605">
        <v>0.60152956201888186</v>
      </c>
      <c r="B605">
        <v>1.8051741790259257</v>
      </c>
      <c r="D605">
        <v>0.62539634089539919</v>
      </c>
      <c r="E605">
        <v>1.4509107552385103</v>
      </c>
      <c r="I605">
        <v>0.52242161715478441</v>
      </c>
      <c r="J605">
        <v>15</v>
      </c>
      <c r="K605">
        <v>3.7907436004995056E-2</v>
      </c>
      <c r="L605">
        <v>18.666185205374497</v>
      </c>
      <c r="M605">
        <v>15</v>
      </c>
      <c r="N605">
        <v>-0.22101494664639176</v>
      </c>
      <c r="O605">
        <v>190.7238740328263</v>
      </c>
      <c r="P605" s="1">
        <f t="shared" si="45"/>
        <v>7.478216401364314</v>
      </c>
      <c r="Q605" s="1">
        <f t="shared" si="46"/>
        <v>0.9970955201819085</v>
      </c>
      <c r="R605" s="1">
        <f t="shared" si="47"/>
        <v>0.99854670405640444</v>
      </c>
      <c r="S605" s="1">
        <f t="shared" si="48"/>
        <v>0.25929922115767279</v>
      </c>
      <c r="T605" s="56">
        <f t="shared" si="49"/>
        <v>0.60134932916202799</v>
      </c>
    </row>
    <row r="606" spans="1:20" x14ac:dyDescent="0.25">
      <c r="A606">
        <v>0.60315500240416786</v>
      </c>
      <c r="B606">
        <v>0.63840616348898038</v>
      </c>
      <c r="D606">
        <v>0.62652172773145998</v>
      </c>
      <c r="E606">
        <v>-0.10003464353758318</v>
      </c>
      <c r="I606">
        <v>0.31007475285538122</v>
      </c>
      <c r="J606">
        <v>15</v>
      </c>
      <c r="K606">
        <v>0.28103727345296647</v>
      </c>
      <c r="L606">
        <v>19.051299535448294</v>
      </c>
      <c r="M606">
        <v>15</v>
      </c>
      <c r="N606">
        <v>7.557445883321634E-2</v>
      </c>
      <c r="O606">
        <v>108.18175807642199</v>
      </c>
      <c r="P606" s="1">
        <f t="shared" si="45"/>
        <v>4.5440377718525102</v>
      </c>
      <c r="Q606" s="1">
        <f t="shared" si="46"/>
        <v>0.60587170291366799</v>
      </c>
      <c r="R606" s="1">
        <f t="shared" si="47"/>
        <v>0.77837760946321422</v>
      </c>
      <c r="S606" s="1">
        <f t="shared" si="48"/>
        <v>0.26396290453606658</v>
      </c>
      <c r="T606" s="56">
        <f t="shared" si="49"/>
        <v>0.6031291896818296</v>
      </c>
    </row>
    <row r="607" spans="1:20" x14ac:dyDescent="0.25">
      <c r="A607">
        <v>0.60468598588328437</v>
      </c>
      <c r="B607">
        <v>1.357871042273473</v>
      </c>
      <c r="D607">
        <v>0.62676628982795812</v>
      </c>
      <c r="E607">
        <v>-6.8866818344304193</v>
      </c>
      <c r="I607">
        <v>0.51684600150940563</v>
      </c>
      <c r="J607">
        <v>15</v>
      </c>
      <c r="K607">
        <v>0.56367017956896837</v>
      </c>
      <c r="L607">
        <v>21.468897063175426</v>
      </c>
      <c r="M607">
        <v>15</v>
      </c>
      <c r="N607">
        <v>0.34820186215256399</v>
      </c>
      <c r="O607">
        <v>117.60729848243548</v>
      </c>
      <c r="P607" s="1">
        <f t="shared" si="45"/>
        <v>4.9670069837718183</v>
      </c>
      <c r="Q607" s="1">
        <f t="shared" si="46"/>
        <v>0.66226759783624245</v>
      </c>
      <c r="R607" s="1">
        <f t="shared" si="47"/>
        <v>0.81379825376824355</v>
      </c>
      <c r="S607" s="1">
        <f t="shared" si="48"/>
        <v>0.26476871438184019</v>
      </c>
      <c r="T607" s="56">
        <f t="shared" si="49"/>
        <v>0.60343649291393642</v>
      </c>
    </row>
    <row r="608" spans="1:20" x14ac:dyDescent="0.25">
      <c r="A608">
        <v>0.60516791046301976</v>
      </c>
      <c r="B608">
        <v>-0.47705952965770848</v>
      </c>
      <c r="D608">
        <v>0.62911025872515025</v>
      </c>
      <c r="E608">
        <v>2.3767399818552803</v>
      </c>
      <c r="I608">
        <v>0.45477704025248789</v>
      </c>
      <c r="J608">
        <v>15</v>
      </c>
      <c r="K608">
        <v>0.27703875578784692</v>
      </c>
      <c r="L608">
        <v>8.6173710184652546</v>
      </c>
      <c r="M608">
        <v>15</v>
      </c>
      <c r="N608">
        <v>1.8297438373338082E-2</v>
      </c>
      <c r="O608">
        <v>187.03812068374646</v>
      </c>
      <c r="P608" s="1">
        <f t="shared" si="45"/>
        <v>6.9876961322218474</v>
      </c>
      <c r="Q608" s="1">
        <f t="shared" si="46"/>
        <v>0.93169281762957967</v>
      </c>
      <c r="R608" s="1">
        <f t="shared" si="47"/>
        <v>0.96524236211926573</v>
      </c>
      <c r="S608" s="1">
        <f t="shared" si="48"/>
        <v>0.26805839400419795</v>
      </c>
      <c r="T608" s="56">
        <f t="shared" si="49"/>
        <v>0.60469033878627565</v>
      </c>
    </row>
    <row r="609" spans="1:20" x14ac:dyDescent="0.25">
      <c r="A609">
        <v>0.60533185994195171</v>
      </c>
      <c r="B609">
        <v>-0.39245378502528183</v>
      </c>
      <c r="D609">
        <v>0.63415806772617311</v>
      </c>
      <c r="E609">
        <v>2.2995852725671284</v>
      </c>
      <c r="I609">
        <v>0.87481148870455716</v>
      </c>
      <c r="J609">
        <v>15</v>
      </c>
      <c r="K609">
        <v>0.27990783261581481</v>
      </c>
      <c r="L609">
        <v>19.882542620211584</v>
      </c>
      <c r="M609">
        <v>15</v>
      </c>
      <c r="N609">
        <v>5.6448467375957989E-2</v>
      </c>
      <c r="O609">
        <v>121.59198187327719</v>
      </c>
      <c r="P609" s="1">
        <f t="shared" si="45"/>
        <v>5.0526615890531712</v>
      </c>
      <c r="Q609" s="1">
        <f t="shared" si="46"/>
        <v>0.67368821187375616</v>
      </c>
      <c r="R609" s="1">
        <f t="shared" si="47"/>
        <v>0.82078511918391661</v>
      </c>
      <c r="S609" s="1">
        <f t="shared" si="48"/>
        <v>0.27225075116132241</v>
      </c>
      <c r="T609" s="56">
        <f t="shared" si="49"/>
        <v>0.60628657962138721</v>
      </c>
    </row>
    <row r="610" spans="1:20" x14ac:dyDescent="0.25">
      <c r="A610">
        <v>0.60539830303245268</v>
      </c>
      <c r="B610">
        <v>0.60692400438711047</v>
      </c>
      <c r="D610">
        <v>0.63461575998427833</v>
      </c>
      <c r="E610">
        <v>-2.8709330342735484</v>
      </c>
      <c r="I610">
        <v>0.93650256804981835</v>
      </c>
      <c r="J610">
        <v>15</v>
      </c>
      <c r="K610">
        <v>-0.3250506021383141</v>
      </c>
      <c r="L610">
        <v>11.353187159073702</v>
      </c>
      <c r="M610">
        <v>15</v>
      </c>
      <c r="N610">
        <v>-0.54730117312828952</v>
      </c>
      <c r="O610">
        <v>126.82355190568813</v>
      </c>
      <c r="P610" s="1">
        <f t="shared" si="45"/>
        <v>4.9348835380272087</v>
      </c>
      <c r="Q610" s="1">
        <f t="shared" si="46"/>
        <v>0.65798447173696117</v>
      </c>
      <c r="R610" s="1">
        <f t="shared" si="47"/>
        <v>0.81116242007193673</v>
      </c>
      <c r="S610" s="1">
        <f t="shared" si="48"/>
        <v>0.27399022130520478</v>
      </c>
      <c r="T610" s="56">
        <f t="shared" si="49"/>
        <v>0.60694833264950876</v>
      </c>
    </row>
    <row r="611" spans="1:20" x14ac:dyDescent="0.25">
      <c r="A611">
        <v>0.60656292737560835</v>
      </c>
      <c r="B611">
        <v>0.91723450168501586</v>
      </c>
      <c r="D611">
        <v>0.63470785303044264</v>
      </c>
      <c r="E611">
        <v>7.8108434956902784</v>
      </c>
      <c r="I611">
        <v>0.14870480825364829</v>
      </c>
      <c r="J611">
        <v>15</v>
      </c>
      <c r="K611">
        <v>1.811887765749513E-2</v>
      </c>
      <c r="L611">
        <v>4.1795750536085565</v>
      </c>
      <c r="M611">
        <v>15</v>
      </c>
      <c r="N611">
        <v>-0.31511240536019614</v>
      </c>
      <c r="O611">
        <v>298.16374007439606</v>
      </c>
      <c r="P611" s="1">
        <f t="shared" si="45"/>
        <v>10.797975540285879</v>
      </c>
      <c r="Q611" s="1">
        <f t="shared" si="46"/>
        <v>1.4397300720381172</v>
      </c>
      <c r="R611" s="1">
        <f t="shared" si="47"/>
        <v>1.1998875247447642</v>
      </c>
      <c r="S611" s="1">
        <f t="shared" si="48"/>
        <v>0.27771876625567471</v>
      </c>
      <c r="T611" s="56">
        <f t="shared" si="49"/>
        <v>0.60836569699854937</v>
      </c>
    </row>
    <row r="612" spans="1:20" x14ac:dyDescent="0.25">
      <c r="A612">
        <v>0.60668400650015875</v>
      </c>
      <c r="B612">
        <v>-4.9017216952051967E-2</v>
      </c>
      <c r="D612">
        <v>0.63623063020456394</v>
      </c>
      <c r="E612">
        <v>-5.9837173046162206</v>
      </c>
      <c r="I612">
        <v>0.89222720297892633</v>
      </c>
      <c r="J612">
        <v>15</v>
      </c>
      <c r="K612">
        <v>0.33701947662242066</v>
      </c>
      <c r="L612">
        <v>12.025055850823373</v>
      </c>
      <c r="M612">
        <v>15</v>
      </c>
      <c r="N612">
        <v>9.7154494369533495E-2</v>
      </c>
      <c r="O612">
        <v>142.17315166849784</v>
      </c>
      <c r="P612" s="1">
        <f t="shared" si="45"/>
        <v>5.5070788399757573</v>
      </c>
      <c r="Q612" s="1">
        <f t="shared" si="46"/>
        <v>0.73427717866343434</v>
      </c>
      <c r="R612" s="1">
        <f t="shared" si="47"/>
        <v>0.85689974831565585</v>
      </c>
      <c r="S612" s="1">
        <f t="shared" si="48"/>
        <v>0.27992187268624119</v>
      </c>
      <c r="T612" s="56">
        <f t="shared" si="49"/>
        <v>0.60920247217538037</v>
      </c>
    </row>
    <row r="613" spans="1:20" x14ac:dyDescent="0.25">
      <c r="A613">
        <v>0.60707217437793692</v>
      </c>
      <c r="B613">
        <v>-0.95469431471428834</v>
      </c>
      <c r="D613">
        <v>0.63647878228339483</v>
      </c>
      <c r="E613">
        <v>2.9936707016986475</v>
      </c>
      <c r="I613">
        <v>0.4746312445993317</v>
      </c>
      <c r="J613">
        <v>15</v>
      </c>
      <c r="K613">
        <v>0.10459946982640152</v>
      </c>
      <c r="L613">
        <v>24.196260579504365</v>
      </c>
      <c r="M613">
        <v>15</v>
      </c>
      <c r="N613">
        <v>-0.15494856938857993</v>
      </c>
      <c r="O613">
        <v>154.71354414719502</v>
      </c>
      <c r="P613" s="1">
        <f t="shared" si="45"/>
        <v>6.389635883096406</v>
      </c>
      <c r="Q613" s="1">
        <f t="shared" si="46"/>
        <v>0.85195145107952075</v>
      </c>
      <c r="R613" s="1">
        <f t="shared" si="47"/>
        <v>0.9230121619347823</v>
      </c>
      <c r="S613" s="1">
        <f t="shared" si="48"/>
        <v>0.28119677065893356</v>
      </c>
      <c r="T613" s="56">
        <f t="shared" si="49"/>
        <v>0.60968645575645697</v>
      </c>
    </row>
    <row r="614" spans="1:20" x14ac:dyDescent="0.25">
      <c r="A614">
        <v>0.60777949640879891</v>
      </c>
      <c r="B614">
        <v>1.0843564268725459</v>
      </c>
      <c r="D614">
        <v>0.63729825507389126</v>
      </c>
      <c r="E614">
        <v>-4.326026786429793</v>
      </c>
      <c r="I614">
        <v>0.62357638501669144</v>
      </c>
      <c r="J614">
        <v>15</v>
      </c>
      <c r="K614">
        <v>-0.17363633257142888</v>
      </c>
      <c r="L614">
        <v>18.899958178103891</v>
      </c>
      <c r="M614">
        <v>15</v>
      </c>
      <c r="N614">
        <v>-0.4242174361479556</v>
      </c>
      <c r="O614">
        <v>147.62460923064555</v>
      </c>
      <c r="P614" s="1">
        <f t="shared" si="45"/>
        <v>5.9473059788839091</v>
      </c>
      <c r="Q614" s="1">
        <f t="shared" si="46"/>
        <v>0.79297413051785459</v>
      </c>
      <c r="R614" s="1">
        <f t="shared" si="47"/>
        <v>0.89049094914988025</v>
      </c>
      <c r="S614" s="1">
        <f t="shared" si="48"/>
        <v>0.28139657546856317</v>
      </c>
      <c r="T614" s="56">
        <f t="shared" si="49"/>
        <v>0.60976229050507313</v>
      </c>
    </row>
    <row r="615" spans="1:20" x14ac:dyDescent="0.25">
      <c r="A615">
        <v>0.60909915687337712</v>
      </c>
      <c r="B615">
        <v>-0.17736965673975646</v>
      </c>
      <c r="D615">
        <v>0.63757052130696434</v>
      </c>
      <c r="E615">
        <v>0.66084748709727137</v>
      </c>
      <c r="I615">
        <v>0.75571009875125317</v>
      </c>
      <c r="J615">
        <v>15</v>
      </c>
      <c r="K615">
        <v>-6.9928015970314545E-3</v>
      </c>
      <c r="L615">
        <v>16.082009896473831</v>
      </c>
      <c r="M615">
        <v>15</v>
      </c>
      <c r="N615">
        <v>-0.2478279873230349</v>
      </c>
      <c r="O615">
        <v>134.88032277873776</v>
      </c>
      <c r="P615" s="1">
        <f t="shared" si="45"/>
        <v>5.3915118812575571</v>
      </c>
      <c r="Q615" s="1">
        <f t="shared" si="46"/>
        <v>0.71886825083434092</v>
      </c>
      <c r="R615" s="1">
        <f t="shared" si="47"/>
        <v>0.84786098555974432</v>
      </c>
      <c r="S615" s="1">
        <f t="shared" si="48"/>
        <v>0.28405032172462552</v>
      </c>
      <c r="T615" s="56">
        <f t="shared" si="49"/>
        <v>0.61076908565610888</v>
      </c>
    </row>
    <row r="616" spans="1:20" x14ac:dyDescent="0.25">
      <c r="A616">
        <v>0.60936649427330158</v>
      </c>
      <c r="B616">
        <v>-1.618036549189128</v>
      </c>
      <c r="D616">
        <v>0.63812311573847713</v>
      </c>
      <c r="E616">
        <v>3.2850386980953772</v>
      </c>
      <c r="I616">
        <v>0.97052067823766552</v>
      </c>
      <c r="J616">
        <v>15</v>
      </c>
      <c r="K616">
        <v>-9.8798409453593194E-3</v>
      </c>
      <c r="L616">
        <v>12.593662431881143</v>
      </c>
      <c r="M616">
        <v>15</v>
      </c>
      <c r="N616">
        <v>-0.15985415643626766</v>
      </c>
      <c r="O616">
        <v>45.642902534098468</v>
      </c>
      <c r="P616" s="1">
        <f t="shared" si="45"/>
        <v>2.0798773202135576</v>
      </c>
      <c r="Q616" s="1">
        <f t="shared" si="46"/>
        <v>0.27731697602847433</v>
      </c>
      <c r="R616" s="1">
        <f t="shared" si="47"/>
        <v>0.52660894032334304</v>
      </c>
      <c r="S616" s="1">
        <f t="shared" si="48"/>
        <v>0.28479257378126288</v>
      </c>
      <c r="T616" s="56">
        <f t="shared" si="49"/>
        <v>0.61105054604118991</v>
      </c>
    </row>
    <row r="617" spans="1:20" x14ac:dyDescent="0.25">
      <c r="A617">
        <v>0.6097743529735874</v>
      </c>
      <c r="B617">
        <v>0.14907186596246902</v>
      </c>
      <c r="D617">
        <v>0.64049940573255704</v>
      </c>
      <c r="E617">
        <v>7.1973165597682964</v>
      </c>
      <c r="I617">
        <v>0.74492491765942304</v>
      </c>
      <c r="J617">
        <v>15</v>
      </c>
      <c r="K617">
        <v>0.19994255732550906</v>
      </c>
      <c r="L617">
        <v>18.917426801599937</v>
      </c>
      <c r="M617">
        <v>15</v>
      </c>
      <c r="N617">
        <v>-8.3337912428760319E-2</v>
      </c>
      <c r="O617">
        <v>183.32616005652733</v>
      </c>
      <c r="P617" s="1">
        <f t="shared" si="45"/>
        <v>7.222985244933116</v>
      </c>
      <c r="Q617" s="1">
        <f t="shared" si="46"/>
        <v>0.96306469932441541</v>
      </c>
      <c r="R617" s="1">
        <f t="shared" si="47"/>
        <v>0.98135859874177256</v>
      </c>
      <c r="S617" s="1">
        <f t="shared" si="48"/>
        <v>0.2886615250709284</v>
      </c>
      <c r="T617" s="56">
        <f t="shared" si="49"/>
        <v>0.61251664600891542</v>
      </c>
    </row>
    <row r="618" spans="1:20" x14ac:dyDescent="0.25">
      <c r="A618">
        <v>0.61125564520572329</v>
      </c>
      <c r="B618">
        <v>0.70425016929220874</v>
      </c>
      <c r="D618">
        <v>0.64183149358399605</v>
      </c>
      <c r="E618">
        <v>-4.6388474891045917</v>
      </c>
      <c r="I618">
        <v>0.19634368275268588</v>
      </c>
      <c r="J618">
        <v>15</v>
      </c>
      <c r="K618">
        <v>-0.25479554703148705</v>
      </c>
      <c r="L618">
        <v>9.6766892821099191</v>
      </c>
      <c r="M618">
        <v>15</v>
      </c>
      <c r="N618">
        <v>-0.44630951720137091</v>
      </c>
      <c r="O618">
        <v>82.288709056215424</v>
      </c>
      <c r="P618" s="1">
        <f t="shared" si="45"/>
        <v>3.284478512083048</v>
      </c>
      <c r="Q618" s="1">
        <f t="shared" si="46"/>
        <v>0.43793046827773974</v>
      </c>
      <c r="R618" s="1">
        <f t="shared" si="47"/>
        <v>0.66176315119364248</v>
      </c>
      <c r="S618" s="1">
        <f t="shared" si="48"/>
        <v>0.28939956814525597</v>
      </c>
      <c r="T618" s="56">
        <f t="shared" si="49"/>
        <v>0.61279612867566646</v>
      </c>
    </row>
    <row r="619" spans="1:20" x14ac:dyDescent="0.25">
      <c r="A619">
        <v>0.6113485032419399</v>
      </c>
      <c r="B619">
        <v>-0.97381416708230972</v>
      </c>
      <c r="D619">
        <v>0.64226466447312591</v>
      </c>
      <c r="E619">
        <v>6.1344082917003107</v>
      </c>
      <c r="I619">
        <v>0.30475389231176331</v>
      </c>
      <c r="J619">
        <v>15</v>
      </c>
      <c r="K619">
        <v>0.39465574748949922</v>
      </c>
      <c r="L619">
        <v>5.5209831071115341</v>
      </c>
      <c r="M619">
        <v>15</v>
      </c>
      <c r="N619">
        <v>0.11561791893655027</v>
      </c>
      <c r="O619">
        <v>187.25929346701349</v>
      </c>
      <c r="P619" s="1">
        <f t="shared" si="45"/>
        <v>6.8850098776473221</v>
      </c>
      <c r="Q619" s="1">
        <f t="shared" si="46"/>
        <v>0.91800131701964294</v>
      </c>
      <c r="R619" s="1">
        <f t="shared" si="47"/>
        <v>0.9581238526514424</v>
      </c>
      <c r="S619" s="1">
        <f t="shared" si="48"/>
        <v>0.29123356837506958</v>
      </c>
      <c r="T619" s="56">
        <f t="shared" si="49"/>
        <v>0.61349036197919937</v>
      </c>
    </row>
    <row r="620" spans="1:20" x14ac:dyDescent="0.25">
      <c r="A620">
        <v>0.61362630242977012</v>
      </c>
      <c r="B620">
        <v>1.4297961570264306</v>
      </c>
      <c r="D620">
        <v>0.64232353781071994</v>
      </c>
      <c r="E620">
        <v>-3.5179998610601615</v>
      </c>
      <c r="I620">
        <v>0.84384362396618973</v>
      </c>
      <c r="J620">
        <v>15</v>
      </c>
      <c r="K620">
        <v>-0.15651342740360027</v>
      </c>
      <c r="L620">
        <v>9.4863288461826052</v>
      </c>
      <c r="M620">
        <v>15</v>
      </c>
      <c r="N620">
        <v>-0.3461709673047153</v>
      </c>
      <c r="O620">
        <v>79.287147678997442</v>
      </c>
      <c r="P620" s="1">
        <f t="shared" si="45"/>
        <v>3.1704813044707159</v>
      </c>
      <c r="Q620" s="1">
        <f t="shared" si="46"/>
        <v>0.42273084059609545</v>
      </c>
      <c r="R620" s="1">
        <f t="shared" si="47"/>
        <v>0.65017754544131667</v>
      </c>
      <c r="S620" s="1">
        <f t="shared" si="48"/>
        <v>0.29170115337093416</v>
      </c>
      <c r="T620" s="56">
        <f t="shared" si="49"/>
        <v>0.61366729812249277</v>
      </c>
    </row>
    <row r="621" spans="1:20" x14ac:dyDescent="0.25">
      <c r="A621">
        <v>0.61595138340415445</v>
      </c>
      <c r="B621">
        <v>-0.2875322024920024</v>
      </c>
      <c r="D621">
        <v>0.64382271347464182</v>
      </c>
      <c r="E621">
        <v>-1.233071774322525</v>
      </c>
      <c r="I621">
        <v>0.56141558693424698</v>
      </c>
      <c r="J621">
        <v>15</v>
      </c>
      <c r="K621">
        <v>-0.15786819555311618</v>
      </c>
      <c r="L621">
        <v>10.100934565394024</v>
      </c>
      <c r="M621">
        <v>15</v>
      </c>
      <c r="N621">
        <v>-0.37618747569467814</v>
      </c>
      <c r="O621">
        <v>104.71873337611395</v>
      </c>
      <c r="P621" s="1">
        <f t="shared" si="45"/>
        <v>4.1007024264824272</v>
      </c>
      <c r="Q621" s="1">
        <f t="shared" si="46"/>
        <v>0.54676032353099024</v>
      </c>
      <c r="R621" s="1">
        <f t="shared" si="47"/>
        <v>0.73943243337778353</v>
      </c>
      <c r="S621" s="1">
        <f t="shared" si="48"/>
        <v>0.29525250758106852</v>
      </c>
      <c r="T621" s="56">
        <f t="shared" si="49"/>
        <v>0.61501032968648106</v>
      </c>
    </row>
    <row r="622" spans="1:20" x14ac:dyDescent="0.25">
      <c r="A622">
        <v>0.61616977682819385</v>
      </c>
      <c r="B622">
        <v>0.76067408372182399</v>
      </c>
      <c r="D622">
        <v>0.64385844349691546</v>
      </c>
      <c r="E622">
        <v>1.6172834841654549</v>
      </c>
      <c r="I622">
        <v>0.17495115911967463</v>
      </c>
      <c r="J622">
        <v>15</v>
      </c>
      <c r="K622">
        <v>0.42976709361634374</v>
      </c>
      <c r="L622">
        <v>7.3494346935798474</v>
      </c>
      <c r="M622">
        <v>15</v>
      </c>
      <c r="N622">
        <v>0.15099339748303464</v>
      </c>
      <c r="O622">
        <v>177.26716719540727</v>
      </c>
      <c r="P622" s="1">
        <f t="shared" si="45"/>
        <v>6.5934500674638254</v>
      </c>
      <c r="Q622" s="1">
        <f t="shared" si="46"/>
        <v>0.87912667566184333</v>
      </c>
      <c r="R622" s="1">
        <f t="shared" si="47"/>
        <v>0.93761755298300775</v>
      </c>
      <c r="S622" s="1">
        <f t="shared" si="48"/>
        <v>0.29732132813256029</v>
      </c>
      <c r="T622" s="56">
        <f t="shared" si="49"/>
        <v>0.61579203599624521</v>
      </c>
    </row>
    <row r="623" spans="1:20" x14ac:dyDescent="0.25">
      <c r="A623">
        <v>0.61753719406493124</v>
      </c>
      <c r="B623">
        <v>-0.35830566957884002</v>
      </c>
      <c r="D623">
        <v>0.64461316740830965</v>
      </c>
      <c r="E623">
        <v>0.20555557625812071</v>
      </c>
      <c r="I623">
        <v>0.62206850088077237</v>
      </c>
      <c r="J623">
        <v>15</v>
      </c>
      <c r="K623">
        <v>-8.1293061763669058E-2</v>
      </c>
      <c r="L623">
        <v>15.433973129853523</v>
      </c>
      <c r="M623">
        <v>15</v>
      </c>
      <c r="N623">
        <v>-0.20799757635359128</v>
      </c>
      <c r="O623">
        <v>22.409539923318853</v>
      </c>
      <c r="P623" s="1">
        <f t="shared" si="45"/>
        <v>1.3515540376132991</v>
      </c>
      <c r="Q623" s="1">
        <f t="shared" si="46"/>
        <v>0.18020720501510654</v>
      </c>
      <c r="R623" s="1">
        <f t="shared" si="47"/>
        <v>0.42450819192932726</v>
      </c>
      <c r="S623" s="1">
        <f t="shared" si="48"/>
        <v>0.29847366199005215</v>
      </c>
      <c r="T623" s="56">
        <f t="shared" si="49"/>
        <v>0.61622723171774463</v>
      </c>
    </row>
    <row r="624" spans="1:20" x14ac:dyDescent="0.25">
      <c r="A624">
        <v>0.62029197402068781</v>
      </c>
      <c r="B624">
        <v>-0.44152443479106296</v>
      </c>
      <c r="D624">
        <v>0.644910300706387</v>
      </c>
      <c r="E624">
        <v>-0.69773637164871616</v>
      </c>
      <c r="I624">
        <v>0.6751242346286056</v>
      </c>
      <c r="J624">
        <v>15</v>
      </c>
      <c r="K624">
        <v>0.22650450167323774</v>
      </c>
      <c r="L624">
        <v>13.188208753340371</v>
      </c>
      <c r="M624">
        <v>15</v>
      </c>
      <c r="N624">
        <v>-1.3044658544458798E-2</v>
      </c>
      <c r="O624">
        <v>120.02749819650802</v>
      </c>
      <c r="P624" s="1">
        <f t="shared" si="45"/>
        <v>4.7577038196374426</v>
      </c>
      <c r="Q624" s="1">
        <f t="shared" si="46"/>
        <v>0.63436050928499232</v>
      </c>
      <c r="R624" s="1">
        <f t="shared" si="47"/>
        <v>0.79646751929064397</v>
      </c>
      <c r="S624" s="1">
        <f t="shared" si="48"/>
        <v>0.30076450629279355</v>
      </c>
      <c r="T624" s="56">
        <f t="shared" si="49"/>
        <v>0.61709194311861104</v>
      </c>
    </row>
    <row r="625" spans="1:20" x14ac:dyDescent="0.25">
      <c r="A625">
        <v>0.62138379420077916</v>
      </c>
      <c r="B625">
        <v>-0.61661012296099216</v>
      </c>
      <c r="D625">
        <v>0.6472425380790332</v>
      </c>
      <c r="E625">
        <v>-2.4465036892706848</v>
      </c>
      <c r="I625">
        <v>0.71944785728711214</v>
      </c>
      <c r="J625">
        <v>15</v>
      </c>
      <c r="K625">
        <v>-3.4523964131949469E-2</v>
      </c>
      <c r="L625">
        <v>11.328198911699403</v>
      </c>
      <c r="M625">
        <v>15</v>
      </c>
      <c r="N625">
        <v>-0.24606675083305163</v>
      </c>
      <c r="O625">
        <v>92.347522328924754</v>
      </c>
      <c r="P625" s="1">
        <f t="shared" si="45"/>
        <v>3.7027043300222915</v>
      </c>
      <c r="Q625" s="1">
        <f t="shared" si="46"/>
        <v>0.49369391066963886</v>
      </c>
      <c r="R625" s="1">
        <f t="shared" si="47"/>
        <v>0.70263355361784341</v>
      </c>
      <c r="S625" s="1">
        <f t="shared" si="48"/>
        <v>0.30107128475700229</v>
      </c>
      <c r="T625" s="56">
        <f t="shared" si="49"/>
        <v>0.61720769437402612</v>
      </c>
    </row>
    <row r="626" spans="1:20" x14ac:dyDescent="0.25">
      <c r="A626">
        <v>0.62188095208323457</v>
      </c>
      <c r="B626">
        <v>0.15565092326141894</v>
      </c>
      <c r="D626">
        <v>0.64908115407516376</v>
      </c>
      <c r="E626">
        <v>1.9953797584548738</v>
      </c>
      <c r="I626">
        <v>0.41222465454837476</v>
      </c>
      <c r="J626">
        <v>15</v>
      </c>
      <c r="K626">
        <v>-0.20940622865358213</v>
      </c>
      <c r="L626">
        <v>10.605776816452943</v>
      </c>
      <c r="M626">
        <v>15</v>
      </c>
      <c r="N626">
        <v>-0.44498756665234396</v>
      </c>
      <c r="O626">
        <v>117.72518154153813</v>
      </c>
      <c r="P626" s="1">
        <f t="shared" si="45"/>
        <v>4.5832485127853957</v>
      </c>
      <c r="Q626" s="1">
        <f t="shared" si="46"/>
        <v>0.61109980170471945</v>
      </c>
      <c r="R626" s="1">
        <f t="shared" si="47"/>
        <v>0.78172872641647206</v>
      </c>
      <c r="S626" s="1">
        <f t="shared" si="48"/>
        <v>0.30135944866538528</v>
      </c>
      <c r="T626" s="56">
        <f t="shared" si="49"/>
        <v>0.61731641207831633</v>
      </c>
    </row>
    <row r="627" spans="1:20" x14ac:dyDescent="0.25">
      <c r="A627">
        <v>0.6231265632965991</v>
      </c>
      <c r="B627">
        <v>-0.47843059292063117</v>
      </c>
      <c r="D627">
        <v>0.64943942603876614</v>
      </c>
      <c r="E627">
        <v>-1.6373785490486625</v>
      </c>
      <c r="I627">
        <v>0.45407938264248926</v>
      </c>
      <c r="J627">
        <v>15</v>
      </c>
      <c r="K627">
        <v>4.8176616473938338E-2</v>
      </c>
      <c r="L627">
        <v>15.276343250527821</v>
      </c>
      <c r="M627">
        <v>15</v>
      </c>
      <c r="N627">
        <v>-0.26854809561882576</v>
      </c>
      <c r="O627">
        <v>189.08734777226135</v>
      </c>
      <c r="P627" s="1">
        <f t="shared" si="45"/>
        <v>7.2987032508138991</v>
      </c>
      <c r="Q627" s="1">
        <f t="shared" si="46"/>
        <v>0.97316043344185321</v>
      </c>
      <c r="R627" s="1">
        <f t="shared" si="47"/>
        <v>0.9864889423819474</v>
      </c>
      <c r="S627" s="1">
        <f t="shared" si="48"/>
        <v>0.32106260748144816</v>
      </c>
      <c r="T627" s="56">
        <f t="shared" si="49"/>
        <v>0.62472640686386227</v>
      </c>
    </row>
    <row r="628" spans="1:20" x14ac:dyDescent="0.25">
      <c r="A628">
        <v>0.62434814743897082</v>
      </c>
      <c r="B628">
        <v>0.40122586142388172</v>
      </c>
      <c r="D628">
        <v>0.6495587751312889</v>
      </c>
      <c r="E628">
        <v>-8.1603927844753343</v>
      </c>
      <c r="I628">
        <v>0.10841991431520226</v>
      </c>
      <c r="J628">
        <v>15</v>
      </c>
      <c r="K628">
        <v>-0.299860175800859</v>
      </c>
      <c r="L628">
        <v>14.877737349382258</v>
      </c>
      <c r="M628">
        <v>15</v>
      </c>
      <c r="N628">
        <v>-0.560006131991031</v>
      </c>
      <c r="O628">
        <v>122.73634990491207</v>
      </c>
      <c r="P628" s="1">
        <f t="shared" si="45"/>
        <v>4.9147888305105116</v>
      </c>
      <c r="Q628" s="1">
        <f t="shared" si="46"/>
        <v>0.6553051774014016</v>
      </c>
      <c r="R628" s="1">
        <f t="shared" si="47"/>
        <v>0.80950922008424442</v>
      </c>
      <c r="S628" s="1">
        <f t="shared" si="48"/>
        <v>0.32136256108744382</v>
      </c>
      <c r="T628" s="56">
        <f t="shared" si="49"/>
        <v>0.62483884797057454</v>
      </c>
    </row>
    <row r="629" spans="1:20" x14ac:dyDescent="0.25">
      <c r="A629">
        <v>0.62512744472593018</v>
      </c>
      <c r="B629">
        <v>-0.54053998610470444</v>
      </c>
      <c r="D629">
        <v>0.65240614013106146</v>
      </c>
      <c r="E629">
        <v>0.13626572240355017</v>
      </c>
      <c r="I629">
        <v>0.41934875041947928</v>
      </c>
      <c r="J629">
        <v>15</v>
      </c>
      <c r="K629">
        <v>3.1780473364051431E-2</v>
      </c>
      <c r="L629">
        <v>24.165924255556028</v>
      </c>
      <c r="M629">
        <v>15</v>
      </c>
      <c r="N629">
        <v>-0.23688312808189949</v>
      </c>
      <c r="O629">
        <v>120.39762100751371</v>
      </c>
      <c r="P629" s="1">
        <f t="shared" si="45"/>
        <v>5.1629837593953471</v>
      </c>
      <c r="Q629" s="1">
        <f t="shared" si="46"/>
        <v>0.68839783458604631</v>
      </c>
      <c r="R629" s="1">
        <f t="shared" si="47"/>
        <v>0.82969743556675302</v>
      </c>
      <c r="S629" s="1">
        <f t="shared" si="48"/>
        <v>0.32380912598871797</v>
      </c>
      <c r="T629" s="56">
        <f t="shared" si="49"/>
        <v>0.62575555289451967</v>
      </c>
    </row>
    <row r="630" spans="1:20" x14ac:dyDescent="0.25">
      <c r="A630">
        <v>0.62687443827989864</v>
      </c>
      <c r="B630">
        <v>-0.51914980758738238</v>
      </c>
      <c r="D630">
        <v>0.65370210894381198</v>
      </c>
      <c r="E630">
        <v>0.76908986216039921</v>
      </c>
      <c r="I630">
        <v>0.70123984129993688</v>
      </c>
      <c r="J630">
        <v>15</v>
      </c>
      <c r="K630">
        <v>-0.2978016103346211</v>
      </c>
      <c r="L630">
        <v>18.297928632151162</v>
      </c>
      <c r="M630">
        <v>15</v>
      </c>
      <c r="N630">
        <v>-0.57062289101850183</v>
      </c>
      <c r="O630">
        <v>129.35070224709784</v>
      </c>
      <c r="P630" s="1">
        <f t="shared" si="45"/>
        <v>5.2731653885446068</v>
      </c>
      <c r="Q630" s="1">
        <f t="shared" si="46"/>
        <v>0.70308871847261423</v>
      </c>
      <c r="R630" s="1">
        <f t="shared" si="47"/>
        <v>0.83850385716024833</v>
      </c>
      <c r="S630" s="1">
        <f t="shared" si="48"/>
        <v>0.32536675693757872</v>
      </c>
      <c r="T630" s="56">
        <f t="shared" si="49"/>
        <v>0.6263387926618218</v>
      </c>
    </row>
    <row r="631" spans="1:20" x14ac:dyDescent="0.25">
      <c r="A631">
        <v>0.62787142271052765</v>
      </c>
      <c r="B631">
        <v>-0.15998807612049859</v>
      </c>
      <c r="D631">
        <v>0.65652498635679257</v>
      </c>
      <c r="E631">
        <v>1.6552810359371506</v>
      </c>
      <c r="I631">
        <v>0.26470049666515916</v>
      </c>
      <c r="J631">
        <v>15</v>
      </c>
      <c r="K631">
        <v>0.43283398554194719</v>
      </c>
      <c r="L631">
        <v>19.024367190094789</v>
      </c>
      <c r="M631">
        <v>15</v>
      </c>
      <c r="N631">
        <v>0.22663379809273465</v>
      </c>
      <c r="O631">
        <v>65.318593862886374</v>
      </c>
      <c r="P631" s="1">
        <f t="shared" si="45"/>
        <v>3.0122486090350415</v>
      </c>
      <c r="Q631" s="1">
        <f t="shared" si="46"/>
        <v>0.40163314787133886</v>
      </c>
      <c r="R631" s="1">
        <f t="shared" si="47"/>
        <v>0.63374533360912322</v>
      </c>
      <c r="S631" s="1">
        <f t="shared" si="48"/>
        <v>0.32536758302411606</v>
      </c>
      <c r="T631" s="56">
        <f t="shared" si="49"/>
        <v>0.62633910190111219</v>
      </c>
    </row>
    <row r="632" spans="1:20" x14ac:dyDescent="0.25">
      <c r="A632">
        <v>0.62845870089397604</v>
      </c>
      <c r="B632">
        <v>-0.82746851148840506</v>
      </c>
      <c r="D632">
        <v>0.65727699517969829</v>
      </c>
      <c r="E632">
        <v>8.7523887907536846</v>
      </c>
      <c r="I632">
        <v>0.23262563535303582</v>
      </c>
      <c r="J632">
        <v>15</v>
      </c>
      <c r="K632">
        <v>0.3911187225943043</v>
      </c>
      <c r="L632">
        <v>16.648884589176514</v>
      </c>
      <c r="M632">
        <v>15</v>
      </c>
      <c r="N632">
        <v>9.8018514336217777E-2</v>
      </c>
      <c r="O632">
        <v>151.4714208737727</v>
      </c>
      <c r="P632" s="1">
        <f t="shared" si="45"/>
        <v>6.0042966236767574</v>
      </c>
      <c r="Q632" s="1">
        <f t="shared" si="46"/>
        <v>0.80057288315690101</v>
      </c>
      <c r="R632" s="1">
        <f t="shared" si="47"/>
        <v>0.89474738510760732</v>
      </c>
      <c r="S632" s="1">
        <f t="shared" si="48"/>
        <v>0.32757872572361491</v>
      </c>
      <c r="T632" s="56">
        <f t="shared" si="49"/>
        <v>0.62716651861448014</v>
      </c>
    </row>
    <row r="633" spans="1:20" x14ac:dyDescent="0.25">
      <c r="A633">
        <v>0.6317216842256006</v>
      </c>
      <c r="B633">
        <v>0.81855887401616201</v>
      </c>
      <c r="D633">
        <v>0.6576939616247276</v>
      </c>
      <c r="E633">
        <v>4.2184940377865132</v>
      </c>
      <c r="I633">
        <v>0.18617608903958538</v>
      </c>
      <c r="J633">
        <v>15</v>
      </c>
      <c r="K633">
        <v>6.0155495399764425E-4</v>
      </c>
      <c r="L633">
        <v>7.9252056761953353</v>
      </c>
      <c r="M633">
        <v>15</v>
      </c>
      <c r="N633">
        <v>-0.31276727327167464</v>
      </c>
      <c r="O633">
        <v>183.23028768482848</v>
      </c>
      <c r="P633" s="1">
        <f t="shared" si="45"/>
        <v>6.8269819057508503</v>
      </c>
      <c r="Q633" s="1">
        <f t="shared" si="46"/>
        <v>0.91026425410011336</v>
      </c>
      <c r="R633" s="1">
        <f t="shared" si="47"/>
        <v>0.95407769814628485</v>
      </c>
      <c r="S633" s="1">
        <f t="shared" si="48"/>
        <v>0.32845210493288851</v>
      </c>
      <c r="T633" s="56">
        <f t="shared" si="49"/>
        <v>0.62749316983503001</v>
      </c>
    </row>
    <row r="634" spans="1:20" x14ac:dyDescent="0.25">
      <c r="A634">
        <v>0.63236686870596759</v>
      </c>
      <c r="B634">
        <v>3.1366653274744749</v>
      </c>
      <c r="D634">
        <v>0.65975824393415416</v>
      </c>
      <c r="E634">
        <v>10.626529953015051</v>
      </c>
      <c r="I634">
        <v>0.28300741235938032</v>
      </c>
      <c r="J634">
        <v>15</v>
      </c>
      <c r="K634">
        <v>-0.44097305362811312</v>
      </c>
      <c r="L634">
        <v>12.965479263343795</v>
      </c>
      <c r="M634">
        <v>15</v>
      </c>
      <c r="N634">
        <v>-0.72588659691064095</v>
      </c>
      <c r="O634">
        <v>140.63166810136329</v>
      </c>
      <c r="P634" s="1">
        <f t="shared" si="45"/>
        <v>5.4856124058823967</v>
      </c>
      <c r="Q634" s="1">
        <f t="shared" si="46"/>
        <v>0.73141498745098621</v>
      </c>
      <c r="R634" s="1">
        <f t="shared" si="47"/>
        <v>0.8552280324281859</v>
      </c>
      <c r="S634" s="1">
        <f t="shared" si="48"/>
        <v>0.33314336349990048</v>
      </c>
      <c r="T634" s="56">
        <f t="shared" si="49"/>
        <v>0.62924608055326403</v>
      </c>
    </row>
    <row r="635" spans="1:20" x14ac:dyDescent="0.25">
      <c r="A635">
        <v>0.63409083477950789</v>
      </c>
      <c r="B635">
        <v>0.23575466912006959</v>
      </c>
      <c r="D635">
        <v>0.66110475953520598</v>
      </c>
      <c r="E635">
        <v>4.9620195989064086</v>
      </c>
      <c r="I635">
        <v>1.9057103581610946E-2</v>
      </c>
      <c r="J635">
        <v>15</v>
      </c>
      <c r="K635">
        <v>0.32161597118829377</v>
      </c>
      <c r="L635">
        <v>10.879065999791845</v>
      </c>
      <c r="M635">
        <v>15</v>
      </c>
      <c r="N635">
        <v>6.450557066273177E-4</v>
      </c>
      <c r="O635">
        <v>183.74144044955486</v>
      </c>
      <c r="P635" s="1">
        <f t="shared" si="45"/>
        <v>6.9507323731909532</v>
      </c>
      <c r="Q635" s="1">
        <f t="shared" si="46"/>
        <v>0.92676431642546042</v>
      </c>
      <c r="R635" s="1">
        <f t="shared" si="47"/>
        <v>0.96268599056258242</v>
      </c>
      <c r="S635" s="1">
        <f t="shared" si="48"/>
        <v>0.33341184833706244</v>
      </c>
      <c r="T635" s="56">
        <f t="shared" si="49"/>
        <v>0.62934631606874358</v>
      </c>
    </row>
    <row r="636" spans="1:20" x14ac:dyDescent="0.25">
      <c r="A636">
        <v>0.63422980960886044</v>
      </c>
      <c r="B636">
        <v>0.76128571890876628</v>
      </c>
      <c r="D636">
        <v>0.66144202767243332</v>
      </c>
      <c r="E636">
        <v>-2.0499867366652325</v>
      </c>
      <c r="I636">
        <v>0.13422424565241764</v>
      </c>
      <c r="J636">
        <v>15</v>
      </c>
      <c r="K636">
        <v>0.25928549500046455</v>
      </c>
      <c r="L636">
        <v>6.9854456034751324</v>
      </c>
      <c r="M636">
        <v>15</v>
      </c>
      <c r="N636">
        <v>-5.5032618320183246E-2</v>
      </c>
      <c r="O636">
        <v>176.84968866756819</v>
      </c>
      <c r="P636" s="1">
        <f t="shared" si="45"/>
        <v>6.5655405096801189</v>
      </c>
      <c r="Q636" s="1">
        <f t="shared" si="46"/>
        <v>0.87540540129068256</v>
      </c>
      <c r="R636" s="1">
        <f t="shared" si="47"/>
        <v>0.93563101770445944</v>
      </c>
      <c r="S636" s="1">
        <f t="shared" si="48"/>
        <v>0.33594238259844905</v>
      </c>
      <c r="T636" s="56">
        <f t="shared" si="49"/>
        <v>0.63029060429737904</v>
      </c>
    </row>
    <row r="637" spans="1:20" x14ac:dyDescent="0.25">
      <c r="A637">
        <v>0.63570188313706166</v>
      </c>
      <c r="B637">
        <v>-0.73047203841269948</v>
      </c>
      <c r="D637">
        <v>0.66185171567731016</v>
      </c>
      <c r="E637">
        <v>-1.6727202591937385E-2</v>
      </c>
      <c r="I637">
        <v>0.71955546910493562</v>
      </c>
      <c r="J637">
        <v>15</v>
      </c>
      <c r="K637">
        <v>-8.4669636635226198E-2</v>
      </c>
      <c r="L637">
        <v>5.6398389867468701</v>
      </c>
      <c r="M637">
        <v>15</v>
      </c>
      <c r="N637">
        <v>-0.40321720348401868</v>
      </c>
      <c r="O637">
        <v>182.91936994065205</v>
      </c>
      <c r="P637" s="1">
        <f t="shared" si="45"/>
        <v>6.7342574616928186</v>
      </c>
      <c r="Q637" s="1">
        <f t="shared" si="46"/>
        <v>0.89790099489237585</v>
      </c>
      <c r="R637" s="1">
        <f t="shared" si="47"/>
        <v>0.94757637945042505</v>
      </c>
      <c r="S637" s="1">
        <f t="shared" si="48"/>
        <v>0.33617086047833272</v>
      </c>
      <c r="T637" s="56">
        <f t="shared" si="49"/>
        <v>0.63037582190794261</v>
      </c>
    </row>
    <row r="638" spans="1:20" x14ac:dyDescent="0.25">
      <c r="A638">
        <v>0.6357751529153659</v>
      </c>
      <c r="B638">
        <v>0.35912080420530401</v>
      </c>
      <c r="D638">
        <v>0.66436735674878433</v>
      </c>
      <c r="E638">
        <v>2.0327190634361614</v>
      </c>
      <c r="I638">
        <v>0.69907198743878907</v>
      </c>
      <c r="J638">
        <v>15</v>
      </c>
      <c r="K638">
        <v>-0.11838217991074391</v>
      </c>
      <c r="L638">
        <v>12.718626340073206</v>
      </c>
      <c r="M638">
        <v>15</v>
      </c>
      <c r="N638">
        <v>-0.43445357164273446</v>
      </c>
      <c r="O638">
        <v>168.7397819048405</v>
      </c>
      <c r="P638" s="1">
        <f t="shared" si="45"/>
        <v>6.4806574373183468</v>
      </c>
      <c r="Q638" s="1">
        <f t="shared" si="46"/>
        <v>0.86408765830911294</v>
      </c>
      <c r="R638" s="1">
        <f t="shared" si="47"/>
        <v>0.92956315455654381</v>
      </c>
      <c r="S638" s="1">
        <f t="shared" si="48"/>
        <v>0.34002142854164136</v>
      </c>
      <c r="T638" s="56">
        <f t="shared" si="49"/>
        <v>0.63181098671489699</v>
      </c>
    </row>
    <row r="639" spans="1:20" x14ac:dyDescent="0.25">
      <c r="A639">
        <v>0.63639588777167033</v>
      </c>
      <c r="B639">
        <v>-1.545367922517471</v>
      </c>
      <c r="D639">
        <v>0.66437216857841119</v>
      </c>
      <c r="E639">
        <v>-3.3927760830465559</v>
      </c>
      <c r="I639">
        <v>4.1643655279539948E-2</v>
      </c>
      <c r="J639">
        <v>15</v>
      </c>
      <c r="K639">
        <v>-0.14922943591955118</v>
      </c>
      <c r="L639">
        <v>20.429131090708417</v>
      </c>
      <c r="M639">
        <v>15</v>
      </c>
      <c r="N639">
        <v>-0.40134728237717354</v>
      </c>
      <c r="O639">
        <v>94.936680024762239</v>
      </c>
      <c r="P639" s="1">
        <f t="shared" si="45"/>
        <v>4.1202075398382378</v>
      </c>
      <c r="Q639" s="1">
        <f t="shared" si="46"/>
        <v>0.54936100531176502</v>
      </c>
      <c r="R639" s="1">
        <f t="shared" si="47"/>
        <v>0.74118891337618176</v>
      </c>
      <c r="S639" s="1">
        <f t="shared" si="48"/>
        <v>0.34015328873337169</v>
      </c>
      <c r="T639" s="56">
        <f t="shared" si="49"/>
        <v>0.63186009880848293</v>
      </c>
    </row>
    <row r="640" spans="1:20" x14ac:dyDescent="0.25">
      <c r="A640">
        <v>0.63792489586073631</v>
      </c>
      <c r="B640">
        <v>-0.24701648726477288</v>
      </c>
      <c r="D640">
        <v>0.66547826806087695</v>
      </c>
      <c r="E640">
        <v>-1.0543083169523015</v>
      </c>
      <c r="I640">
        <v>0.21259213396707743</v>
      </c>
      <c r="J640">
        <v>15</v>
      </c>
      <c r="K640">
        <v>0.43471360792561126</v>
      </c>
      <c r="L640">
        <v>10.115238152110276</v>
      </c>
      <c r="M640">
        <v>15</v>
      </c>
      <c r="N640">
        <v>5.2200672371327528E-2</v>
      </c>
      <c r="O640">
        <v>250.45001514857208</v>
      </c>
      <c r="P640" s="1">
        <f t="shared" si="45"/>
        <v>9.3059019035957977</v>
      </c>
      <c r="Q640" s="1">
        <f t="shared" si="46"/>
        <v>1.2407869204794397</v>
      </c>
      <c r="R640" s="1">
        <f t="shared" si="47"/>
        <v>1.1139061542515329</v>
      </c>
      <c r="S640" s="1">
        <f t="shared" si="48"/>
        <v>0.34339781147120574</v>
      </c>
      <c r="T640" s="56">
        <f t="shared" si="49"/>
        <v>0.63306782247785831</v>
      </c>
    </row>
    <row r="641" spans="1:20" x14ac:dyDescent="0.25">
      <c r="A641">
        <v>0.63843143118398127</v>
      </c>
      <c r="B641">
        <v>-0.9565064829075709</v>
      </c>
      <c r="D641">
        <v>0.66598826779772158</v>
      </c>
      <c r="E641">
        <v>-0.90903700197486614</v>
      </c>
      <c r="I641">
        <v>0.53820632109223199</v>
      </c>
      <c r="J641">
        <v>15</v>
      </c>
      <c r="K641">
        <v>-0.15396600853515943</v>
      </c>
      <c r="L641">
        <v>15.53630038226669</v>
      </c>
      <c r="M641">
        <v>15</v>
      </c>
      <c r="N641">
        <v>-0.41821613535830693</v>
      </c>
      <c r="O641">
        <v>104.74671064116663</v>
      </c>
      <c r="P641" s="1">
        <f t="shared" si="45"/>
        <v>4.2958218222654754</v>
      </c>
      <c r="Q641" s="1">
        <f t="shared" si="46"/>
        <v>0.57277624296873009</v>
      </c>
      <c r="R641" s="1">
        <f t="shared" si="47"/>
        <v>0.75681982199776587</v>
      </c>
      <c r="S641" s="1">
        <f t="shared" si="48"/>
        <v>0.34915857003534928</v>
      </c>
      <c r="T641" s="56">
        <f t="shared" si="49"/>
        <v>0.63520875133201415</v>
      </c>
    </row>
    <row r="642" spans="1:20" x14ac:dyDescent="0.25">
      <c r="A642">
        <v>0.63936973501246874</v>
      </c>
      <c r="B642">
        <v>-0.10341864253859967</v>
      </c>
      <c r="D642">
        <v>0.66829301637832383</v>
      </c>
      <c r="E642">
        <v>-1.1048603062135953</v>
      </c>
      <c r="I642">
        <v>0.94148768031487706</v>
      </c>
      <c r="J642">
        <v>15</v>
      </c>
      <c r="K642">
        <v>-7.0993337430991232E-2</v>
      </c>
      <c r="L642">
        <v>23.538795756797274</v>
      </c>
      <c r="M642">
        <v>15</v>
      </c>
      <c r="N642">
        <v>-0.33898573178703373</v>
      </c>
      <c r="O642">
        <v>99.731647803395049</v>
      </c>
      <c r="P642" s="1">
        <f t="shared" ref="P642:P705" si="50">(L642+O642)/(J642+M642-2)</f>
        <v>4.4025158414354397</v>
      </c>
      <c r="Q642" s="1">
        <f t="shared" ref="Q642:Q705" si="51">P642*(2/15)</f>
        <v>0.58700211219139198</v>
      </c>
      <c r="R642" s="1">
        <f t="shared" ref="R642:R705" si="52">SQRT(Q642)</f>
        <v>0.76616063080230901</v>
      </c>
      <c r="S642" s="1">
        <f t="shared" ref="S642:S705" si="53">(K642-N642)/R642</f>
        <v>0.3497861722226655</v>
      </c>
      <c r="T642" s="56">
        <f t="shared" ref="T642:T705" si="54">_xlfn.T.DIST(S642,28,TRUE)</f>
        <v>0.6354417266317226</v>
      </c>
    </row>
    <row r="643" spans="1:20" x14ac:dyDescent="0.25">
      <c r="A643">
        <v>0.64037585440060873</v>
      </c>
      <c r="B643">
        <v>0.76322976383380592</v>
      </c>
      <c r="D643">
        <v>0.66852611364282111</v>
      </c>
      <c r="E643">
        <v>3.746432181515047</v>
      </c>
      <c r="I643">
        <v>9.498244352854357E-2</v>
      </c>
      <c r="J643">
        <v>15</v>
      </c>
      <c r="K643">
        <v>-0.18205741980636958</v>
      </c>
      <c r="L643">
        <v>8.4656117610874375</v>
      </c>
      <c r="M643">
        <v>15</v>
      </c>
      <c r="N643">
        <v>-0.46620494117632916</v>
      </c>
      <c r="O643">
        <v>127.68846575344097</v>
      </c>
      <c r="P643" s="1">
        <f t="shared" si="50"/>
        <v>4.8626456255188719</v>
      </c>
      <c r="Q643" s="1">
        <f t="shared" si="51"/>
        <v>0.64835275006918291</v>
      </c>
      <c r="R643" s="1">
        <f t="shared" si="52"/>
        <v>0.80520354573808406</v>
      </c>
      <c r="S643" s="1">
        <f t="shared" si="53"/>
        <v>0.35288905876525639</v>
      </c>
      <c r="T643" s="56">
        <f t="shared" si="54"/>
        <v>0.63659278798467733</v>
      </c>
    </row>
    <row r="644" spans="1:20" x14ac:dyDescent="0.25">
      <c r="A644">
        <v>0.64276824279273259</v>
      </c>
      <c r="B644">
        <v>1.5128625818761066</v>
      </c>
      <c r="D644">
        <v>0.66935214747361915</v>
      </c>
      <c r="E644">
        <v>0.95809195613583142</v>
      </c>
      <c r="I644">
        <v>0.75810065641656132</v>
      </c>
      <c r="J644">
        <v>15</v>
      </c>
      <c r="K644">
        <v>-0.15951998951398613</v>
      </c>
      <c r="L644">
        <v>9.2952949803786087</v>
      </c>
      <c r="M644">
        <v>15</v>
      </c>
      <c r="N644">
        <v>-0.47247477027667628</v>
      </c>
      <c r="O644">
        <v>155.6853526875131</v>
      </c>
      <c r="P644" s="1">
        <f t="shared" si="50"/>
        <v>5.8921659881389896</v>
      </c>
      <c r="Q644" s="1">
        <f t="shared" si="51"/>
        <v>0.78562213175186524</v>
      </c>
      <c r="R644" s="1">
        <f t="shared" si="52"/>
        <v>0.88635327705823097</v>
      </c>
      <c r="S644" s="1">
        <f t="shared" si="53"/>
        <v>0.35308131516292668</v>
      </c>
      <c r="T644" s="56">
        <f t="shared" si="54"/>
        <v>0.63666406568856626</v>
      </c>
    </row>
    <row r="645" spans="1:20" x14ac:dyDescent="0.25">
      <c r="A645">
        <v>0.64368922027222952</v>
      </c>
      <c r="B645">
        <v>-2.2353924578055739</v>
      </c>
      <c r="D645">
        <v>0.6728146033536847</v>
      </c>
      <c r="E645">
        <v>1.961526091918131</v>
      </c>
      <c r="I645">
        <v>0.88353541158193083</v>
      </c>
      <c r="J645">
        <v>15</v>
      </c>
      <c r="K645">
        <v>-0.16638000488455873</v>
      </c>
      <c r="L645">
        <v>11.739526028718366</v>
      </c>
      <c r="M645">
        <v>15</v>
      </c>
      <c r="N645">
        <v>-0.47604931182831933</v>
      </c>
      <c r="O645">
        <v>140.15899519550914</v>
      </c>
      <c r="P645" s="1">
        <f t="shared" si="50"/>
        <v>5.4249471865795531</v>
      </c>
      <c r="Q645" s="1">
        <f t="shared" si="51"/>
        <v>0.72332629154394046</v>
      </c>
      <c r="R645" s="1">
        <f t="shared" si="52"/>
        <v>0.85048591495917225</v>
      </c>
      <c r="S645" s="1">
        <f t="shared" si="53"/>
        <v>0.36410868363249299</v>
      </c>
      <c r="T645" s="56">
        <f t="shared" si="54"/>
        <v>0.64074396183406768</v>
      </c>
    </row>
    <row r="646" spans="1:20" x14ac:dyDescent="0.25">
      <c r="A646">
        <v>0.64471923491646876</v>
      </c>
      <c r="B646">
        <v>1.3504086382454261</v>
      </c>
      <c r="D646">
        <v>0.67383793930104041</v>
      </c>
      <c r="E646">
        <v>1.7205975348133506</v>
      </c>
      <c r="I646">
        <v>0.55585546223467164</v>
      </c>
      <c r="J646">
        <v>15</v>
      </c>
      <c r="K646">
        <v>0.55964892453630455</v>
      </c>
      <c r="L646">
        <v>13.625078673150686</v>
      </c>
      <c r="M646">
        <v>15</v>
      </c>
      <c r="N646">
        <v>9.4167031647884869E-2</v>
      </c>
      <c r="O646">
        <v>313.17355013133152</v>
      </c>
      <c r="P646" s="1">
        <f t="shared" si="50"/>
        <v>11.67137960016008</v>
      </c>
      <c r="Q646" s="1">
        <f t="shared" si="51"/>
        <v>1.5561839466880105</v>
      </c>
      <c r="R646" s="1">
        <f t="shared" si="52"/>
        <v>1.247471020380037</v>
      </c>
      <c r="S646" s="1">
        <f t="shared" si="53"/>
        <v>0.37314044597734425</v>
      </c>
      <c r="T646" s="56">
        <f t="shared" si="54"/>
        <v>0.64407299189478984</v>
      </c>
    </row>
    <row r="647" spans="1:20" x14ac:dyDescent="0.25">
      <c r="A647">
        <v>0.64553878199142078</v>
      </c>
      <c r="B647">
        <v>0.54160409490577877</v>
      </c>
      <c r="D647">
        <v>0.67521082736341032</v>
      </c>
      <c r="E647">
        <v>1.9597935045112536</v>
      </c>
      <c r="I647">
        <v>0.13172027554216004</v>
      </c>
      <c r="J647">
        <v>15</v>
      </c>
      <c r="K647">
        <v>0.38248253986239433</v>
      </c>
      <c r="L647">
        <v>17.158176963535492</v>
      </c>
      <c r="M647">
        <v>15</v>
      </c>
      <c r="N647">
        <v>0.10056487212750653</v>
      </c>
      <c r="O647">
        <v>102.12820422858822</v>
      </c>
      <c r="P647" s="1">
        <f t="shared" si="50"/>
        <v>4.2602278997187044</v>
      </c>
      <c r="Q647" s="1">
        <f t="shared" si="51"/>
        <v>0.56803038662916061</v>
      </c>
      <c r="R647" s="1">
        <f t="shared" si="52"/>
        <v>0.75367790642233945</v>
      </c>
      <c r="S647" s="1">
        <f t="shared" si="53"/>
        <v>0.37405590018305412</v>
      </c>
      <c r="T647" s="56">
        <f t="shared" si="54"/>
        <v>0.6444097801598796</v>
      </c>
    </row>
    <row r="648" spans="1:20" x14ac:dyDescent="0.25">
      <c r="A648">
        <v>0.6489862173402472</v>
      </c>
      <c r="B648">
        <v>1.0736766853369772</v>
      </c>
      <c r="D648">
        <v>0.68278496763185392</v>
      </c>
      <c r="E648">
        <v>-2.4613193579625658</v>
      </c>
      <c r="I648">
        <v>0.17598143637863695</v>
      </c>
      <c r="J648">
        <v>15</v>
      </c>
      <c r="K648">
        <v>0.2225397868945341</v>
      </c>
      <c r="L648">
        <v>13.796804296677374</v>
      </c>
      <c r="M648">
        <v>15</v>
      </c>
      <c r="N648">
        <v>-0.131178697984069</v>
      </c>
      <c r="O648">
        <v>173.84742870937026</v>
      </c>
      <c r="P648" s="1">
        <f t="shared" si="50"/>
        <v>6.7015797502159868</v>
      </c>
      <c r="Q648" s="1">
        <f t="shared" si="51"/>
        <v>0.89354396669546488</v>
      </c>
      <c r="R648" s="1">
        <f t="shared" si="52"/>
        <v>0.94527454567203117</v>
      </c>
      <c r="S648" s="1">
        <f t="shared" si="53"/>
        <v>0.37419656172708149</v>
      </c>
      <c r="T648" s="56">
        <f t="shared" si="54"/>
        <v>0.64446151788866846</v>
      </c>
    </row>
    <row r="649" spans="1:20" x14ac:dyDescent="0.25">
      <c r="A649">
        <v>0.6500766196838168</v>
      </c>
      <c r="B649">
        <v>1.6536023395019583</v>
      </c>
      <c r="D649">
        <v>0.68358785686097834</v>
      </c>
      <c r="E649">
        <v>-0.16109811781461758</v>
      </c>
      <c r="I649">
        <v>0.67513737952648412</v>
      </c>
      <c r="J649">
        <v>15</v>
      </c>
      <c r="K649">
        <v>0.10003873285313603</v>
      </c>
      <c r="L649">
        <v>11.837847613907016</v>
      </c>
      <c r="M649">
        <v>15</v>
      </c>
      <c r="N649">
        <v>-0.20558286792038416</v>
      </c>
      <c r="O649">
        <v>127.50746116265857</v>
      </c>
      <c r="P649" s="1">
        <f t="shared" si="50"/>
        <v>4.9766181705916281</v>
      </c>
      <c r="Q649" s="1">
        <f t="shared" si="51"/>
        <v>0.66354908941221713</v>
      </c>
      <c r="R649" s="1">
        <f t="shared" si="52"/>
        <v>0.81458522538296574</v>
      </c>
      <c r="S649" s="1">
        <f t="shared" si="53"/>
        <v>0.37518677143921497</v>
      </c>
      <c r="T649" s="56">
        <f t="shared" si="54"/>
        <v>0.64482565454070195</v>
      </c>
    </row>
    <row r="650" spans="1:20" x14ac:dyDescent="0.25">
      <c r="A650">
        <v>0.65113407250462196</v>
      </c>
      <c r="B650">
        <v>-0.32070261113403831</v>
      </c>
      <c r="D650">
        <v>0.68367771638605024</v>
      </c>
      <c r="E650">
        <v>4.907750050051618</v>
      </c>
      <c r="I650">
        <v>0.74768630689110349</v>
      </c>
      <c r="J650">
        <v>15</v>
      </c>
      <c r="K650">
        <v>-0.17556491608653838</v>
      </c>
      <c r="L650">
        <v>10.962440438675809</v>
      </c>
      <c r="M650">
        <v>15</v>
      </c>
      <c r="N650">
        <v>-0.43535669988159498</v>
      </c>
      <c r="O650">
        <v>87.637516446077683</v>
      </c>
      <c r="P650" s="1">
        <f t="shared" si="50"/>
        <v>3.5214270315983391</v>
      </c>
      <c r="Q650" s="1">
        <f t="shared" si="51"/>
        <v>0.4695236042131119</v>
      </c>
      <c r="R650" s="1">
        <f t="shared" si="52"/>
        <v>0.68521792461457975</v>
      </c>
      <c r="S650" s="1">
        <f t="shared" si="53"/>
        <v>0.37913746045272223</v>
      </c>
      <c r="T650" s="56">
        <f t="shared" si="54"/>
        <v>0.64627707816641311</v>
      </c>
    </row>
    <row r="651" spans="1:20" x14ac:dyDescent="0.25">
      <c r="A651">
        <v>0.65279962781042644</v>
      </c>
      <c r="B651">
        <v>1.879006958915852</v>
      </c>
      <c r="D651">
        <v>0.68445771850930104</v>
      </c>
      <c r="E651">
        <v>0.48851302040020528</v>
      </c>
      <c r="I651">
        <v>0.54104712127225252</v>
      </c>
      <c r="J651">
        <v>15</v>
      </c>
      <c r="K651">
        <v>-5.6768840295262635E-2</v>
      </c>
      <c r="L651">
        <v>8.7006742630354168</v>
      </c>
      <c r="M651">
        <v>15</v>
      </c>
      <c r="N651">
        <v>-0.47694016188870592</v>
      </c>
      <c r="O651">
        <v>246.42158247131991</v>
      </c>
      <c r="P651" s="1">
        <f t="shared" si="50"/>
        <v>9.111509169084119</v>
      </c>
      <c r="Q651" s="1">
        <f t="shared" si="51"/>
        <v>1.2148678892112159</v>
      </c>
      <c r="R651" s="1">
        <f t="shared" si="52"/>
        <v>1.1022104559525898</v>
      </c>
      <c r="S651" s="1">
        <f t="shared" si="53"/>
        <v>0.38120788940466777</v>
      </c>
      <c r="T651" s="56">
        <f t="shared" si="54"/>
        <v>0.6470368298801068</v>
      </c>
    </row>
    <row r="652" spans="1:20" x14ac:dyDescent="0.25">
      <c r="A652">
        <v>0.65382026806698457</v>
      </c>
      <c r="B652">
        <v>-1.1010342859663069</v>
      </c>
      <c r="D652">
        <v>0.68561001758224482</v>
      </c>
      <c r="E652">
        <v>-4.9061297920616198</v>
      </c>
      <c r="I652">
        <v>0.8203025950453684</v>
      </c>
      <c r="J652">
        <v>15</v>
      </c>
      <c r="K652">
        <v>0.14303676228640447</v>
      </c>
      <c r="L652">
        <v>12.650786403231672</v>
      </c>
      <c r="M652">
        <v>15</v>
      </c>
      <c r="N652">
        <v>-0.17295201701017504</v>
      </c>
      <c r="O652">
        <v>130.28043823402564</v>
      </c>
      <c r="P652" s="1">
        <f t="shared" si="50"/>
        <v>5.1046865941877613</v>
      </c>
      <c r="Q652" s="1">
        <f t="shared" si="51"/>
        <v>0.68062487922503478</v>
      </c>
      <c r="R652" s="1">
        <f t="shared" si="52"/>
        <v>0.82499992680304812</v>
      </c>
      <c r="S652" s="1">
        <f t="shared" si="53"/>
        <v>0.38301673616028742</v>
      </c>
      <c r="T652" s="56">
        <f t="shared" si="54"/>
        <v>0.64770008762937281</v>
      </c>
    </row>
    <row r="653" spans="1:20" x14ac:dyDescent="0.25">
      <c r="A653">
        <v>0.6545159788285061</v>
      </c>
      <c r="B653">
        <v>-1.3969793144497089</v>
      </c>
      <c r="D653">
        <v>0.68576162173409216</v>
      </c>
      <c r="E653">
        <v>-5.1583235779162351</v>
      </c>
      <c r="I653">
        <v>0.42813869342745503</v>
      </c>
      <c r="J653">
        <v>15</v>
      </c>
      <c r="K653">
        <v>2.0598539170653869E-2</v>
      </c>
      <c r="L653">
        <v>15.942689448208084</v>
      </c>
      <c r="M653">
        <v>15</v>
      </c>
      <c r="N653">
        <v>-0.46191576416276803</v>
      </c>
      <c r="O653">
        <v>310.68008238324086</v>
      </c>
      <c r="P653" s="1">
        <f t="shared" si="50"/>
        <v>11.665098993980319</v>
      </c>
      <c r="Q653" s="1">
        <f t="shared" si="51"/>
        <v>1.5553465325307092</v>
      </c>
      <c r="R653" s="1">
        <f t="shared" si="52"/>
        <v>1.2471353304796995</v>
      </c>
      <c r="S653" s="1">
        <f t="shared" si="53"/>
        <v>0.3868981108472222</v>
      </c>
      <c r="T653" s="56">
        <f t="shared" si="54"/>
        <v>0.64912168850153329</v>
      </c>
    </row>
    <row r="654" spans="1:20" x14ac:dyDescent="0.25">
      <c r="A654">
        <v>0.65475241289229047</v>
      </c>
      <c r="B654">
        <v>1.545872692076955</v>
      </c>
      <c r="D654">
        <v>0.68697570625519944</v>
      </c>
      <c r="E654">
        <v>1.7499935404430289</v>
      </c>
      <c r="I654">
        <v>0.79533108472792691</v>
      </c>
      <c r="J654">
        <v>15</v>
      </c>
      <c r="K654">
        <v>-0.11497400009830017</v>
      </c>
      <c r="L654">
        <v>12.319694925467099</v>
      </c>
      <c r="M654">
        <v>15</v>
      </c>
      <c r="N654">
        <v>-0.40227951444649079</v>
      </c>
      <c r="O654">
        <v>103.11173094500072</v>
      </c>
      <c r="P654" s="1">
        <f t="shared" si="50"/>
        <v>4.1225509239452789</v>
      </c>
      <c r="Q654" s="1">
        <f t="shared" si="51"/>
        <v>0.54967345652603716</v>
      </c>
      <c r="R654" s="1">
        <f t="shared" si="52"/>
        <v>0.74139966045719041</v>
      </c>
      <c r="S654" s="1">
        <f t="shared" si="53"/>
        <v>0.38751773122073085</v>
      </c>
      <c r="T654" s="56">
        <f t="shared" si="54"/>
        <v>0.64934842909246049</v>
      </c>
    </row>
    <row r="655" spans="1:20" x14ac:dyDescent="0.25">
      <c r="A655">
        <v>0.65577616841643749</v>
      </c>
      <c r="B655">
        <v>0.45276806304173078</v>
      </c>
      <c r="D655">
        <v>0.6875841763859557</v>
      </c>
      <c r="E655">
        <v>-1.8409848541978135</v>
      </c>
      <c r="I655">
        <v>0.15067895325885883</v>
      </c>
      <c r="J655">
        <v>15</v>
      </c>
      <c r="K655">
        <v>-0.31376490975768928</v>
      </c>
      <c r="L655">
        <v>16.947931564638058</v>
      </c>
      <c r="M655">
        <v>15</v>
      </c>
      <c r="N655">
        <v>-0.58930345744556689</v>
      </c>
      <c r="O655">
        <v>87.425902907291402</v>
      </c>
      <c r="P655" s="1">
        <f t="shared" si="50"/>
        <v>3.7276369454260521</v>
      </c>
      <c r="Q655" s="1">
        <f t="shared" si="51"/>
        <v>0.49701825939014027</v>
      </c>
      <c r="R655" s="1">
        <f t="shared" si="52"/>
        <v>0.70499521940942289</v>
      </c>
      <c r="S655" s="1">
        <f t="shared" si="53"/>
        <v>0.39083746967631533</v>
      </c>
      <c r="T655" s="56">
        <f t="shared" si="54"/>
        <v>0.65056227959480306</v>
      </c>
    </row>
    <row r="656" spans="1:20" x14ac:dyDescent="0.25">
      <c r="A656">
        <v>0.65658526558133545</v>
      </c>
      <c r="B656">
        <v>-0.22923131837160327</v>
      </c>
      <c r="D656">
        <v>0.68772495710568438</v>
      </c>
      <c r="E656">
        <v>-6.0377412899015326</v>
      </c>
      <c r="I656">
        <v>0.17339766781312882</v>
      </c>
      <c r="J656">
        <v>15</v>
      </c>
      <c r="K656">
        <v>-5.4130775121545106E-2</v>
      </c>
      <c r="L656">
        <v>14.894243374552142</v>
      </c>
      <c r="M656">
        <v>15</v>
      </c>
      <c r="N656">
        <v>-0.37783729908369423</v>
      </c>
      <c r="O656">
        <v>129.09649929763478</v>
      </c>
      <c r="P656" s="1">
        <f t="shared" si="50"/>
        <v>5.1425265240066755</v>
      </c>
      <c r="Q656" s="1">
        <f t="shared" si="51"/>
        <v>0.68567020320089012</v>
      </c>
      <c r="R656" s="1">
        <f t="shared" si="52"/>
        <v>0.82805205343679333</v>
      </c>
      <c r="S656" s="1">
        <f t="shared" si="53"/>
        <v>0.39092533207135893</v>
      </c>
      <c r="T656" s="56">
        <f t="shared" si="54"/>
        <v>0.65059438419358773</v>
      </c>
    </row>
    <row r="657" spans="1:20" x14ac:dyDescent="0.25">
      <c r="A657">
        <v>0.65994726796724035</v>
      </c>
      <c r="B657">
        <v>-8.8585920821060427E-2</v>
      </c>
      <c r="D657">
        <v>0.6886785954064033</v>
      </c>
      <c r="E657">
        <v>2.5211313607087504</v>
      </c>
      <c r="I657">
        <v>0.8300776176319079</v>
      </c>
      <c r="J657">
        <v>15</v>
      </c>
      <c r="K657">
        <v>0.46630005575328443</v>
      </c>
      <c r="L657">
        <v>26.131961790448255</v>
      </c>
      <c r="M657">
        <v>15</v>
      </c>
      <c r="N657">
        <v>0.20570609763126413</v>
      </c>
      <c r="O657">
        <v>64.893669542040215</v>
      </c>
      <c r="P657" s="1">
        <f t="shared" si="50"/>
        <v>3.2509154047317312</v>
      </c>
      <c r="Q657" s="1">
        <f t="shared" si="51"/>
        <v>0.43345538729756417</v>
      </c>
      <c r="R657" s="1">
        <f t="shared" si="52"/>
        <v>0.65837328871815881</v>
      </c>
      <c r="S657" s="1">
        <f t="shared" si="53"/>
        <v>0.39581490104100692</v>
      </c>
      <c r="T657" s="56">
        <f t="shared" si="54"/>
        <v>0.65237921828895451</v>
      </c>
    </row>
    <row r="658" spans="1:20" x14ac:dyDescent="0.25">
      <c r="A658">
        <v>0.66017367972889751</v>
      </c>
      <c r="B658">
        <v>0.6644154382229317</v>
      </c>
      <c r="D658">
        <v>0.68884288174472363</v>
      </c>
      <c r="E658">
        <v>-1.0678893465865258</v>
      </c>
      <c r="I658">
        <v>9.7543893274797955E-2</v>
      </c>
      <c r="J658">
        <v>15</v>
      </c>
      <c r="K658">
        <v>0.30022609583587229</v>
      </c>
      <c r="L658">
        <v>12.327487045208747</v>
      </c>
      <c r="M658">
        <v>15</v>
      </c>
      <c r="N658">
        <v>-7.9812938338363892E-2</v>
      </c>
      <c r="O658">
        <v>171.04372518823953</v>
      </c>
      <c r="P658" s="1">
        <f t="shared" si="50"/>
        <v>6.5489718654802962</v>
      </c>
      <c r="Q658" s="1">
        <f t="shared" si="51"/>
        <v>0.87319624873070611</v>
      </c>
      <c r="R658" s="1">
        <f t="shared" si="52"/>
        <v>0.93444970369234215</v>
      </c>
      <c r="S658" s="1">
        <f t="shared" si="53"/>
        <v>0.40669822321369165</v>
      </c>
      <c r="T658" s="56">
        <f t="shared" si="54"/>
        <v>0.65633913274395317</v>
      </c>
    </row>
    <row r="659" spans="1:20" x14ac:dyDescent="0.25">
      <c r="A659">
        <v>0.6611727157459325</v>
      </c>
      <c r="B659">
        <v>-1.0040002962341532</v>
      </c>
      <c r="D659">
        <v>0.6888489962486789</v>
      </c>
      <c r="E659">
        <v>-6.8329306975556392</v>
      </c>
      <c r="I659">
        <v>1.9259512204616525E-2</v>
      </c>
      <c r="J659">
        <v>15</v>
      </c>
      <c r="K659">
        <v>0.20422809636026309</v>
      </c>
      <c r="L659">
        <v>12.693640635790906</v>
      </c>
      <c r="M659">
        <v>15</v>
      </c>
      <c r="N659">
        <v>-0.12600958484654257</v>
      </c>
      <c r="O659">
        <v>124.2299696680833</v>
      </c>
      <c r="P659" s="1">
        <f t="shared" si="50"/>
        <v>4.8901289394240788</v>
      </c>
      <c r="Q659" s="1">
        <f t="shared" si="51"/>
        <v>0.6520171919232105</v>
      </c>
      <c r="R659" s="1">
        <f t="shared" si="52"/>
        <v>0.80747581507015465</v>
      </c>
      <c r="S659" s="1">
        <f t="shared" si="53"/>
        <v>0.40897532166720574</v>
      </c>
      <c r="T659" s="56">
        <f t="shared" si="54"/>
        <v>0.65716539409823993</v>
      </c>
    </row>
    <row r="660" spans="1:20" x14ac:dyDescent="0.25">
      <c r="A660">
        <v>0.66132333331576298</v>
      </c>
      <c r="B660">
        <v>-0.16650005818519276</v>
      </c>
      <c r="D660">
        <v>0.68939575749628912</v>
      </c>
      <c r="E660">
        <v>-6.5998090155972022</v>
      </c>
      <c r="I660">
        <v>0.18688463491536023</v>
      </c>
      <c r="J660">
        <v>15</v>
      </c>
      <c r="K660">
        <v>3.4228302562648118E-2</v>
      </c>
      <c r="L660">
        <v>8.1612077897108275</v>
      </c>
      <c r="M660">
        <v>15</v>
      </c>
      <c r="N660">
        <v>-0.33998231060650141</v>
      </c>
      <c r="O660">
        <v>165.24508667596538</v>
      </c>
      <c r="P660" s="1">
        <f t="shared" si="50"/>
        <v>6.1930819452027217</v>
      </c>
      <c r="Q660" s="1">
        <f t="shared" si="51"/>
        <v>0.82574425936036289</v>
      </c>
      <c r="R660" s="1">
        <f t="shared" si="52"/>
        <v>0.90870471516349183</v>
      </c>
      <c r="S660" s="1">
        <f t="shared" si="53"/>
        <v>0.41180661542162522</v>
      </c>
      <c r="T660" s="56">
        <f t="shared" si="54"/>
        <v>0.65819164437308042</v>
      </c>
    </row>
    <row r="661" spans="1:20" x14ac:dyDescent="0.25">
      <c r="A661">
        <v>0.66136157830372921</v>
      </c>
      <c r="B661">
        <v>-0.14876263776386622</v>
      </c>
      <c r="D661">
        <v>0.69252120341694356</v>
      </c>
      <c r="E661">
        <v>3.2620239346670132</v>
      </c>
      <c r="I661">
        <v>7.7772550469099366E-2</v>
      </c>
      <c r="J661">
        <v>15</v>
      </c>
      <c r="K661">
        <v>-4.15646657832743E-2</v>
      </c>
      <c r="L661">
        <v>10.899771378553783</v>
      </c>
      <c r="M661">
        <v>15</v>
      </c>
      <c r="N661">
        <v>-0.36860319937659369</v>
      </c>
      <c r="O661">
        <v>121.16633928815743</v>
      </c>
      <c r="P661" s="1">
        <f t="shared" si="50"/>
        <v>4.7166468095254004</v>
      </c>
      <c r="Q661" s="1">
        <f t="shared" si="51"/>
        <v>0.62888624127005333</v>
      </c>
      <c r="R661" s="1">
        <f t="shared" si="52"/>
        <v>0.79302348090712504</v>
      </c>
      <c r="S661" s="1">
        <f t="shared" si="53"/>
        <v>0.41239451474907907</v>
      </c>
      <c r="T661" s="56">
        <f t="shared" si="54"/>
        <v>0.65840458429579707</v>
      </c>
    </row>
    <row r="662" spans="1:20" x14ac:dyDescent="0.25">
      <c r="A662">
        <v>0.66217640247512655</v>
      </c>
      <c r="B662">
        <v>1.1363590601831675</v>
      </c>
      <c r="D662">
        <v>0.69346632566802147</v>
      </c>
      <c r="E662">
        <v>0.10545431564423779</v>
      </c>
      <c r="I662">
        <v>0.78608228700136296</v>
      </c>
      <c r="J662">
        <v>15</v>
      </c>
      <c r="K662">
        <v>-0.10183036162440355</v>
      </c>
      <c r="L662">
        <v>16.419909082847891</v>
      </c>
      <c r="M662">
        <v>15</v>
      </c>
      <c r="N662">
        <v>-0.45464048866961093</v>
      </c>
      <c r="O662">
        <v>135.75174132999513</v>
      </c>
      <c r="P662" s="1">
        <f t="shared" si="50"/>
        <v>5.4347018004586785</v>
      </c>
      <c r="Q662" s="1">
        <f t="shared" si="51"/>
        <v>0.72462690672782382</v>
      </c>
      <c r="R662" s="1">
        <f t="shared" si="52"/>
        <v>0.85125020218959346</v>
      </c>
      <c r="S662" s="1">
        <f t="shared" si="53"/>
        <v>0.41446113743962232</v>
      </c>
      <c r="T662" s="56">
        <f t="shared" si="54"/>
        <v>0.65915270268379833</v>
      </c>
    </row>
    <row r="663" spans="1:20" x14ac:dyDescent="0.25">
      <c r="A663">
        <v>0.66309677432073089</v>
      </c>
      <c r="B663">
        <v>-0.96878693511825986</v>
      </c>
      <c r="D663">
        <v>0.69476078193306579</v>
      </c>
      <c r="E663">
        <v>2.0872682819117472</v>
      </c>
      <c r="I663">
        <v>0.73861914459595102</v>
      </c>
      <c r="J663">
        <v>15</v>
      </c>
      <c r="K663">
        <v>-1.6324596193347436E-2</v>
      </c>
      <c r="L663">
        <v>7.2107801222883614</v>
      </c>
      <c r="M663">
        <v>15</v>
      </c>
      <c r="N663">
        <v>-0.41289172600045276</v>
      </c>
      <c r="O663">
        <v>183.31930446862449</v>
      </c>
      <c r="P663" s="1">
        <f t="shared" si="50"/>
        <v>6.8046458782468875</v>
      </c>
      <c r="Q663" s="1">
        <f t="shared" si="51"/>
        <v>0.90728611709958495</v>
      </c>
      <c r="R663" s="1">
        <f t="shared" si="52"/>
        <v>0.95251567813846771</v>
      </c>
      <c r="S663" s="1">
        <f t="shared" si="53"/>
        <v>0.41633659047180133</v>
      </c>
      <c r="T663" s="56">
        <f t="shared" si="54"/>
        <v>0.65983104696493766</v>
      </c>
    </row>
    <row r="664" spans="1:20" x14ac:dyDescent="0.25">
      <c r="A664">
        <v>0.66328783225049792</v>
      </c>
      <c r="B664">
        <v>-1.2441432772902772</v>
      </c>
      <c r="D664">
        <v>0.69478305999183188</v>
      </c>
      <c r="E664">
        <v>3.1085535249530949</v>
      </c>
      <c r="I664">
        <v>0.15500347622892274</v>
      </c>
      <c r="J664">
        <v>15</v>
      </c>
      <c r="K664">
        <v>-9.2783617825868234E-2</v>
      </c>
      <c r="L664">
        <v>9.5838374256456973</v>
      </c>
      <c r="M664">
        <v>15</v>
      </c>
      <c r="N664">
        <v>-0.38219537032091466</v>
      </c>
      <c r="O664">
        <v>89.840098633487074</v>
      </c>
      <c r="P664" s="1">
        <f t="shared" si="50"/>
        <v>3.5508548592547418</v>
      </c>
      <c r="Q664" s="1">
        <f t="shared" si="51"/>
        <v>0.47344731456729888</v>
      </c>
      <c r="R664" s="1">
        <f t="shared" si="52"/>
        <v>0.68807507916454791</v>
      </c>
      <c r="S664" s="1">
        <f t="shared" si="53"/>
        <v>0.42061071714215625</v>
      </c>
      <c r="T664" s="56">
        <f t="shared" si="54"/>
        <v>0.66137494301064592</v>
      </c>
    </row>
    <row r="665" spans="1:20" x14ac:dyDescent="0.25">
      <c r="A665">
        <v>0.66427158289842192</v>
      </c>
      <c r="B665">
        <v>2.5361259758938104E-2</v>
      </c>
      <c r="D665">
        <v>0.69637065486699634</v>
      </c>
      <c r="E665">
        <v>-1.576083153622676</v>
      </c>
      <c r="I665">
        <v>8.9718306436883832E-2</v>
      </c>
      <c r="J665">
        <v>15</v>
      </c>
      <c r="K665">
        <v>0.34315689845243469</v>
      </c>
      <c r="L665">
        <v>18.37218801194631</v>
      </c>
      <c r="M665">
        <v>15</v>
      </c>
      <c r="N665">
        <v>-2.4457225435980945E-2</v>
      </c>
      <c r="O665">
        <v>141.78740790368511</v>
      </c>
      <c r="P665" s="1">
        <f t="shared" si="50"/>
        <v>5.7199855684154084</v>
      </c>
      <c r="Q665" s="1">
        <f t="shared" si="51"/>
        <v>0.76266474245538773</v>
      </c>
      <c r="R665" s="1">
        <f t="shared" si="52"/>
        <v>0.87330678598954425</v>
      </c>
      <c r="S665" s="1">
        <f t="shared" si="53"/>
        <v>0.42094499869467056</v>
      </c>
      <c r="T665" s="56">
        <f t="shared" si="54"/>
        <v>0.66149557185006136</v>
      </c>
    </row>
    <row r="666" spans="1:20" x14ac:dyDescent="0.25">
      <c r="A666">
        <v>0.66457125908325632</v>
      </c>
      <c r="B666">
        <v>0.82854626271000598</v>
      </c>
      <c r="D666">
        <v>0.69647610877385957</v>
      </c>
      <c r="E666">
        <v>1.0909486684340663</v>
      </c>
      <c r="I666">
        <v>0.68333701245259582</v>
      </c>
      <c r="J666">
        <v>15</v>
      </c>
      <c r="K666">
        <v>0.24799161716752374</v>
      </c>
      <c r="L666">
        <v>23.787180664145477</v>
      </c>
      <c r="M666">
        <v>15</v>
      </c>
      <c r="N666">
        <v>-9.866358027466049E-2</v>
      </c>
      <c r="O666">
        <v>118.09473934541712</v>
      </c>
      <c r="P666" s="1">
        <f t="shared" si="50"/>
        <v>5.06721142891295</v>
      </c>
      <c r="Q666" s="1">
        <f t="shared" si="51"/>
        <v>0.67562819052172662</v>
      </c>
      <c r="R666" s="1">
        <f t="shared" si="52"/>
        <v>0.82196605192777072</v>
      </c>
      <c r="S666" s="1">
        <f t="shared" si="53"/>
        <v>0.42173906894228536</v>
      </c>
      <c r="T666" s="56">
        <f t="shared" si="54"/>
        <v>0.66178204998165213</v>
      </c>
    </row>
    <row r="667" spans="1:20" x14ac:dyDescent="0.25">
      <c r="A667">
        <v>0.664985650948686</v>
      </c>
      <c r="B667">
        <v>0.59364310800447129</v>
      </c>
      <c r="D667">
        <v>0.69853742553643572</v>
      </c>
      <c r="E667">
        <v>1.2824746102069184</v>
      </c>
      <c r="I667">
        <v>0.58966146198480296</v>
      </c>
      <c r="J667">
        <v>15</v>
      </c>
      <c r="K667">
        <v>9.3114067567512393E-2</v>
      </c>
      <c r="L667">
        <v>14.957073812145392</v>
      </c>
      <c r="M667">
        <v>15</v>
      </c>
      <c r="N667">
        <v>-0.31522177209808433</v>
      </c>
      <c r="O667">
        <v>171.54522025654182</v>
      </c>
      <c r="P667" s="1">
        <f t="shared" si="50"/>
        <v>6.660796216738829</v>
      </c>
      <c r="Q667" s="1">
        <f t="shared" si="51"/>
        <v>0.88810616223184391</v>
      </c>
      <c r="R667" s="1">
        <f t="shared" si="52"/>
        <v>0.94239384666488768</v>
      </c>
      <c r="S667" s="1">
        <f t="shared" si="53"/>
        <v>0.43329637721074771</v>
      </c>
      <c r="T667" s="56">
        <f t="shared" si="54"/>
        <v>0.66594034983830375</v>
      </c>
    </row>
    <row r="668" spans="1:20" x14ac:dyDescent="0.25">
      <c r="A668">
        <v>0.66570680242270552</v>
      </c>
      <c r="B668">
        <v>-1.8821447156369686</v>
      </c>
      <c r="D668">
        <v>0.69982527603953115</v>
      </c>
      <c r="E668">
        <v>2.7599078259754606</v>
      </c>
      <c r="I668">
        <v>0.10668645255020814</v>
      </c>
      <c r="J668">
        <v>15</v>
      </c>
      <c r="K668">
        <v>0.11347826027000944</v>
      </c>
      <c r="L668">
        <v>14.034724373973607</v>
      </c>
      <c r="M668">
        <v>15</v>
      </c>
      <c r="N668">
        <v>-0.20166840272395348</v>
      </c>
      <c r="O668">
        <v>93.886501199539495</v>
      </c>
      <c r="P668" s="1">
        <f t="shared" si="50"/>
        <v>3.8543294847683249</v>
      </c>
      <c r="Q668" s="1">
        <f t="shared" si="51"/>
        <v>0.51391059796910998</v>
      </c>
      <c r="R668" s="1">
        <f t="shared" si="52"/>
        <v>0.71687558053619738</v>
      </c>
      <c r="S668" s="1">
        <f t="shared" si="53"/>
        <v>0.43961137964588565</v>
      </c>
      <c r="T668" s="56">
        <f t="shared" si="54"/>
        <v>0.66820347798921254</v>
      </c>
    </row>
    <row r="669" spans="1:20" x14ac:dyDescent="0.25">
      <c r="A669">
        <v>0.66790833346509559</v>
      </c>
      <c r="B669">
        <v>-0.60123284129076637</v>
      </c>
      <c r="D669">
        <v>0.70067519403004785</v>
      </c>
      <c r="E669">
        <v>0.5725400990286289</v>
      </c>
      <c r="I669">
        <v>0.79724341186167713</v>
      </c>
      <c r="J669">
        <v>15</v>
      </c>
      <c r="K669">
        <v>-0.22545198892961102</v>
      </c>
      <c r="L669">
        <v>22.518848797151225</v>
      </c>
      <c r="M669">
        <v>15</v>
      </c>
      <c r="N669">
        <v>-0.49210530391974316</v>
      </c>
      <c r="O669">
        <v>54.719904855090661</v>
      </c>
      <c r="P669" s="1">
        <f t="shared" si="50"/>
        <v>2.7585269161514958</v>
      </c>
      <c r="Q669" s="1">
        <f t="shared" si="51"/>
        <v>0.36780358882019942</v>
      </c>
      <c r="R669" s="1">
        <f t="shared" si="52"/>
        <v>0.60646812679661855</v>
      </c>
      <c r="S669" s="1">
        <f t="shared" si="53"/>
        <v>0.43968232328812118</v>
      </c>
      <c r="T669" s="56">
        <f t="shared" si="54"/>
        <v>0.66822886577587504</v>
      </c>
    </row>
    <row r="670" spans="1:20" x14ac:dyDescent="0.25">
      <c r="A670">
        <v>0.66809535540912424</v>
      </c>
      <c r="B670">
        <v>0.8355755198863335</v>
      </c>
      <c r="D670">
        <v>0.70069049189350752</v>
      </c>
      <c r="E670">
        <v>0.60496813262034266</v>
      </c>
      <c r="I670">
        <v>0.60646669287868649</v>
      </c>
      <c r="J670">
        <v>15</v>
      </c>
      <c r="K670">
        <v>0.13043745639151894</v>
      </c>
      <c r="L670">
        <v>11.901308644615217</v>
      </c>
      <c r="M670">
        <v>15</v>
      </c>
      <c r="N670">
        <v>-0.2351439468384342</v>
      </c>
      <c r="O670">
        <v>122.46889731235353</v>
      </c>
      <c r="P670" s="1">
        <f t="shared" si="50"/>
        <v>4.7989359270345986</v>
      </c>
      <c r="Q670" s="1">
        <f t="shared" si="51"/>
        <v>0.63985812360461314</v>
      </c>
      <c r="R670" s="1">
        <f t="shared" si="52"/>
        <v>0.7999113223380534</v>
      </c>
      <c r="S670" s="1">
        <f t="shared" si="53"/>
        <v>0.45702741419061133</v>
      </c>
      <c r="T670" s="56">
        <f t="shared" si="54"/>
        <v>0.67441125903147403</v>
      </c>
    </row>
    <row r="671" spans="1:20" x14ac:dyDescent="0.25">
      <c r="A671">
        <v>0.66869656729209181</v>
      </c>
      <c r="B671">
        <v>-0.28538011065393221</v>
      </c>
      <c r="D671">
        <v>0.70323497813337565</v>
      </c>
      <c r="E671">
        <v>-4.8422286943150539</v>
      </c>
      <c r="I671">
        <v>0.74078647489828464</v>
      </c>
      <c r="J671">
        <v>15</v>
      </c>
      <c r="K671">
        <v>6.0367559247727819E-2</v>
      </c>
      <c r="L671">
        <v>9.7778016147907962</v>
      </c>
      <c r="M671">
        <v>15</v>
      </c>
      <c r="N671">
        <v>-0.24026622099881934</v>
      </c>
      <c r="O671">
        <v>79.443956981819099</v>
      </c>
      <c r="P671" s="1">
        <f t="shared" si="50"/>
        <v>3.1864913784503535</v>
      </c>
      <c r="Q671" s="1">
        <f t="shared" si="51"/>
        <v>0.42486551712671378</v>
      </c>
      <c r="R671" s="1">
        <f t="shared" si="52"/>
        <v>0.65181708870411936</v>
      </c>
      <c r="S671" s="1">
        <f t="shared" si="53"/>
        <v>0.46122414624666958</v>
      </c>
      <c r="T671" s="56">
        <f t="shared" si="54"/>
        <v>0.6758996367519321</v>
      </c>
    </row>
    <row r="672" spans="1:20" x14ac:dyDescent="0.25">
      <c r="A672">
        <v>0.66919080155532651</v>
      </c>
      <c r="B672">
        <v>0.58345449360786006</v>
      </c>
      <c r="D672">
        <v>0.70393793167391883</v>
      </c>
      <c r="E672">
        <v>3.3160274563215353</v>
      </c>
      <c r="I672">
        <v>0.34682881918089692</v>
      </c>
      <c r="J672">
        <v>15</v>
      </c>
      <c r="K672">
        <v>0.30993692234915216</v>
      </c>
      <c r="L672">
        <v>22.724813849646999</v>
      </c>
      <c r="M672">
        <v>15</v>
      </c>
      <c r="N672">
        <v>-2.5458124355282052E-2</v>
      </c>
      <c r="O672">
        <v>87.910361702763481</v>
      </c>
      <c r="P672" s="1">
        <f t="shared" si="50"/>
        <v>3.9512562697289462</v>
      </c>
      <c r="Q672" s="1">
        <f t="shared" si="51"/>
        <v>0.52683416929719284</v>
      </c>
      <c r="R672" s="1">
        <f t="shared" si="52"/>
        <v>0.72583343082086871</v>
      </c>
      <c r="S672" s="1">
        <f t="shared" si="53"/>
        <v>0.46208266588812946</v>
      </c>
      <c r="T672" s="56">
        <f t="shared" si="54"/>
        <v>0.67620374828662255</v>
      </c>
    </row>
    <row r="673" spans="1:20" x14ac:dyDescent="0.25">
      <c r="A673">
        <v>0.66960048913614345</v>
      </c>
      <c r="B673">
        <v>1.4267698134062812E-2</v>
      </c>
      <c r="D673">
        <v>0.70511622608859759</v>
      </c>
      <c r="E673">
        <v>-3.0250378165419534</v>
      </c>
      <c r="I673">
        <v>9.9927356548466073E-2</v>
      </c>
      <c r="J673">
        <v>15</v>
      </c>
      <c r="K673">
        <v>0.37235910591941018</v>
      </c>
      <c r="L673">
        <v>5.4501728283589355</v>
      </c>
      <c r="M673">
        <v>15</v>
      </c>
      <c r="N673">
        <v>2.836781845871883E-2</v>
      </c>
      <c r="O673">
        <v>109.38177585823361</v>
      </c>
      <c r="P673" s="1">
        <f t="shared" si="50"/>
        <v>4.1011410245211621</v>
      </c>
      <c r="Q673" s="1">
        <f t="shared" si="51"/>
        <v>0.54681880326948828</v>
      </c>
      <c r="R673" s="1">
        <f t="shared" si="52"/>
        <v>0.73947197598657399</v>
      </c>
      <c r="S673" s="1">
        <f t="shared" si="53"/>
        <v>0.46518502205814077</v>
      </c>
      <c r="T673" s="56">
        <f t="shared" si="54"/>
        <v>0.67730165435555378</v>
      </c>
    </row>
    <row r="674" spans="1:20" x14ac:dyDescent="0.25">
      <c r="A674">
        <v>0.66968946889978986</v>
      </c>
      <c r="B674">
        <v>-0.59976628108415753</v>
      </c>
      <c r="D674">
        <v>0.70875351481420235</v>
      </c>
      <c r="E674">
        <v>-7.5821724328761775</v>
      </c>
      <c r="I674">
        <v>0.87038944766484982</v>
      </c>
      <c r="J674">
        <v>15</v>
      </c>
      <c r="K674">
        <v>-0.39246901906153653</v>
      </c>
      <c r="L674">
        <v>8.4273869569858473</v>
      </c>
      <c r="M674">
        <v>15</v>
      </c>
      <c r="N674">
        <v>-0.68072177214162366</v>
      </c>
      <c r="O674">
        <v>71.1816636697109</v>
      </c>
      <c r="P674" s="1">
        <f t="shared" si="50"/>
        <v>2.8431803795248838</v>
      </c>
      <c r="Q674" s="1">
        <f t="shared" si="51"/>
        <v>0.3790907172699845</v>
      </c>
      <c r="R674" s="1">
        <f t="shared" si="52"/>
        <v>0.61570343288793228</v>
      </c>
      <c r="S674" s="1">
        <f t="shared" si="53"/>
        <v>0.46816817591555265</v>
      </c>
      <c r="T674" s="56">
        <f t="shared" si="54"/>
        <v>0.6783558408359539</v>
      </c>
    </row>
    <row r="675" spans="1:20" x14ac:dyDescent="0.25">
      <c r="A675">
        <v>0.66973914980850291</v>
      </c>
      <c r="B675">
        <v>0.70758687797933817</v>
      </c>
      <c r="D675">
        <v>0.71025207923097566</v>
      </c>
      <c r="E675">
        <v>0.61720879443782906</v>
      </c>
      <c r="I675">
        <v>0.22848697249901218</v>
      </c>
      <c r="J675">
        <v>15</v>
      </c>
      <c r="K675">
        <v>-0.15588110121219265</v>
      </c>
      <c r="L675">
        <v>16.482324565196038</v>
      </c>
      <c r="M675">
        <v>15</v>
      </c>
      <c r="N675">
        <v>-0.50280164373361913</v>
      </c>
      <c r="O675">
        <v>98.698446313028228</v>
      </c>
      <c r="P675" s="1">
        <f t="shared" si="50"/>
        <v>4.1135989599365805</v>
      </c>
      <c r="Q675" s="1">
        <f t="shared" si="51"/>
        <v>0.54847986132487736</v>
      </c>
      <c r="R675" s="1">
        <f t="shared" si="52"/>
        <v>0.74059426228190384</v>
      </c>
      <c r="S675" s="1">
        <f t="shared" si="53"/>
        <v>0.4684353635855914</v>
      </c>
      <c r="T675" s="56">
        <f t="shared" si="54"/>
        <v>0.67845018591105388</v>
      </c>
    </row>
    <row r="676" spans="1:20" x14ac:dyDescent="0.25">
      <c r="A676">
        <v>0.67138902565236402</v>
      </c>
      <c r="B676">
        <v>0.74644731284934096</v>
      </c>
      <c r="D676">
        <v>0.71064876143878875</v>
      </c>
      <c r="E676">
        <v>-2.2556018882369244</v>
      </c>
      <c r="I676">
        <v>0.22028899527240986</v>
      </c>
      <c r="J676">
        <v>15</v>
      </c>
      <c r="K676">
        <v>0.11486789238309332</v>
      </c>
      <c r="L676">
        <v>8.5283152568181535</v>
      </c>
      <c r="M676">
        <v>15</v>
      </c>
      <c r="N676">
        <v>-0.3360303287536226</v>
      </c>
      <c r="O676">
        <v>182.63049832869075</v>
      </c>
      <c r="P676" s="1">
        <f t="shared" si="50"/>
        <v>6.8271004851967465</v>
      </c>
      <c r="Q676" s="1">
        <f t="shared" si="51"/>
        <v>0.91028006469289957</v>
      </c>
      <c r="R676" s="1">
        <f t="shared" si="52"/>
        <v>0.95408598390967869</v>
      </c>
      <c r="S676" s="1">
        <f t="shared" si="53"/>
        <v>0.47259704967995997</v>
      </c>
      <c r="T676" s="56">
        <f t="shared" si="54"/>
        <v>0.67991812483815672</v>
      </c>
    </row>
    <row r="677" spans="1:20" x14ac:dyDescent="0.25">
      <c r="A677">
        <v>0.67159650854749942</v>
      </c>
      <c r="B677">
        <v>-0.69282577896956354</v>
      </c>
      <c r="D677">
        <v>0.71072018936891146</v>
      </c>
      <c r="E677">
        <v>0.75288266657480563</v>
      </c>
      <c r="I677">
        <v>7.6931032098508045E-2</v>
      </c>
      <c r="J677">
        <v>15</v>
      </c>
      <c r="K677">
        <v>0.12336067811702378</v>
      </c>
      <c r="L677">
        <v>8.9607367782221186</v>
      </c>
      <c r="M677">
        <v>15</v>
      </c>
      <c r="N677">
        <v>-0.16714375647097768</v>
      </c>
      <c r="O677">
        <v>69.526891653948226</v>
      </c>
      <c r="P677" s="1">
        <f t="shared" si="50"/>
        <v>2.8031295868632262</v>
      </c>
      <c r="Q677" s="1">
        <f t="shared" si="51"/>
        <v>0.37375061158176348</v>
      </c>
      <c r="R677" s="1">
        <f t="shared" si="52"/>
        <v>0.61135146322043221</v>
      </c>
      <c r="S677" s="1">
        <f t="shared" si="53"/>
        <v>0.47518400145425937</v>
      </c>
      <c r="T677" s="56">
        <f t="shared" si="54"/>
        <v>0.68082912008213425</v>
      </c>
    </row>
    <row r="678" spans="1:20" x14ac:dyDescent="0.25">
      <c r="A678">
        <v>0.67223771808358623</v>
      </c>
      <c r="B678">
        <v>0.53611984185408801</v>
      </c>
      <c r="D678">
        <v>0.71212530080992986</v>
      </c>
      <c r="E678">
        <v>-0.77516392934739997</v>
      </c>
      <c r="I678">
        <v>0.84827331959847907</v>
      </c>
      <c r="J678">
        <v>15</v>
      </c>
      <c r="K678">
        <v>-6.8194594859960489E-2</v>
      </c>
      <c r="L678">
        <v>10.182308935558979</v>
      </c>
      <c r="M678">
        <v>15</v>
      </c>
      <c r="N678">
        <v>-0.32367688959311636</v>
      </c>
      <c r="O678">
        <v>50.086599670120307</v>
      </c>
      <c r="P678" s="1">
        <f t="shared" si="50"/>
        <v>2.1524610216314031</v>
      </c>
      <c r="Q678" s="1">
        <f t="shared" si="51"/>
        <v>0.28699480288418705</v>
      </c>
      <c r="R678" s="1">
        <f t="shared" si="52"/>
        <v>0.53571895886200172</v>
      </c>
      <c r="S678" s="1">
        <f t="shared" si="53"/>
        <v>0.47689612343730159</v>
      </c>
      <c r="T678" s="56">
        <f t="shared" si="54"/>
        <v>0.68143141191314094</v>
      </c>
    </row>
    <row r="679" spans="1:20" x14ac:dyDescent="0.25">
      <c r="A679">
        <v>0.67253647127965366</v>
      </c>
      <c r="B679">
        <v>-0.4612604698195355</v>
      </c>
      <c r="D679">
        <v>0.71234359206032383</v>
      </c>
      <c r="E679">
        <v>4.9296324925762747</v>
      </c>
      <c r="I679">
        <v>0.3234685004877963</v>
      </c>
      <c r="J679">
        <v>15</v>
      </c>
      <c r="K679">
        <v>-0.2643341758812312</v>
      </c>
      <c r="L679">
        <v>10.472689129128284</v>
      </c>
      <c r="M679">
        <v>15</v>
      </c>
      <c r="N679">
        <v>-0.57246120718446036</v>
      </c>
      <c r="O679">
        <v>76.938993035027082</v>
      </c>
      <c r="P679" s="1">
        <f t="shared" si="50"/>
        <v>3.1218457915769773</v>
      </c>
      <c r="Q679" s="1">
        <f t="shared" si="51"/>
        <v>0.41624610554359698</v>
      </c>
      <c r="R679" s="1">
        <f t="shared" si="52"/>
        <v>0.64517137687873061</v>
      </c>
      <c r="S679" s="1">
        <f t="shared" si="53"/>
        <v>0.4775894318094433</v>
      </c>
      <c r="T679" s="56">
        <f t="shared" si="54"/>
        <v>0.68167516098269143</v>
      </c>
    </row>
    <row r="680" spans="1:20" x14ac:dyDescent="0.25">
      <c r="A680">
        <v>0.67260142943513879</v>
      </c>
      <c r="B680">
        <v>0.42363126340205781</v>
      </c>
      <c r="D680">
        <v>0.71475228059397289</v>
      </c>
      <c r="E680">
        <v>6.2855935959760245</v>
      </c>
      <c r="I680">
        <v>0.55063879148449713</v>
      </c>
      <c r="J680">
        <v>15</v>
      </c>
      <c r="K680">
        <v>0.15301414653852893</v>
      </c>
      <c r="L680">
        <v>12.650850017897378</v>
      </c>
      <c r="M680">
        <v>15</v>
      </c>
      <c r="N680">
        <v>-0.22435552068600373</v>
      </c>
      <c r="O680">
        <v>116.7887260119934</v>
      </c>
      <c r="P680" s="1">
        <f t="shared" si="50"/>
        <v>4.6228420010675277</v>
      </c>
      <c r="Q680" s="1">
        <f t="shared" si="51"/>
        <v>0.61637893347567041</v>
      </c>
      <c r="R680" s="1">
        <f t="shared" si="52"/>
        <v>0.78509804067751332</v>
      </c>
      <c r="S680" s="1">
        <f t="shared" si="53"/>
        <v>0.4806656591562441</v>
      </c>
      <c r="T680" s="56">
        <f t="shared" si="54"/>
        <v>0.68275568074569815</v>
      </c>
    </row>
    <row r="681" spans="1:20" x14ac:dyDescent="0.25">
      <c r="A681">
        <v>0.67280754386834341</v>
      </c>
      <c r="B681">
        <v>-0.11950646694458555</v>
      </c>
      <c r="D681">
        <v>0.71698449104698536</v>
      </c>
      <c r="E681">
        <v>-3.5934492677824892</v>
      </c>
      <c r="I681">
        <v>0.52990557034073293</v>
      </c>
      <c r="J681">
        <v>15</v>
      </c>
      <c r="K681">
        <v>0.17559689998355074</v>
      </c>
      <c r="L681">
        <v>9.8745343715324605</v>
      </c>
      <c r="M681">
        <v>15</v>
      </c>
      <c r="N681">
        <v>-0.273003028041785</v>
      </c>
      <c r="O681">
        <v>172.80557349767739</v>
      </c>
      <c r="P681" s="1">
        <f t="shared" si="50"/>
        <v>6.5242895667574947</v>
      </c>
      <c r="Q681" s="1">
        <f t="shared" si="51"/>
        <v>0.86990527556766595</v>
      </c>
      <c r="R681" s="1">
        <f t="shared" si="52"/>
        <v>0.9326871263010259</v>
      </c>
      <c r="S681" s="1">
        <f t="shared" si="53"/>
        <v>0.48097579067532836</v>
      </c>
      <c r="T681" s="56">
        <f t="shared" si="54"/>
        <v>0.68286452305740764</v>
      </c>
    </row>
    <row r="682" spans="1:20" x14ac:dyDescent="0.25">
      <c r="A682">
        <v>0.67371094636333784</v>
      </c>
      <c r="B682">
        <v>0.55556483857799321</v>
      </c>
      <c r="D682">
        <v>0.71705286799992751</v>
      </c>
      <c r="E682">
        <v>1.435030977745555</v>
      </c>
      <c r="I682">
        <v>0.34101405042904143</v>
      </c>
      <c r="J682">
        <v>15</v>
      </c>
      <c r="K682">
        <v>-0.20131710698478855</v>
      </c>
      <c r="L682">
        <v>8.9254665383632581</v>
      </c>
      <c r="M682">
        <v>15</v>
      </c>
      <c r="N682">
        <v>-0.63968605331865547</v>
      </c>
      <c r="O682">
        <v>161.86329453313914</v>
      </c>
      <c r="P682" s="1">
        <f t="shared" si="50"/>
        <v>6.099598609696514</v>
      </c>
      <c r="Q682" s="1">
        <f t="shared" si="51"/>
        <v>0.8132798146262018</v>
      </c>
      <c r="R682" s="1">
        <f t="shared" si="52"/>
        <v>0.90182027845142287</v>
      </c>
      <c r="S682" s="1">
        <f t="shared" si="53"/>
        <v>0.48609346763261979</v>
      </c>
      <c r="T682" s="56">
        <f t="shared" si="54"/>
        <v>0.68465818502015396</v>
      </c>
    </row>
    <row r="683" spans="1:20" x14ac:dyDescent="0.25">
      <c r="A683">
        <v>0.67372927049297393</v>
      </c>
      <c r="B683">
        <v>-0.92518575911526568</v>
      </c>
      <c r="D683">
        <v>0.72000026815900275</v>
      </c>
      <c r="E683">
        <v>-6.3114901001881663</v>
      </c>
      <c r="I683">
        <v>0.50896107465359575</v>
      </c>
      <c r="J683">
        <v>15</v>
      </c>
      <c r="K683">
        <v>9.8499413070385344E-2</v>
      </c>
      <c r="L683">
        <v>16.876980118653101</v>
      </c>
      <c r="M683">
        <v>15</v>
      </c>
      <c r="N683">
        <v>-0.34764048336910491</v>
      </c>
      <c r="O683">
        <v>159.43235923675661</v>
      </c>
      <c r="P683" s="1">
        <f t="shared" si="50"/>
        <v>6.2967621198360613</v>
      </c>
      <c r="Q683" s="1">
        <f t="shared" si="51"/>
        <v>0.83956828264480821</v>
      </c>
      <c r="R683" s="1">
        <f t="shared" si="52"/>
        <v>0.91627958759584305</v>
      </c>
      <c r="S683" s="1">
        <f t="shared" si="53"/>
        <v>0.48690367272077195</v>
      </c>
      <c r="T683" s="56">
        <f t="shared" si="54"/>
        <v>0.68494172990327951</v>
      </c>
    </row>
    <row r="684" spans="1:20" x14ac:dyDescent="0.25">
      <c r="A684">
        <v>0.67394470954439589</v>
      </c>
      <c r="B684">
        <v>0.36459368857322261</v>
      </c>
      <c r="D684">
        <v>0.72048211551441987</v>
      </c>
      <c r="E684">
        <v>-8.7208234197078127</v>
      </c>
      <c r="I684">
        <v>0.38047958697363105</v>
      </c>
      <c r="J684">
        <v>15</v>
      </c>
      <c r="K684">
        <v>0.34100192654780886</v>
      </c>
      <c r="L684">
        <v>9.4888393778164613</v>
      </c>
      <c r="M684">
        <v>15</v>
      </c>
      <c r="N684">
        <v>-0.1148041553733492</v>
      </c>
      <c r="O684">
        <v>172.2051523666143</v>
      </c>
      <c r="P684" s="1">
        <f t="shared" si="50"/>
        <v>6.4890711337296709</v>
      </c>
      <c r="Q684" s="1">
        <f t="shared" si="51"/>
        <v>0.8652094844972894</v>
      </c>
      <c r="R684" s="1">
        <f t="shared" si="52"/>
        <v>0.9301663746326726</v>
      </c>
      <c r="S684" s="1">
        <f t="shared" si="53"/>
        <v>0.49002640210592241</v>
      </c>
      <c r="T684" s="56">
        <f t="shared" si="54"/>
        <v>0.68603350582357048</v>
      </c>
    </row>
    <row r="685" spans="1:20" x14ac:dyDescent="0.25">
      <c r="A685">
        <v>0.67450105257885373</v>
      </c>
      <c r="B685">
        <v>0.47611592890461907</v>
      </c>
      <c r="D685">
        <v>0.72194403434847143</v>
      </c>
      <c r="E685">
        <v>-4.6003212935374904</v>
      </c>
      <c r="I685">
        <v>0.53900117345402543</v>
      </c>
      <c r="J685">
        <v>15</v>
      </c>
      <c r="K685">
        <v>3.5118697875683814E-2</v>
      </c>
      <c r="L685">
        <v>11.13895874591924</v>
      </c>
      <c r="M685">
        <v>15</v>
      </c>
      <c r="N685">
        <v>-0.35957055274593586</v>
      </c>
      <c r="O685">
        <v>124.31531038911933</v>
      </c>
      <c r="P685" s="1">
        <f t="shared" si="50"/>
        <v>4.8376524691085203</v>
      </c>
      <c r="Q685" s="1">
        <f t="shared" si="51"/>
        <v>0.64502032921446939</v>
      </c>
      <c r="R685" s="1">
        <f t="shared" si="52"/>
        <v>0.80313157652682876</v>
      </c>
      <c r="S685" s="1">
        <f t="shared" si="53"/>
        <v>0.49143784425519349</v>
      </c>
      <c r="T685" s="56">
        <f t="shared" si="54"/>
        <v>0.68652641547494175</v>
      </c>
    </row>
    <row r="686" spans="1:20" x14ac:dyDescent="0.25">
      <c r="A686">
        <v>0.67533864301070012</v>
      </c>
      <c r="B686">
        <v>2.6297493604943156</v>
      </c>
      <c r="D686">
        <v>0.72253184093928891</v>
      </c>
      <c r="E686">
        <v>6.1334727661233046E-2</v>
      </c>
      <c r="I686">
        <v>0.62636719784227357</v>
      </c>
      <c r="J686">
        <v>15</v>
      </c>
      <c r="K686">
        <v>-0.33544370126037393</v>
      </c>
      <c r="L686">
        <v>13.825769838091617</v>
      </c>
      <c r="M686">
        <v>15</v>
      </c>
      <c r="N686">
        <v>-0.82323299807285366</v>
      </c>
      <c r="O686">
        <v>189.99189022867043</v>
      </c>
      <c r="P686" s="1">
        <f t="shared" si="50"/>
        <v>7.2792021452415012</v>
      </c>
      <c r="Q686" s="1">
        <f t="shared" si="51"/>
        <v>0.97056028603220013</v>
      </c>
      <c r="R686" s="1">
        <f t="shared" si="52"/>
        <v>0.98517018125408162</v>
      </c>
      <c r="S686" s="1">
        <f t="shared" si="53"/>
        <v>0.49513201484797659</v>
      </c>
      <c r="T686" s="56">
        <f t="shared" si="54"/>
        <v>0.68781484572855223</v>
      </c>
    </row>
    <row r="687" spans="1:20" x14ac:dyDescent="0.25">
      <c r="A687">
        <v>0.67552225180581627</v>
      </c>
      <c r="B687">
        <v>-0.26670477382140234</v>
      </c>
      <c r="D687">
        <v>0.72297548947399681</v>
      </c>
      <c r="E687">
        <v>1.5426151060182747</v>
      </c>
      <c r="I687">
        <v>5.8272361576993781E-2</v>
      </c>
      <c r="J687">
        <v>15</v>
      </c>
      <c r="K687">
        <v>-0.27044226650711306</v>
      </c>
      <c r="L687">
        <v>16.69903940875734</v>
      </c>
      <c r="M687">
        <v>15</v>
      </c>
      <c r="N687">
        <v>-0.69445173153326323</v>
      </c>
      <c r="O687">
        <v>136.20110497040343</v>
      </c>
      <c r="P687" s="1">
        <f t="shared" si="50"/>
        <v>5.4607194421128842</v>
      </c>
      <c r="Q687" s="1">
        <f t="shared" si="51"/>
        <v>0.72809592561505121</v>
      </c>
      <c r="R687" s="1">
        <f t="shared" si="52"/>
        <v>0.85328537173389485</v>
      </c>
      <c r="S687" s="1">
        <f t="shared" si="53"/>
        <v>0.4969140208797363</v>
      </c>
      <c r="T687" s="56">
        <f t="shared" si="54"/>
        <v>0.68843549941398663</v>
      </c>
    </row>
    <row r="688" spans="1:20" x14ac:dyDescent="0.25">
      <c r="A688">
        <v>0.67597735397646708</v>
      </c>
      <c r="B688">
        <v>-0.91409447122714482</v>
      </c>
      <c r="D688">
        <v>0.72300526480735616</v>
      </c>
      <c r="E688">
        <v>0.30758041816625337</v>
      </c>
      <c r="I688">
        <v>0.94478936177566974</v>
      </c>
      <c r="J688">
        <v>15</v>
      </c>
      <c r="K688">
        <v>-7.8584586541789278E-2</v>
      </c>
      <c r="L688">
        <v>16.712062516347615</v>
      </c>
      <c r="M688">
        <v>15</v>
      </c>
      <c r="N688">
        <v>-0.43659929701789224</v>
      </c>
      <c r="O688">
        <v>92.008161801666432</v>
      </c>
      <c r="P688" s="1">
        <f t="shared" si="50"/>
        <v>3.8828651542147874</v>
      </c>
      <c r="Q688" s="1">
        <f t="shared" si="51"/>
        <v>0.51771535389530499</v>
      </c>
      <c r="R688" s="1">
        <f t="shared" si="52"/>
        <v>0.719524394232263</v>
      </c>
      <c r="S688" s="1">
        <f t="shared" si="53"/>
        <v>0.49757133093188155</v>
      </c>
      <c r="T688" s="56">
        <f t="shared" si="54"/>
        <v>0.68866429118610084</v>
      </c>
    </row>
    <row r="689" spans="1:20" x14ac:dyDescent="0.25">
      <c r="A689">
        <v>0.67794897601113457</v>
      </c>
      <c r="B689">
        <v>1.2339251043158583</v>
      </c>
      <c r="D689">
        <v>0.72394736040702556</v>
      </c>
      <c r="E689">
        <v>-4.6550683271107118</v>
      </c>
      <c r="I689">
        <v>0.73331613757224168</v>
      </c>
      <c r="J689">
        <v>15</v>
      </c>
      <c r="K689">
        <v>0.44022658585163299</v>
      </c>
      <c r="L689">
        <v>22.827290917066541</v>
      </c>
      <c r="M689">
        <v>15</v>
      </c>
      <c r="N689">
        <v>4.6127263431117171E-3</v>
      </c>
      <c r="O689">
        <v>135.18540628087578</v>
      </c>
      <c r="P689" s="1">
        <f t="shared" si="50"/>
        <v>5.6433106142122256</v>
      </c>
      <c r="Q689" s="1">
        <f t="shared" si="51"/>
        <v>0.75244141522829677</v>
      </c>
      <c r="R689" s="1">
        <f t="shared" si="52"/>
        <v>0.86743381028658129</v>
      </c>
      <c r="S689" s="1">
        <f t="shared" si="53"/>
        <v>0.50218685776682359</v>
      </c>
      <c r="T689" s="56">
        <f t="shared" si="54"/>
        <v>0.69026866327887593</v>
      </c>
    </row>
    <row r="690" spans="1:20" x14ac:dyDescent="0.25">
      <c r="A690">
        <v>0.6783571912282822</v>
      </c>
      <c r="B690">
        <v>-0.8168490239768289</v>
      </c>
      <c r="D690">
        <v>0.72404202033368215</v>
      </c>
      <c r="E690">
        <v>2.4327625817477383</v>
      </c>
      <c r="I690">
        <v>0.40332429959678129</v>
      </c>
      <c r="J690">
        <v>15</v>
      </c>
      <c r="K690">
        <v>-8.934155933578343E-2</v>
      </c>
      <c r="L690">
        <v>6.4466794977329096</v>
      </c>
      <c r="M690">
        <v>15</v>
      </c>
      <c r="N690">
        <v>-0.43869113483196998</v>
      </c>
      <c r="O690">
        <v>94.318645546615429</v>
      </c>
      <c r="P690" s="1">
        <f t="shared" si="50"/>
        <v>3.5987616087267265</v>
      </c>
      <c r="Q690" s="1">
        <f t="shared" si="51"/>
        <v>0.47983488116356354</v>
      </c>
      <c r="R690" s="1">
        <f t="shared" si="52"/>
        <v>0.69270114852190301</v>
      </c>
      <c r="S690" s="1">
        <f t="shared" si="53"/>
        <v>0.50432943014694631</v>
      </c>
      <c r="T690" s="56">
        <f t="shared" si="54"/>
        <v>0.69101213421228913</v>
      </c>
    </row>
    <row r="691" spans="1:20" x14ac:dyDescent="0.25">
      <c r="A691">
        <v>0.6792329380627441</v>
      </c>
      <c r="B691">
        <v>-0.43352656575734727</v>
      </c>
      <c r="D691">
        <v>0.72404503356380301</v>
      </c>
      <c r="E691">
        <v>1.1864524333304871</v>
      </c>
      <c r="I691">
        <v>0.41512761291584854</v>
      </c>
      <c r="J691">
        <v>15</v>
      </c>
      <c r="K691">
        <v>6.7651020193200864E-2</v>
      </c>
      <c r="L691">
        <v>13.467677927042606</v>
      </c>
      <c r="M691">
        <v>15</v>
      </c>
      <c r="N691">
        <v>-0.34017148550447018</v>
      </c>
      <c r="O691">
        <v>123.46956756488039</v>
      </c>
      <c r="P691" s="1">
        <f t="shared" si="50"/>
        <v>4.8906159104258213</v>
      </c>
      <c r="Q691" s="1">
        <f t="shared" si="51"/>
        <v>0.65208212139010946</v>
      </c>
      <c r="R691" s="1">
        <f t="shared" si="52"/>
        <v>0.80751601927770411</v>
      </c>
      <c r="S691" s="1">
        <f t="shared" si="53"/>
        <v>0.50503333179997412</v>
      </c>
      <c r="T691" s="56">
        <f t="shared" si="54"/>
        <v>0.69125620780917141</v>
      </c>
    </row>
    <row r="692" spans="1:20" x14ac:dyDescent="0.25">
      <c r="A692">
        <v>0.68083257114140461</v>
      </c>
      <c r="B692">
        <v>0.69886937126284465</v>
      </c>
      <c r="D692">
        <v>0.72664606053773162</v>
      </c>
      <c r="E692">
        <v>0.52567156330951548</v>
      </c>
      <c r="I692">
        <v>0.15179153907518017</v>
      </c>
      <c r="J692">
        <v>15</v>
      </c>
      <c r="K692">
        <v>2.0006079163673956E-2</v>
      </c>
      <c r="L692">
        <v>14.940821396844859</v>
      </c>
      <c r="M692">
        <v>15</v>
      </c>
      <c r="N692">
        <v>-0.47440972025469819</v>
      </c>
      <c r="O692">
        <v>176.99502230840449</v>
      </c>
      <c r="P692" s="1">
        <f t="shared" si="50"/>
        <v>6.8548515609017624</v>
      </c>
      <c r="Q692" s="1">
        <f t="shared" si="51"/>
        <v>0.91398020812023495</v>
      </c>
      <c r="R692" s="1">
        <f t="shared" si="52"/>
        <v>0.95602312112220122</v>
      </c>
      <c r="S692" s="1">
        <f t="shared" si="53"/>
        <v>0.517158830675576</v>
      </c>
      <c r="T692" s="56">
        <f t="shared" si="54"/>
        <v>0.69544659761428596</v>
      </c>
    </row>
    <row r="693" spans="1:20" x14ac:dyDescent="0.25">
      <c r="A693">
        <v>0.68090285899751612</v>
      </c>
      <c r="B693">
        <v>-0.6704374300170457</v>
      </c>
      <c r="D693">
        <v>0.72671341682351309</v>
      </c>
      <c r="E693">
        <v>4.4129667423931096</v>
      </c>
      <c r="I693">
        <v>0.66108083565689058</v>
      </c>
      <c r="J693">
        <v>15</v>
      </c>
      <c r="K693">
        <v>0.14503317894802117</v>
      </c>
      <c r="L693">
        <v>11.586789338214251</v>
      </c>
      <c r="M693">
        <v>15</v>
      </c>
      <c r="N693">
        <v>-0.36978235925744229</v>
      </c>
      <c r="O693">
        <v>194.66272667225496</v>
      </c>
      <c r="P693" s="1">
        <f t="shared" si="50"/>
        <v>7.366054143231044</v>
      </c>
      <c r="Q693" s="1">
        <f t="shared" si="51"/>
        <v>0.98214055243080589</v>
      </c>
      <c r="R693" s="1">
        <f t="shared" si="52"/>
        <v>0.9910300461796332</v>
      </c>
      <c r="S693" s="1">
        <f t="shared" si="53"/>
        <v>0.51947520682147763</v>
      </c>
      <c r="T693" s="56">
        <f t="shared" si="54"/>
        <v>0.69624405900606101</v>
      </c>
    </row>
    <row r="694" spans="1:20" x14ac:dyDescent="0.25">
      <c r="A694">
        <v>0.68110136700348467</v>
      </c>
      <c r="B694">
        <v>8.3979330156580545E-2</v>
      </c>
      <c r="D694">
        <v>0.72769211916847187</v>
      </c>
      <c r="E694">
        <v>-5.1631802796237025</v>
      </c>
      <c r="I694">
        <v>0.2224187463168209</v>
      </c>
      <c r="J694">
        <v>15</v>
      </c>
      <c r="K694">
        <v>3.2690498604400396E-2</v>
      </c>
      <c r="L694">
        <v>8.4700143847286906</v>
      </c>
      <c r="M694">
        <v>15</v>
      </c>
      <c r="N694">
        <v>-0.35168477893421368</v>
      </c>
      <c r="O694">
        <v>103.11374277969048</v>
      </c>
      <c r="P694" s="1">
        <f t="shared" si="50"/>
        <v>3.9851341844435417</v>
      </c>
      <c r="Q694" s="1">
        <f t="shared" si="51"/>
        <v>0.53135122459247219</v>
      </c>
      <c r="R694" s="1">
        <f t="shared" si="52"/>
        <v>0.72893842304578249</v>
      </c>
      <c r="S694" s="1">
        <f t="shared" si="53"/>
        <v>0.52730829571659521</v>
      </c>
      <c r="T694" s="56">
        <f t="shared" si="54"/>
        <v>0.6989334589851729</v>
      </c>
    </row>
    <row r="695" spans="1:20" x14ac:dyDescent="0.25">
      <c r="A695">
        <v>0.68116041341689904</v>
      </c>
      <c r="B695">
        <v>-0.41803104977589101</v>
      </c>
      <c r="D695">
        <v>0.72830095549530027</v>
      </c>
      <c r="E695">
        <v>1.0225387507034611</v>
      </c>
      <c r="I695">
        <v>0.87787992689191163</v>
      </c>
      <c r="J695">
        <v>15</v>
      </c>
      <c r="K695">
        <v>-0.30678370421810541</v>
      </c>
      <c r="L695">
        <v>21.419783366302973</v>
      </c>
      <c r="M695">
        <v>15</v>
      </c>
      <c r="N695">
        <v>-0.72650528068152198</v>
      </c>
      <c r="O695">
        <v>110.07879668573662</v>
      </c>
      <c r="P695" s="1">
        <f t="shared" si="50"/>
        <v>4.696377859001414</v>
      </c>
      <c r="Q695" s="1">
        <f t="shared" si="51"/>
        <v>0.62618371453352184</v>
      </c>
      <c r="R695" s="1">
        <f t="shared" si="52"/>
        <v>0.79131770770880761</v>
      </c>
      <c r="S695" s="1">
        <f t="shared" si="53"/>
        <v>0.53040842176865255</v>
      </c>
      <c r="T695" s="56">
        <f t="shared" si="54"/>
        <v>0.69999471787096024</v>
      </c>
    </row>
    <row r="696" spans="1:20" x14ac:dyDescent="0.25">
      <c r="A696">
        <v>0.6827993358996205</v>
      </c>
      <c r="B696">
        <v>9.1428091764100827E-2</v>
      </c>
      <c r="D696">
        <v>0.72867910398051394</v>
      </c>
      <c r="E696">
        <v>3.0176813618254528</v>
      </c>
      <c r="I696">
        <v>0.16085885575288772</v>
      </c>
      <c r="J696">
        <v>15</v>
      </c>
      <c r="K696">
        <v>-5.9673463207824779E-3</v>
      </c>
      <c r="L696">
        <v>22.557585463789657</v>
      </c>
      <c r="M696">
        <v>15</v>
      </c>
      <c r="N696">
        <v>-0.46506761805176211</v>
      </c>
      <c r="O696">
        <v>130.43207081623169</v>
      </c>
      <c r="P696" s="1">
        <f t="shared" si="50"/>
        <v>5.4639162957150473</v>
      </c>
      <c r="Q696" s="1">
        <f t="shared" si="51"/>
        <v>0.72852217276200626</v>
      </c>
      <c r="R696" s="1">
        <f t="shared" si="52"/>
        <v>0.85353510341520589</v>
      </c>
      <c r="S696" s="1">
        <f t="shared" si="53"/>
        <v>0.53788094935288011</v>
      </c>
      <c r="T696" s="56">
        <f t="shared" si="54"/>
        <v>0.70254540820289846</v>
      </c>
    </row>
    <row r="697" spans="1:20" x14ac:dyDescent="0.25">
      <c r="A697">
        <v>0.68522473468477652</v>
      </c>
      <c r="B697">
        <v>0.88259866970474832</v>
      </c>
      <c r="D697">
        <v>0.73139080735688133</v>
      </c>
      <c r="E697">
        <v>5.5307857530806359</v>
      </c>
      <c r="I697">
        <v>0.17182897488380688</v>
      </c>
      <c r="J697">
        <v>15</v>
      </c>
      <c r="K697">
        <v>-4.3179473626272134E-2</v>
      </c>
      <c r="L697">
        <v>19.136855221450844</v>
      </c>
      <c r="M697">
        <v>15</v>
      </c>
      <c r="N697">
        <v>-0.51523648266993405</v>
      </c>
      <c r="O697">
        <v>140.67597351317372</v>
      </c>
      <c r="P697" s="1">
        <f t="shared" si="50"/>
        <v>5.707601026236591</v>
      </c>
      <c r="Q697" s="1">
        <f t="shared" si="51"/>
        <v>0.76101347016487875</v>
      </c>
      <c r="R697" s="1">
        <f t="shared" si="52"/>
        <v>0.87236086006014668</v>
      </c>
      <c r="S697" s="1">
        <f t="shared" si="53"/>
        <v>0.54112584671796826</v>
      </c>
      <c r="T697" s="56">
        <f t="shared" si="54"/>
        <v>0.70364976901512177</v>
      </c>
    </row>
    <row r="698" spans="1:20" x14ac:dyDescent="0.25">
      <c r="A698">
        <v>0.68553116715643292</v>
      </c>
      <c r="B698">
        <v>0.34861614039982669</v>
      </c>
      <c r="D698">
        <v>0.73241691546957854</v>
      </c>
      <c r="E698">
        <v>-0.48675292759980948</v>
      </c>
      <c r="I698">
        <v>0.34834767626119156</v>
      </c>
      <c r="J698">
        <v>15</v>
      </c>
      <c r="K698">
        <v>0.13614802204150087</v>
      </c>
      <c r="L698">
        <v>11.283252890601007</v>
      </c>
      <c r="M698">
        <v>15</v>
      </c>
      <c r="N698">
        <v>-0.30729689001418592</v>
      </c>
      <c r="O698">
        <v>129.66059616914134</v>
      </c>
      <c r="P698" s="1">
        <f t="shared" si="50"/>
        <v>5.0337088949907978</v>
      </c>
      <c r="Q698" s="1">
        <f t="shared" si="51"/>
        <v>0.67116118599877306</v>
      </c>
      <c r="R698" s="1">
        <f t="shared" si="52"/>
        <v>0.81924427736711902</v>
      </c>
      <c r="S698" s="1">
        <f t="shared" si="53"/>
        <v>0.5412853336990362</v>
      </c>
      <c r="T698" s="56">
        <f t="shared" si="54"/>
        <v>0.70370399730859146</v>
      </c>
    </row>
    <row r="699" spans="1:20" x14ac:dyDescent="0.25">
      <c r="A699">
        <v>0.68638025017276649</v>
      </c>
      <c r="B699">
        <v>1.4400757208932191</v>
      </c>
      <c r="D699">
        <v>0.73254665957610854</v>
      </c>
      <c r="E699">
        <v>3.7691604541123525</v>
      </c>
      <c r="I699">
        <v>0.21786328887970918</v>
      </c>
      <c r="J699">
        <v>15</v>
      </c>
      <c r="K699">
        <v>0.33666477368872921</v>
      </c>
      <c r="L699">
        <v>11.223125443169479</v>
      </c>
      <c r="M699">
        <v>15</v>
      </c>
      <c r="N699">
        <v>-0.19913341361643688</v>
      </c>
      <c r="O699">
        <v>193.70292862977155</v>
      </c>
      <c r="P699" s="1">
        <f t="shared" si="50"/>
        <v>7.3187876454621801</v>
      </c>
      <c r="Q699" s="1">
        <f t="shared" si="51"/>
        <v>0.97583835272829067</v>
      </c>
      <c r="R699" s="1">
        <f t="shared" si="52"/>
        <v>0.98784530809651094</v>
      </c>
      <c r="S699" s="1">
        <f t="shared" si="53"/>
        <v>0.54239078012892616</v>
      </c>
      <c r="T699" s="56">
        <f t="shared" si="54"/>
        <v>0.7040797360079285</v>
      </c>
    </row>
    <row r="700" spans="1:20" x14ac:dyDescent="0.25">
      <c r="A700">
        <v>0.68672435541566956</v>
      </c>
      <c r="B700">
        <v>0.35846824175678194</v>
      </c>
      <c r="D700">
        <v>0.73456304511034676</v>
      </c>
      <c r="E700">
        <v>-1.4361937735429819</v>
      </c>
      <c r="I700">
        <v>6.7053344439755747E-2</v>
      </c>
      <c r="J700">
        <v>15</v>
      </c>
      <c r="K700">
        <v>0.13912085705669597</v>
      </c>
      <c r="L700">
        <v>11.991032919935789</v>
      </c>
      <c r="M700">
        <v>15</v>
      </c>
      <c r="N700">
        <v>-0.18868331949306594</v>
      </c>
      <c r="O700">
        <v>64.248735514801552</v>
      </c>
      <c r="P700" s="1">
        <f t="shared" si="50"/>
        <v>2.7228488726691906</v>
      </c>
      <c r="Q700" s="1">
        <f t="shared" si="51"/>
        <v>0.36304651635589208</v>
      </c>
      <c r="R700" s="1">
        <f t="shared" si="52"/>
        <v>0.60253341513636571</v>
      </c>
      <c r="S700" s="1">
        <f t="shared" si="53"/>
        <v>0.54404314900207329</v>
      </c>
      <c r="T700" s="56">
        <f t="shared" si="54"/>
        <v>0.70464094189229232</v>
      </c>
    </row>
    <row r="701" spans="1:20" x14ac:dyDescent="0.25">
      <c r="A701">
        <v>0.68767081251401352</v>
      </c>
      <c r="B701">
        <v>-0.22773974706069566</v>
      </c>
      <c r="D701">
        <v>0.73478524064124107</v>
      </c>
      <c r="E701">
        <v>-1.8609914639000635</v>
      </c>
      <c r="I701">
        <v>0.68611852716315669</v>
      </c>
      <c r="J701">
        <v>15</v>
      </c>
      <c r="K701">
        <v>0.21101444265999211</v>
      </c>
      <c r="L701">
        <v>11.259545739360838</v>
      </c>
      <c r="M701">
        <v>15</v>
      </c>
      <c r="N701">
        <v>-0.29323132707759214</v>
      </c>
      <c r="O701">
        <v>167.6085094203481</v>
      </c>
      <c r="P701" s="1">
        <f t="shared" si="50"/>
        <v>6.3881448271324626</v>
      </c>
      <c r="Q701" s="1">
        <f t="shared" si="51"/>
        <v>0.85175264361766168</v>
      </c>
      <c r="R701" s="1">
        <f t="shared" si="52"/>
        <v>0.92290446072042676</v>
      </c>
      <c r="S701" s="1">
        <f t="shared" si="53"/>
        <v>0.54636833084972403</v>
      </c>
      <c r="T701" s="56">
        <f t="shared" si="54"/>
        <v>0.70542978451156579</v>
      </c>
    </row>
    <row r="702" spans="1:20" x14ac:dyDescent="0.25">
      <c r="A702">
        <v>0.68820214996178308</v>
      </c>
      <c r="B702">
        <v>0.13400494935922325</v>
      </c>
      <c r="D702">
        <v>0.73724116510646975</v>
      </c>
      <c r="E702">
        <v>-5.9853543950794119</v>
      </c>
      <c r="I702">
        <v>0.68022505753794249</v>
      </c>
      <c r="J702">
        <v>15</v>
      </c>
      <c r="K702">
        <v>-7.0151296919599801E-2</v>
      </c>
      <c r="L702">
        <v>9.9426006795090593</v>
      </c>
      <c r="M702">
        <v>15</v>
      </c>
      <c r="N702">
        <v>-0.53014537456874677</v>
      </c>
      <c r="O702">
        <v>137.66154017954972</v>
      </c>
      <c r="P702" s="1">
        <f t="shared" si="50"/>
        <v>5.2715764592520999</v>
      </c>
      <c r="Q702" s="1">
        <f t="shared" si="51"/>
        <v>0.70287686123361337</v>
      </c>
      <c r="R702" s="1">
        <f t="shared" si="52"/>
        <v>0.83837751713271358</v>
      </c>
      <c r="S702" s="1">
        <f t="shared" si="53"/>
        <v>0.54867177166480574</v>
      </c>
      <c r="T702" s="56">
        <f t="shared" si="54"/>
        <v>0.70621023929020099</v>
      </c>
    </row>
    <row r="703" spans="1:20" x14ac:dyDescent="0.25">
      <c r="A703">
        <v>0.68845084515768551</v>
      </c>
      <c r="B703">
        <v>1.2484679245972075</v>
      </c>
      <c r="D703">
        <v>0.73751798740956742</v>
      </c>
      <c r="E703">
        <v>0.56010503271863854</v>
      </c>
      <c r="I703">
        <v>0.85310681732758231</v>
      </c>
      <c r="J703">
        <v>15</v>
      </c>
      <c r="K703">
        <v>-0.18357066740766945</v>
      </c>
      <c r="L703">
        <v>14.283714177207321</v>
      </c>
      <c r="M703">
        <v>15</v>
      </c>
      <c r="N703">
        <v>-0.70571786977779993</v>
      </c>
      <c r="O703">
        <v>171.01405204070704</v>
      </c>
      <c r="P703" s="1">
        <f t="shared" si="50"/>
        <v>6.6177773649255132</v>
      </c>
      <c r="Q703" s="1">
        <f t="shared" si="51"/>
        <v>0.88237031532340171</v>
      </c>
      <c r="R703" s="1">
        <f t="shared" si="52"/>
        <v>0.93934568467811774</v>
      </c>
      <c r="S703" s="1">
        <f t="shared" si="53"/>
        <v>0.55586267216318008</v>
      </c>
      <c r="T703" s="56">
        <f t="shared" si="54"/>
        <v>0.70864015802794245</v>
      </c>
    </row>
    <row r="704" spans="1:20" x14ac:dyDescent="0.25">
      <c r="A704">
        <v>0.68854142730085011</v>
      </c>
      <c r="B704">
        <v>-0.50571543397381902</v>
      </c>
      <c r="D704">
        <v>0.74059997711765624</v>
      </c>
      <c r="E704">
        <v>2.2640672307261411</v>
      </c>
      <c r="I704">
        <v>4.7394899284743941E-3</v>
      </c>
      <c r="J704">
        <v>15</v>
      </c>
      <c r="K704">
        <v>-0.21947100018830193</v>
      </c>
      <c r="L704">
        <v>16.100404516618074</v>
      </c>
      <c r="M704">
        <v>15</v>
      </c>
      <c r="N704">
        <v>-0.84699968624590838</v>
      </c>
      <c r="O704">
        <v>239.41463607327424</v>
      </c>
      <c r="P704" s="1">
        <f t="shared" si="50"/>
        <v>9.1255371639247258</v>
      </c>
      <c r="Q704" s="1">
        <f t="shared" si="51"/>
        <v>1.2167382885232967</v>
      </c>
      <c r="R704" s="1">
        <f t="shared" si="52"/>
        <v>1.1030586061145149</v>
      </c>
      <c r="S704" s="1">
        <f t="shared" si="53"/>
        <v>0.56889877163286384</v>
      </c>
      <c r="T704" s="56">
        <f t="shared" si="54"/>
        <v>0.71301988673821282</v>
      </c>
    </row>
    <row r="705" spans="1:20" x14ac:dyDescent="0.25">
      <c r="A705">
        <v>0.69029190650617023</v>
      </c>
      <c r="B705">
        <v>-0.45353090172284283</v>
      </c>
      <c r="D705">
        <v>0.74109786670648814</v>
      </c>
      <c r="E705">
        <v>-1.3849187359937787</v>
      </c>
      <c r="I705">
        <v>0.84366294027430377</v>
      </c>
      <c r="J705">
        <v>15</v>
      </c>
      <c r="K705">
        <v>0.1745232414881078</v>
      </c>
      <c r="L705">
        <v>12.680745575833386</v>
      </c>
      <c r="M705">
        <v>15</v>
      </c>
      <c r="N705">
        <v>-0.14889269891682488</v>
      </c>
      <c r="O705">
        <v>54.678404462349128</v>
      </c>
      <c r="P705" s="1">
        <f t="shared" si="50"/>
        <v>2.4056839299350901</v>
      </c>
      <c r="Q705" s="1">
        <f t="shared" si="51"/>
        <v>0.32075785732467865</v>
      </c>
      <c r="R705" s="1">
        <f t="shared" si="52"/>
        <v>0.5663548863783896</v>
      </c>
      <c r="S705" s="1">
        <f t="shared" si="53"/>
        <v>0.57104820349135998</v>
      </c>
      <c r="T705" s="56">
        <f t="shared" si="54"/>
        <v>0.71373886121487184</v>
      </c>
    </row>
    <row r="706" spans="1:20" x14ac:dyDescent="0.25">
      <c r="A706">
        <v>0.69223792065307688</v>
      </c>
      <c r="B706">
        <v>-0.18553464542492293</v>
      </c>
      <c r="D706">
        <v>0.74138171811534237</v>
      </c>
      <c r="E706">
        <v>-1.2145249036166206</v>
      </c>
      <c r="I706">
        <v>0.64864903406549479</v>
      </c>
      <c r="J706">
        <v>15</v>
      </c>
      <c r="K706">
        <v>0.10771964298328385</v>
      </c>
      <c r="L706">
        <v>13.145271211438082</v>
      </c>
      <c r="M706">
        <v>15</v>
      </c>
      <c r="N706">
        <v>-0.3602444883199496</v>
      </c>
      <c r="O706">
        <v>127.09622818900073</v>
      </c>
      <c r="P706" s="1">
        <f t="shared" ref="P706:P769" si="55">(L706+O706)/(J706+M706-2)</f>
        <v>5.0086249785871004</v>
      </c>
      <c r="Q706" s="1">
        <f t="shared" ref="Q706:Q769" si="56">P706*(2/15)</f>
        <v>0.66781666381161342</v>
      </c>
      <c r="R706" s="1">
        <f t="shared" ref="R706:R769" si="57">SQRT(Q706)</f>
        <v>0.81720050404512934</v>
      </c>
      <c r="S706" s="1">
        <f t="shared" ref="S706:S769" si="58">(K706-N706)/R706</f>
        <v>0.57264297927720131</v>
      </c>
      <c r="T706" s="56">
        <f t="shared" ref="T706:T769" si="59">_xlfn.T.DIST(S706,28,TRUE)</f>
        <v>0.71427172257506011</v>
      </c>
    </row>
    <row r="707" spans="1:20" x14ac:dyDescent="0.25">
      <c r="A707">
        <v>0.69224274821804221</v>
      </c>
      <c r="B707">
        <v>0.42338115235907026</v>
      </c>
      <c r="D707">
        <v>0.74175412533283724</v>
      </c>
      <c r="E707">
        <v>-2.2841725274247437</v>
      </c>
      <c r="I707">
        <v>0.24056368797040628</v>
      </c>
      <c r="J707">
        <v>15</v>
      </c>
      <c r="K707">
        <v>-0.1665118816163158</v>
      </c>
      <c r="L707">
        <v>13.368836563413035</v>
      </c>
      <c r="M707">
        <v>15</v>
      </c>
      <c r="N707">
        <v>-0.670114335434846</v>
      </c>
      <c r="O707">
        <v>146.5613637769188</v>
      </c>
      <c r="P707" s="1">
        <f t="shared" si="55"/>
        <v>5.7117928692975655</v>
      </c>
      <c r="Q707" s="1">
        <f t="shared" si="56"/>
        <v>0.76157238257300874</v>
      </c>
      <c r="R707" s="1">
        <f t="shared" si="57"/>
        <v>0.87268114599377522</v>
      </c>
      <c r="S707" s="1">
        <f t="shared" si="58"/>
        <v>0.57707497879428504</v>
      </c>
      <c r="T707" s="56">
        <f t="shared" si="59"/>
        <v>0.71574996606077379</v>
      </c>
    </row>
    <row r="708" spans="1:20" x14ac:dyDescent="0.25">
      <c r="A708">
        <v>0.69251501694697826</v>
      </c>
      <c r="B708">
        <v>-0.9662221600592602</v>
      </c>
      <c r="D708">
        <v>0.7432895233757566</v>
      </c>
      <c r="E708">
        <v>-0.23622010644430702</v>
      </c>
      <c r="I708">
        <v>0.58570885382722027</v>
      </c>
      <c r="J708">
        <v>15</v>
      </c>
      <c r="K708">
        <v>-0.43655374308097333</v>
      </c>
      <c r="L708">
        <v>8.4237715311268939</v>
      </c>
      <c r="M708">
        <v>15</v>
      </c>
      <c r="N708">
        <v>-0.96503618237875344</v>
      </c>
      <c r="O708">
        <v>165.80712524034328</v>
      </c>
      <c r="P708" s="1">
        <f t="shared" si="55"/>
        <v>6.2225320275525062</v>
      </c>
      <c r="Q708" s="1">
        <f t="shared" si="56"/>
        <v>0.82967093700700079</v>
      </c>
      <c r="R708" s="1">
        <f t="shared" si="57"/>
        <v>0.91086274323138328</v>
      </c>
      <c r="S708" s="1">
        <f t="shared" si="58"/>
        <v>0.5801998635084491</v>
      </c>
      <c r="T708" s="56">
        <f t="shared" si="59"/>
        <v>0.71678991418445459</v>
      </c>
    </row>
    <row r="709" spans="1:20" x14ac:dyDescent="0.25">
      <c r="A709">
        <v>0.69314208726274296</v>
      </c>
      <c r="B709">
        <v>0.23897996470623184</v>
      </c>
      <c r="D709">
        <v>0.74342397503255375</v>
      </c>
      <c r="E709">
        <v>1.6030714925818756</v>
      </c>
      <c r="I709">
        <v>0.79362946574650595</v>
      </c>
      <c r="J709">
        <v>15</v>
      </c>
      <c r="K709">
        <v>0.19931151958492896</v>
      </c>
      <c r="L709">
        <v>13.411165090539098</v>
      </c>
      <c r="M709">
        <v>15</v>
      </c>
      <c r="N709">
        <v>-0.22346057789945917</v>
      </c>
      <c r="O709">
        <v>98.087911994074702</v>
      </c>
      <c r="P709" s="1">
        <f t="shared" si="55"/>
        <v>3.9821098958790642</v>
      </c>
      <c r="Q709" s="1">
        <f t="shared" si="56"/>
        <v>0.5309479861172085</v>
      </c>
      <c r="R709" s="1">
        <f t="shared" si="57"/>
        <v>0.72866177758766004</v>
      </c>
      <c r="S709" s="1">
        <f t="shared" si="58"/>
        <v>0.58020347778366554</v>
      </c>
      <c r="T709" s="56">
        <f t="shared" si="59"/>
        <v>0.71679111588471955</v>
      </c>
    </row>
    <row r="710" spans="1:20" x14ac:dyDescent="0.25">
      <c r="A710">
        <v>0.69353119263516605</v>
      </c>
      <c r="B710">
        <v>1.2671989679802209</v>
      </c>
      <c r="D710">
        <v>0.74358998069333138</v>
      </c>
      <c r="E710">
        <v>3.1563224604269635</v>
      </c>
      <c r="I710">
        <v>0.11153060860625841</v>
      </c>
      <c r="J710">
        <v>15</v>
      </c>
      <c r="K710">
        <v>4.8356772216114528E-2</v>
      </c>
      <c r="L710">
        <v>14.355914845779212</v>
      </c>
      <c r="M710">
        <v>15</v>
      </c>
      <c r="N710">
        <v>-0.46355808422049449</v>
      </c>
      <c r="O710">
        <v>142.52845610733795</v>
      </c>
      <c r="P710" s="1">
        <f t="shared" si="55"/>
        <v>5.6030132483256123</v>
      </c>
      <c r="Q710" s="1">
        <f t="shared" si="56"/>
        <v>0.74706843311008164</v>
      </c>
      <c r="R710" s="1">
        <f t="shared" si="57"/>
        <v>0.86433120567874999</v>
      </c>
      <c r="S710" s="1">
        <f t="shared" si="58"/>
        <v>0.59226700722277847</v>
      </c>
      <c r="T710" s="56">
        <f t="shared" si="59"/>
        <v>0.72078765278456081</v>
      </c>
    </row>
    <row r="711" spans="1:20" x14ac:dyDescent="0.25">
      <c r="A711">
        <v>0.69355978883278635</v>
      </c>
      <c r="B711">
        <v>0.18701484805205837</v>
      </c>
      <c r="D711">
        <v>0.74406952067596277</v>
      </c>
      <c r="E711">
        <v>3.6076137314466905</v>
      </c>
      <c r="I711">
        <v>0.15381581960153845</v>
      </c>
      <c r="J711">
        <v>15</v>
      </c>
      <c r="K711">
        <v>-0.1932642135216156</v>
      </c>
      <c r="L711">
        <v>13.099402942790258</v>
      </c>
      <c r="M711">
        <v>15</v>
      </c>
      <c r="N711">
        <v>-0.64986466327354719</v>
      </c>
      <c r="O711">
        <v>111.25684788493643</v>
      </c>
      <c r="P711" s="1">
        <f t="shared" si="55"/>
        <v>4.4412946724188105</v>
      </c>
      <c r="Q711" s="1">
        <f t="shared" si="56"/>
        <v>0.59217262298917472</v>
      </c>
      <c r="R711" s="1">
        <f t="shared" si="57"/>
        <v>0.76952753231393534</v>
      </c>
      <c r="S711" s="1">
        <f t="shared" si="58"/>
        <v>0.59335167434354708</v>
      </c>
      <c r="T711" s="56">
        <f t="shared" si="59"/>
        <v>0.72114557256574863</v>
      </c>
    </row>
    <row r="712" spans="1:20" x14ac:dyDescent="0.25">
      <c r="A712">
        <v>0.69369079385148846</v>
      </c>
      <c r="B712">
        <v>0.54825932238600217</v>
      </c>
      <c r="D712">
        <v>0.74615872858233823</v>
      </c>
      <c r="E712">
        <v>0.27106647962682473</v>
      </c>
      <c r="I712">
        <v>0.51912118056522849</v>
      </c>
      <c r="J712">
        <v>15</v>
      </c>
      <c r="K712">
        <v>-0.11157142883651734</v>
      </c>
      <c r="L712">
        <v>18.416084403731531</v>
      </c>
      <c r="M712">
        <v>15</v>
      </c>
      <c r="N712">
        <v>-0.69449083980543946</v>
      </c>
      <c r="O712">
        <v>184.08454589272603</v>
      </c>
      <c r="P712" s="1">
        <f t="shared" si="55"/>
        <v>7.2321653677306275</v>
      </c>
      <c r="Q712" s="1">
        <f t="shared" si="56"/>
        <v>0.96428871569741703</v>
      </c>
      <c r="R712" s="1">
        <f t="shared" si="57"/>
        <v>0.98198203430481201</v>
      </c>
      <c r="S712" s="1">
        <f t="shared" si="58"/>
        <v>0.59361514834800033</v>
      </c>
      <c r="T712" s="56">
        <f t="shared" si="59"/>
        <v>0.72123247849344152</v>
      </c>
    </row>
    <row r="713" spans="1:20" x14ac:dyDescent="0.25">
      <c r="A713">
        <v>0.6936960665204206</v>
      </c>
      <c r="B713">
        <v>-0.62830849856254645</v>
      </c>
      <c r="D713">
        <v>0.74664196813724393</v>
      </c>
      <c r="E713">
        <v>3.7722777472026792</v>
      </c>
      <c r="I713">
        <v>0.47108786353762089</v>
      </c>
      <c r="J713">
        <v>15</v>
      </c>
      <c r="K713">
        <v>-0.39201177060022019</v>
      </c>
      <c r="L713">
        <v>16.73562940182099</v>
      </c>
      <c r="M713">
        <v>15</v>
      </c>
      <c r="N713">
        <v>-0.87615126517448516</v>
      </c>
      <c r="O713">
        <v>122.8853178101683</v>
      </c>
      <c r="P713" s="1">
        <f t="shared" si="55"/>
        <v>4.9864624004281888</v>
      </c>
      <c r="Q713" s="1">
        <f t="shared" si="56"/>
        <v>0.66486165339042513</v>
      </c>
      <c r="R713" s="1">
        <f t="shared" si="57"/>
        <v>0.81539049135394337</v>
      </c>
      <c r="S713" s="1">
        <f t="shared" si="58"/>
        <v>0.5937517051129193</v>
      </c>
      <c r="T713" s="56">
        <f t="shared" si="59"/>
        <v>0.72127751576871468</v>
      </c>
    </row>
    <row r="714" spans="1:20" x14ac:dyDescent="0.25">
      <c r="A714">
        <v>0.69457655610891522</v>
      </c>
      <c r="B714">
        <v>0.3589582320273621</v>
      </c>
      <c r="D714">
        <v>0.74747987648473668</v>
      </c>
      <c r="E714">
        <v>-4.4246478444165405</v>
      </c>
      <c r="I714">
        <v>0.79200313103584341</v>
      </c>
      <c r="J714">
        <v>15</v>
      </c>
      <c r="K714">
        <v>0.12168470675533172</v>
      </c>
      <c r="L714">
        <v>21.053446448401822</v>
      </c>
      <c r="M714">
        <v>15</v>
      </c>
      <c r="N714">
        <v>-0.33194283219017962</v>
      </c>
      <c r="O714">
        <v>101.34778691533695</v>
      </c>
      <c r="P714" s="1">
        <f t="shared" si="55"/>
        <v>4.3714726201335283</v>
      </c>
      <c r="Q714" s="1">
        <f t="shared" si="56"/>
        <v>0.58286301601780377</v>
      </c>
      <c r="R714" s="1">
        <f t="shared" si="57"/>
        <v>0.76345465878322061</v>
      </c>
      <c r="S714" s="1">
        <f t="shared" si="58"/>
        <v>0.59417744554535068</v>
      </c>
      <c r="T714" s="56">
        <f t="shared" si="59"/>
        <v>0.72141790365050873</v>
      </c>
    </row>
    <row r="715" spans="1:20" x14ac:dyDescent="0.25">
      <c r="A715">
        <v>0.695063275461411</v>
      </c>
      <c r="B715">
        <v>1.6234389477176592</v>
      </c>
      <c r="D715">
        <v>0.74885473945449321</v>
      </c>
      <c r="E715">
        <v>-1.3491073821114696</v>
      </c>
      <c r="I715">
        <v>0.5705595892185642</v>
      </c>
      <c r="J715">
        <v>15</v>
      </c>
      <c r="K715">
        <v>-4.3708269004127942E-2</v>
      </c>
      <c r="L715">
        <v>12.655142752019762</v>
      </c>
      <c r="M715">
        <v>15</v>
      </c>
      <c r="N715">
        <v>-0.48174343078244419</v>
      </c>
      <c r="O715">
        <v>101.26566314607953</v>
      </c>
      <c r="P715" s="1">
        <f t="shared" si="55"/>
        <v>4.0686002106464034</v>
      </c>
      <c r="Q715" s="1">
        <f t="shared" si="56"/>
        <v>0.54248002808618712</v>
      </c>
      <c r="R715" s="1">
        <f t="shared" si="57"/>
        <v>0.73653243518950817</v>
      </c>
      <c r="S715" s="1">
        <f t="shared" si="58"/>
        <v>0.59472623451485984</v>
      </c>
      <c r="T715" s="56">
        <f t="shared" si="59"/>
        <v>0.72159881319637276</v>
      </c>
    </row>
    <row r="716" spans="1:20" x14ac:dyDescent="0.25">
      <c r="A716">
        <v>0.69514785467426543</v>
      </c>
      <c r="B716">
        <v>0.16688773030182347</v>
      </c>
      <c r="D716">
        <v>0.75004107870519887</v>
      </c>
      <c r="E716">
        <v>-2.0694612919669453</v>
      </c>
      <c r="I716">
        <v>0.47170689290297518</v>
      </c>
      <c r="J716">
        <v>15</v>
      </c>
      <c r="K716">
        <v>-0.30878527468303218</v>
      </c>
      <c r="L716">
        <v>17.471951714320802</v>
      </c>
      <c r="M716">
        <v>15</v>
      </c>
      <c r="N716">
        <v>-0.83998293462173024</v>
      </c>
      <c r="O716">
        <v>149.40965176336977</v>
      </c>
      <c r="P716" s="1">
        <f t="shared" si="55"/>
        <v>5.9600572670603773</v>
      </c>
      <c r="Q716" s="1">
        <f t="shared" si="56"/>
        <v>0.79467430227471691</v>
      </c>
      <c r="R716" s="1">
        <f t="shared" si="57"/>
        <v>0.89144506408118995</v>
      </c>
      <c r="S716" s="1">
        <f t="shared" si="58"/>
        <v>0.59588378616039794</v>
      </c>
      <c r="T716" s="56">
        <f t="shared" si="59"/>
        <v>0.72198020471702651</v>
      </c>
    </row>
    <row r="717" spans="1:20" x14ac:dyDescent="0.25">
      <c r="A717">
        <v>0.69530104829890382</v>
      </c>
      <c r="B717">
        <v>-0.42765122998389415</v>
      </c>
      <c r="D717">
        <v>0.75462789942584274</v>
      </c>
      <c r="E717">
        <v>-0.80091740869647765</v>
      </c>
      <c r="I717">
        <v>5.6983022576220344E-2</v>
      </c>
      <c r="J717">
        <v>15</v>
      </c>
      <c r="K717">
        <v>0.28267292388287996</v>
      </c>
      <c r="L717">
        <v>16.674652157981356</v>
      </c>
      <c r="M717">
        <v>15</v>
      </c>
      <c r="N717">
        <v>-0.55674286500106973</v>
      </c>
      <c r="O717">
        <v>399.22258293226429</v>
      </c>
      <c r="P717" s="1">
        <f t="shared" si="55"/>
        <v>14.853472681794488</v>
      </c>
      <c r="Q717" s="1">
        <f t="shared" si="56"/>
        <v>1.9804630242392649</v>
      </c>
      <c r="R717" s="1">
        <f t="shared" si="57"/>
        <v>1.4072892468285492</v>
      </c>
      <c r="S717" s="1">
        <f t="shared" si="58"/>
        <v>0.59647708584119963</v>
      </c>
      <c r="T717" s="56">
        <f t="shared" si="59"/>
        <v>0.72217558158021</v>
      </c>
    </row>
    <row r="718" spans="1:20" x14ac:dyDescent="0.25">
      <c r="A718">
        <v>0.69948356026690239</v>
      </c>
      <c r="B718">
        <v>-0.75242382990836632</v>
      </c>
      <c r="D718">
        <v>0.75657913095020679</v>
      </c>
      <c r="E718">
        <v>-2.2880981339312711</v>
      </c>
      <c r="I718">
        <v>0.85990671859083723</v>
      </c>
      <c r="J718">
        <v>15</v>
      </c>
      <c r="K718">
        <v>-8.4407929534791037E-3</v>
      </c>
      <c r="L718">
        <v>18.701622384738368</v>
      </c>
      <c r="M718">
        <v>15</v>
      </c>
      <c r="N718">
        <v>-0.60021102740392962</v>
      </c>
      <c r="O718">
        <v>185.90103270772406</v>
      </c>
      <c r="P718" s="1">
        <f t="shared" si="55"/>
        <v>7.3072376818736577</v>
      </c>
      <c r="Q718" s="1">
        <f t="shared" si="56"/>
        <v>0.97429835758315431</v>
      </c>
      <c r="R718" s="1">
        <f t="shared" si="57"/>
        <v>0.98706552851528262</v>
      </c>
      <c r="S718" s="1">
        <f t="shared" si="58"/>
        <v>0.59952477049884967</v>
      </c>
      <c r="T718" s="56">
        <f t="shared" si="59"/>
        <v>0.7231780856762291</v>
      </c>
    </row>
    <row r="719" spans="1:20" x14ac:dyDescent="0.25">
      <c r="A719">
        <v>0.70071256212533084</v>
      </c>
      <c r="B719">
        <v>-1.7894035408971831</v>
      </c>
      <c r="D719">
        <v>0.75669138483222564</v>
      </c>
      <c r="E719">
        <v>-2.4857188270743791</v>
      </c>
      <c r="I719">
        <v>0.92986916594233227</v>
      </c>
      <c r="J719">
        <v>15</v>
      </c>
      <c r="K719">
        <v>0.16526337276445702</v>
      </c>
      <c r="L719">
        <v>6.361529361243953</v>
      </c>
      <c r="M719">
        <v>15</v>
      </c>
      <c r="N719">
        <v>-0.30877686526764592</v>
      </c>
      <c r="O719">
        <v>123.5684247965042</v>
      </c>
      <c r="P719" s="1">
        <f t="shared" si="55"/>
        <v>4.6403555056338632</v>
      </c>
      <c r="Q719" s="1">
        <f t="shared" si="56"/>
        <v>0.6187140674178484</v>
      </c>
      <c r="R719" s="1">
        <f t="shared" si="57"/>
        <v>0.78658379554746005</v>
      </c>
      <c r="S719" s="1">
        <f t="shared" si="58"/>
        <v>0.60265700960972923</v>
      </c>
      <c r="T719" s="56">
        <f t="shared" si="59"/>
        <v>0.72420645306253273</v>
      </c>
    </row>
    <row r="720" spans="1:20" x14ac:dyDescent="0.25">
      <c r="A720">
        <v>0.70090520279996782</v>
      </c>
      <c r="B720">
        <v>1.8166065274272114</v>
      </c>
      <c r="D720">
        <v>0.75730313188717469</v>
      </c>
      <c r="E720">
        <v>-1.8937742004254687</v>
      </c>
      <c r="I720">
        <v>0.15418280439238674</v>
      </c>
      <c r="J720">
        <v>15</v>
      </c>
      <c r="K720">
        <v>-0.18287429763101196</v>
      </c>
      <c r="L720">
        <v>15.876386862014311</v>
      </c>
      <c r="M720">
        <v>15</v>
      </c>
      <c r="N720">
        <v>-0.83226450783513428</v>
      </c>
      <c r="O720">
        <v>225.06717150530272</v>
      </c>
      <c r="P720" s="1">
        <f t="shared" si="55"/>
        <v>8.6051270845470373</v>
      </c>
      <c r="Q720" s="1">
        <f t="shared" si="56"/>
        <v>1.147350277939605</v>
      </c>
      <c r="R720" s="1">
        <f t="shared" si="57"/>
        <v>1.0711443777286072</v>
      </c>
      <c r="S720" s="1">
        <f t="shared" si="58"/>
        <v>0.60625833800404494</v>
      </c>
      <c r="T720" s="56">
        <f t="shared" si="59"/>
        <v>0.7253863795007256</v>
      </c>
    </row>
    <row r="721" spans="1:20" x14ac:dyDescent="0.25">
      <c r="A721">
        <v>0.70192406226157211</v>
      </c>
      <c r="B721">
        <v>-9.865175343293231E-2</v>
      </c>
      <c r="D721">
        <v>0.75790570485073017</v>
      </c>
      <c r="E721">
        <v>-1.6775486562892183</v>
      </c>
      <c r="I721">
        <v>0.39170546565303133</v>
      </c>
      <c r="J721">
        <v>15</v>
      </c>
      <c r="K721">
        <v>0.25938053719679982</v>
      </c>
      <c r="L721">
        <v>14.345744692827711</v>
      </c>
      <c r="M721">
        <v>15</v>
      </c>
      <c r="N721">
        <v>-0.3430468530041253</v>
      </c>
      <c r="O721">
        <v>192.45673300587552</v>
      </c>
      <c r="P721" s="1">
        <f t="shared" si="55"/>
        <v>7.385802774953687</v>
      </c>
      <c r="Q721" s="1">
        <f t="shared" si="56"/>
        <v>0.9847737033271583</v>
      </c>
      <c r="R721" s="1">
        <f t="shared" si="57"/>
        <v>0.99235764889839906</v>
      </c>
      <c r="S721" s="1">
        <f t="shared" si="58"/>
        <v>0.60706680788894063</v>
      </c>
      <c r="T721" s="56">
        <f t="shared" si="59"/>
        <v>0.72565090246206787</v>
      </c>
    </row>
    <row r="722" spans="1:20" x14ac:dyDescent="0.25">
      <c r="A722">
        <v>0.70348343400310431</v>
      </c>
      <c r="B722">
        <v>0.22852418624097481</v>
      </c>
      <c r="D722">
        <v>0.75798557252903409</v>
      </c>
      <c r="E722">
        <v>2.7810672202122078</v>
      </c>
      <c r="I722">
        <v>0.57162780746510677</v>
      </c>
      <c r="J722">
        <v>15</v>
      </c>
      <c r="K722">
        <v>0.58551518122840207</v>
      </c>
      <c r="L722">
        <v>12.565048696679195</v>
      </c>
      <c r="M722">
        <v>15</v>
      </c>
      <c r="N722">
        <v>7.3690895305844606E-2</v>
      </c>
      <c r="O722">
        <v>136.11645607949578</v>
      </c>
      <c r="P722" s="1">
        <f t="shared" si="55"/>
        <v>5.3100537420062484</v>
      </c>
      <c r="Q722" s="1">
        <f t="shared" si="56"/>
        <v>0.7080071656008331</v>
      </c>
      <c r="R722" s="1">
        <f t="shared" si="57"/>
        <v>0.84143161671096789</v>
      </c>
      <c r="S722" s="1">
        <f t="shared" si="58"/>
        <v>0.60827793460293678</v>
      </c>
      <c r="T722" s="56">
        <f t="shared" si="59"/>
        <v>0.72604692226575962</v>
      </c>
    </row>
    <row r="723" spans="1:20" x14ac:dyDescent="0.25">
      <c r="A723">
        <v>0.70428675506062544</v>
      </c>
      <c r="B723">
        <v>-0.33191781767527573</v>
      </c>
      <c r="D723">
        <v>0.75839736092370802</v>
      </c>
      <c r="E723">
        <v>-1.30247417814644</v>
      </c>
      <c r="I723">
        <v>0.91936564596133064</v>
      </c>
      <c r="J723">
        <v>15</v>
      </c>
      <c r="K723">
        <v>0.35947709875472356</v>
      </c>
      <c r="L723">
        <v>8.1606007814781449</v>
      </c>
      <c r="M723">
        <v>15</v>
      </c>
      <c r="N723">
        <v>-0.16679632949490042</v>
      </c>
      <c r="O723">
        <v>145.21786777002237</v>
      </c>
      <c r="P723" s="1">
        <f t="shared" si="55"/>
        <v>5.4778024482678749</v>
      </c>
      <c r="Q723" s="1">
        <f t="shared" si="56"/>
        <v>0.73037365976905</v>
      </c>
      <c r="R723" s="1">
        <f t="shared" si="57"/>
        <v>0.85461901439708798</v>
      </c>
      <c r="S723" s="1">
        <f t="shared" si="58"/>
        <v>0.61579887573750802</v>
      </c>
      <c r="T723" s="56">
        <f t="shared" si="59"/>
        <v>0.728499466989039</v>
      </c>
    </row>
    <row r="724" spans="1:20" x14ac:dyDescent="0.25">
      <c r="A724">
        <v>0.70502472043627573</v>
      </c>
      <c r="B724">
        <v>-0.7486733011319302</v>
      </c>
      <c r="D724">
        <v>0.75879260916071101</v>
      </c>
      <c r="E724">
        <v>0.11717656548171362</v>
      </c>
      <c r="I724">
        <v>0.85588361169290772</v>
      </c>
      <c r="J724">
        <v>15</v>
      </c>
      <c r="K724">
        <v>0.29765533327008598</v>
      </c>
      <c r="L724">
        <v>9.8433189286214482</v>
      </c>
      <c r="M724">
        <v>15</v>
      </c>
      <c r="N724">
        <v>-0.15119872273317014</v>
      </c>
      <c r="O724">
        <v>99.359546972443397</v>
      </c>
      <c r="P724" s="1">
        <f t="shared" si="55"/>
        <v>3.9001023536094586</v>
      </c>
      <c r="Q724" s="1">
        <f t="shared" si="56"/>
        <v>0.52001364714792775</v>
      </c>
      <c r="R724" s="1">
        <f t="shared" si="57"/>
        <v>0.72111971762525517</v>
      </c>
      <c r="S724" s="1">
        <f t="shared" si="58"/>
        <v>0.6224404145838548</v>
      </c>
      <c r="T724" s="56">
        <f t="shared" si="59"/>
        <v>0.7306556174369494</v>
      </c>
    </row>
    <row r="725" spans="1:20" x14ac:dyDescent="0.25">
      <c r="A725">
        <v>0.70778862985546187</v>
      </c>
      <c r="B725">
        <v>-2.0317747839726508</v>
      </c>
      <c r="D725">
        <v>0.76005288831244711</v>
      </c>
      <c r="E725">
        <v>3.311266251557754</v>
      </c>
      <c r="I725">
        <v>0.54938750042677631</v>
      </c>
      <c r="J725">
        <v>15</v>
      </c>
      <c r="K725">
        <v>9.532156279116559E-2</v>
      </c>
      <c r="L725">
        <v>13.598880297157786</v>
      </c>
      <c r="M725">
        <v>15</v>
      </c>
      <c r="N725">
        <v>-0.59513127212085237</v>
      </c>
      <c r="O725">
        <v>243.71595221841369</v>
      </c>
      <c r="P725" s="1">
        <f t="shared" si="55"/>
        <v>9.1898154469846958</v>
      </c>
      <c r="Q725" s="1">
        <f t="shared" si="56"/>
        <v>1.2253087262646261</v>
      </c>
      <c r="R725" s="1">
        <f t="shared" si="57"/>
        <v>1.1069366405827508</v>
      </c>
      <c r="S725" s="1">
        <f t="shared" si="58"/>
        <v>0.62375099856530769</v>
      </c>
      <c r="T725" s="56">
        <f t="shared" si="59"/>
        <v>0.73108002188833432</v>
      </c>
    </row>
    <row r="726" spans="1:20" x14ac:dyDescent="0.25">
      <c r="A726">
        <v>0.710278381820863</v>
      </c>
      <c r="B726">
        <v>-1.8258469935972244</v>
      </c>
      <c r="D726">
        <v>0.76007154384076314</v>
      </c>
      <c r="E726">
        <v>-1.414062356843715</v>
      </c>
      <c r="I726">
        <v>0.12739233377288206</v>
      </c>
      <c r="J726">
        <v>15</v>
      </c>
      <c r="K726">
        <v>3.5814991861116141E-2</v>
      </c>
      <c r="L726">
        <v>13.698268085362271</v>
      </c>
      <c r="M726">
        <v>15</v>
      </c>
      <c r="N726">
        <v>-0.58218825301992183</v>
      </c>
      <c r="O726">
        <v>188.60642807608815</v>
      </c>
      <c r="P726" s="1">
        <f t="shared" si="55"/>
        <v>7.2251677200518003</v>
      </c>
      <c r="Q726" s="1">
        <f t="shared" si="56"/>
        <v>0.96335569600690674</v>
      </c>
      <c r="R726" s="1">
        <f t="shared" si="57"/>
        <v>0.98150684969943369</v>
      </c>
      <c r="S726" s="1">
        <f t="shared" si="58"/>
        <v>0.62964740905301753</v>
      </c>
      <c r="T726" s="56">
        <f t="shared" si="59"/>
        <v>0.73298505921546497</v>
      </c>
    </row>
    <row r="727" spans="1:20" x14ac:dyDescent="0.25">
      <c r="A727">
        <v>0.71469464817834849</v>
      </c>
      <c r="B727">
        <v>-0.27702299121301621</v>
      </c>
      <c r="D727">
        <v>0.76060810065692963</v>
      </c>
      <c r="E727">
        <v>-4.0442835177145753</v>
      </c>
      <c r="I727">
        <v>0.50789942913236541</v>
      </c>
      <c r="J727">
        <v>15</v>
      </c>
      <c r="K727">
        <v>0.26117125647336553</v>
      </c>
      <c r="L727">
        <v>11.887938976555832</v>
      </c>
      <c r="M727">
        <v>15</v>
      </c>
      <c r="N727">
        <v>-0.35126231864524016</v>
      </c>
      <c r="O727">
        <v>183.70262709330041</v>
      </c>
      <c r="P727" s="1">
        <f t="shared" si="55"/>
        <v>6.9853773596377229</v>
      </c>
      <c r="Q727" s="1">
        <f t="shared" si="56"/>
        <v>0.93138364795169637</v>
      </c>
      <c r="R727" s="1">
        <f t="shared" si="57"/>
        <v>0.96508219751050028</v>
      </c>
      <c r="S727" s="1">
        <f t="shared" si="58"/>
        <v>0.63459213805665737</v>
      </c>
      <c r="T727" s="56">
        <f t="shared" si="59"/>
        <v>0.73457706694201785</v>
      </c>
    </row>
    <row r="728" spans="1:20" x14ac:dyDescent="0.25">
      <c r="A728">
        <v>0.71707059907090887</v>
      </c>
      <c r="B728">
        <v>-0.24622863747936208</v>
      </c>
      <c r="D728">
        <v>0.76198991484988909</v>
      </c>
      <c r="E728">
        <v>-5.9629808254157979</v>
      </c>
      <c r="I728">
        <v>0.20676600325861472</v>
      </c>
      <c r="J728">
        <v>15</v>
      </c>
      <c r="K728">
        <v>0.1280008442942441</v>
      </c>
      <c r="L728">
        <v>17.235005205961645</v>
      </c>
      <c r="M728">
        <v>15</v>
      </c>
      <c r="N728">
        <v>-0.4580094844186533</v>
      </c>
      <c r="O728">
        <v>159.4449681561922</v>
      </c>
      <c r="P728" s="1">
        <f t="shared" si="55"/>
        <v>6.3099990486483515</v>
      </c>
      <c r="Q728" s="1">
        <f t="shared" si="56"/>
        <v>0.84133320648644683</v>
      </c>
      <c r="R728" s="1">
        <f t="shared" si="57"/>
        <v>0.91724217439368039</v>
      </c>
      <c r="S728" s="1">
        <f t="shared" si="58"/>
        <v>0.63888288728139286</v>
      </c>
      <c r="T728" s="56">
        <f t="shared" si="59"/>
        <v>0.73595439307625277</v>
      </c>
    </row>
    <row r="729" spans="1:20" x14ac:dyDescent="0.25">
      <c r="A729">
        <v>0.717797844579393</v>
      </c>
      <c r="B729">
        <v>1.1803490451711696</v>
      </c>
      <c r="D729">
        <v>0.76360108860920428</v>
      </c>
      <c r="E729">
        <v>0.73218029342569935</v>
      </c>
      <c r="I729">
        <v>0.45319900067139096</v>
      </c>
      <c r="J729">
        <v>15</v>
      </c>
      <c r="K729">
        <v>0.28460597908027313</v>
      </c>
      <c r="L729">
        <v>21.859219993157119</v>
      </c>
      <c r="M729">
        <v>15</v>
      </c>
      <c r="N729">
        <v>-0.37712539210588147</v>
      </c>
      <c r="O729">
        <v>203.29602930801616</v>
      </c>
      <c r="P729" s="1">
        <f t="shared" si="55"/>
        <v>8.0412589036133308</v>
      </c>
      <c r="Q729" s="1">
        <f t="shared" si="56"/>
        <v>1.0721678538151107</v>
      </c>
      <c r="R729" s="1">
        <f t="shared" si="57"/>
        <v>1.0354553847535444</v>
      </c>
      <c r="S729" s="1">
        <f t="shared" si="58"/>
        <v>0.63907279920482296</v>
      </c>
      <c r="T729" s="56">
        <f t="shared" si="59"/>
        <v>0.736015265768031</v>
      </c>
    </row>
    <row r="730" spans="1:20" x14ac:dyDescent="0.25">
      <c r="A730">
        <v>0.71912396243299803</v>
      </c>
      <c r="B730">
        <v>0.28291083253861871</v>
      </c>
      <c r="D730">
        <v>0.76363788749472317</v>
      </c>
      <c r="E730">
        <v>0.72149145694311301</v>
      </c>
      <c r="I730">
        <v>0.23152535652867734</v>
      </c>
      <c r="J730">
        <v>15</v>
      </c>
      <c r="K730">
        <v>-2.727801984292455E-3</v>
      </c>
      <c r="L730">
        <v>9.8208465874737616</v>
      </c>
      <c r="M730">
        <v>15</v>
      </c>
      <c r="N730">
        <v>-0.60913180618626939</v>
      </c>
      <c r="O730">
        <v>175.18442931260225</v>
      </c>
      <c r="P730" s="1">
        <f t="shared" si="55"/>
        <v>6.6073312821455721</v>
      </c>
      <c r="Q730" s="1">
        <f t="shared" si="56"/>
        <v>0.88097750428607624</v>
      </c>
      <c r="R730" s="1">
        <f t="shared" si="57"/>
        <v>0.9386040188951229</v>
      </c>
      <c r="S730" s="1">
        <f t="shared" si="58"/>
        <v>0.64607011262939718</v>
      </c>
      <c r="T730" s="56">
        <f t="shared" si="59"/>
        <v>0.73825285472464075</v>
      </c>
    </row>
    <row r="731" spans="1:20" x14ac:dyDescent="0.25">
      <c r="A731">
        <v>0.72036297249963455</v>
      </c>
      <c r="B731">
        <v>-5.3536268751486205E-2</v>
      </c>
      <c r="D731">
        <v>0.76459623520661313</v>
      </c>
      <c r="E731">
        <v>-1.9429483052135765</v>
      </c>
      <c r="I731">
        <v>0.39058720588387941</v>
      </c>
      <c r="J731">
        <v>15</v>
      </c>
      <c r="K731">
        <v>0.24286312812667651</v>
      </c>
      <c r="L731">
        <v>25.039584177923118</v>
      </c>
      <c r="M731">
        <v>15</v>
      </c>
      <c r="N731">
        <v>-0.31865761570770701</v>
      </c>
      <c r="O731">
        <v>131.5219559512818</v>
      </c>
      <c r="P731" s="1">
        <f t="shared" si="55"/>
        <v>5.5914835760430321</v>
      </c>
      <c r="Q731" s="1">
        <f t="shared" si="56"/>
        <v>0.74553114347240423</v>
      </c>
      <c r="R731" s="1">
        <f t="shared" si="57"/>
        <v>0.86344145341326084</v>
      </c>
      <c r="S731" s="1">
        <f t="shared" si="58"/>
        <v>0.65032868368161167</v>
      </c>
      <c r="T731" s="56">
        <f t="shared" si="59"/>
        <v>0.73960961576945761</v>
      </c>
    </row>
    <row r="732" spans="1:20" x14ac:dyDescent="0.25">
      <c r="A732">
        <v>0.72065489272446681</v>
      </c>
      <c r="B732">
        <v>1.3988096725370269</v>
      </c>
      <c r="D732">
        <v>0.76469252118431164</v>
      </c>
      <c r="E732">
        <v>0.45214232727630588</v>
      </c>
      <c r="I732">
        <v>0.42188451408500338</v>
      </c>
      <c r="J732">
        <v>15</v>
      </c>
      <c r="K732">
        <v>0.13885194978987178</v>
      </c>
      <c r="L732">
        <v>8.5608274923186993</v>
      </c>
      <c r="M732">
        <v>15</v>
      </c>
      <c r="N732">
        <v>-0.30053866225898673</v>
      </c>
      <c r="O732">
        <v>87.039051813756402</v>
      </c>
      <c r="P732" s="1">
        <f t="shared" si="55"/>
        <v>3.4142814037883964</v>
      </c>
      <c r="Q732" s="1">
        <f t="shared" si="56"/>
        <v>0.45523752050511951</v>
      </c>
      <c r="R732" s="1">
        <f t="shared" si="57"/>
        <v>0.6747129171026145</v>
      </c>
      <c r="S732" s="1">
        <f t="shared" si="58"/>
        <v>0.65122602652356409</v>
      </c>
      <c r="T732" s="56">
        <f t="shared" si="59"/>
        <v>0.73989501716334671</v>
      </c>
    </row>
    <row r="733" spans="1:20" x14ac:dyDescent="0.25">
      <c r="A733">
        <v>0.721823164009469</v>
      </c>
      <c r="B733">
        <v>-1.3141743693267927</v>
      </c>
      <c r="D733">
        <v>0.76492678806164183</v>
      </c>
      <c r="E733">
        <v>4.7087480618301925</v>
      </c>
      <c r="I733">
        <v>0.96894547263649622</v>
      </c>
      <c r="J733">
        <v>15</v>
      </c>
      <c r="K733">
        <v>0.12139344107708894</v>
      </c>
      <c r="L733">
        <v>14.290317813894754</v>
      </c>
      <c r="M733">
        <v>15</v>
      </c>
      <c r="N733">
        <v>-0.42112151618312055</v>
      </c>
      <c r="O733">
        <v>129.38157767363873</v>
      </c>
      <c r="P733" s="1">
        <f t="shared" si="55"/>
        <v>5.1311391245547666</v>
      </c>
      <c r="Q733" s="1">
        <f t="shared" si="56"/>
        <v>0.68415188327396892</v>
      </c>
      <c r="R733" s="1">
        <f t="shared" si="57"/>
        <v>0.82713474311865831</v>
      </c>
      <c r="S733" s="1">
        <f t="shared" si="58"/>
        <v>0.6558967106310778</v>
      </c>
      <c r="T733" s="56">
        <f t="shared" si="59"/>
        <v>0.74137778619813288</v>
      </c>
    </row>
    <row r="734" spans="1:20" x14ac:dyDescent="0.25">
      <c r="A734">
        <v>0.72323213729005964</v>
      </c>
      <c r="B734">
        <v>7.1241856858250685E-2</v>
      </c>
      <c r="D734">
        <v>0.76685926056680376</v>
      </c>
      <c r="E734">
        <v>4.9969032681929093</v>
      </c>
      <c r="I734">
        <v>0.53984410886296352</v>
      </c>
      <c r="J734">
        <v>15</v>
      </c>
      <c r="K734">
        <v>4.6238483264460228E-2</v>
      </c>
      <c r="L734">
        <v>3.2938463941055556</v>
      </c>
      <c r="M734">
        <v>15</v>
      </c>
      <c r="N734">
        <v>-0.56356680374847201</v>
      </c>
      <c r="O734">
        <v>177.28384052742322</v>
      </c>
      <c r="P734" s="1">
        <f t="shared" si="55"/>
        <v>6.4492031043403131</v>
      </c>
      <c r="Q734" s="1">
        <f t="shared" si="56"/>
        <v>0.85989374724537504</v>
      </c>
      <c r="R734" s="1">
        <f t="shared" si="57"/>
        <v>0.92730456013403439</v>
      </c>
      <c r="S734" s="1">
        <f t="shared" si="58"/>
        <v>0.65761057718166493</v>
      </c>
      <c r="T734" s="56">
        <f t="shared" si="59"/>
        <v>0.74192071597801657</v>
      </c>
    </row>
    <row r="735" spans="1:20" x14ac:dyDescent="0.25">
      <c r="A735">
        <v>0.72324916089348956</v>
      </c>
      <c r="B735">
        <v>0.31683953238825779</v>
      </c>
      <c r="D735">
        <v>0.76700087098421244</v>
      </c>
      <c r="E735">
        <v>-1.1263334761224542</v>
      </c>
      <c r="I735">
        <v>0.66549620059935977</v>
      </c>
      <c r="J735">
        <v>15</v>
      </c>
      <c r="K735">
        <v>0.3313281619436263</v>
      </c>
      <c r="L735">
        <v>11.002837063819809</v>
      </c>
      <c r="M735">
        <v>15</v>
      </c>
      <c r="N735">
        <v>-0.39143856497503293</v>
      </c>
      <c r="O735">
        <v>240.04601998671424</v>
      </c>
      <c r="P735" s="1">
        <f t="shared" si="55"/>
        <v>8.9660306089476443</v>
      </c>
      <c r="Q735" s="1">
        <f t="shared" si="56"/>
        <v>1.195470747859686</v>
      </c>
      <c r="R735" s="1">
        <f t="shared" si="57"/>
        <v>1.0933758493124339</v>
      </c>
      <c r="S735" s="1">
        <f t="shared" si="58"/>
        <v>0.66104142264818533</v>
      </c>
      <c r="T735" s="56">
        <f t="shared" si="59"/>
        <v>0.74300568649524634</v>
      </c>
    </row>
    <row r="736" spans="1:20" x14ac:dyDescent="0.25">
      <c r="A736">
        <v>0.72415230304734923</v>
      </c>
      <c r="B736">
        <v>0.75720436143456027</v>
      </c>
      <c r="D736">
        <v>0.76714740809725901</v>
      </c>
      <c r="E736">
        <v>4.0405150195965689</v>
      </c>
      <c r="I736">
        <v>0.82643255775133329</v>
      </c>
      <c r="J736">
        <v>15</v>
      </c>
      <c r="K736">
        <v>0.22928111320652533</v>
      </c>
      <c r="L736">
        <v>7.8803576409055296</v>
      </c>
      <c r="M736">
        <v>15</v>
      </c>
      <c r="N736">
        <v>-0.40190912272919377</v>
      </c>
      <c r="O736">
        <v>182.3763076501543</v>
      </c>
      <c r="P736" s="1">
        <f t="shared" si="55"/>
        <v>6.7948809032521371</v>
      </c>
      <c r="Q736" s="1">
        <f t="shared" si="56"/>
        <v>0.90598412043361831</v>
      </c>
      <c r="R736" s="1">
        <f t="shared" si="57"/>
        <v>0.95183198119921264</v>
      </c>
      <c r="S736" s="1">
        <f t="shared" si="58"/>
        <v>0.66313199010237378</v>
      </c>
      <c r="T736" s="56">
        <f t="shared" si="59"/>
        <v>0.74366557897721741</v>
      </c>
    </row>
    <row r="737" spans="1:20" x14ac:dyDescent="0.25">
      <c r="A737">
        <v>0.72456078534600221</v>
      </c>
      <c r="B737">
        <v>-2.0065181161044165</v>
      </c>
      <c r="D737">
        <v>0.7689754361854646</v>
      </c>
      <c r="E737">
        <v>7.3143685278864723</v>
      </c>
      <c r="I737">
        <v>3.8751015102822195E-2</v>
      </c>
      <c r="J737">
        <v>15</v>
      </c>
      <c r="K737">
        <v>-0.14607129135886984</v>
      </c>
      <c r="L737">
        <v>7.8316071150447284</v>
      </c>
      <c r="M737">
        <v>15</v>
      </c>
      <c r="N737">
        <v>-0.76883202723365685</v>
      </c>
      <c r="O737">
        <v>176.62709315624411</v>
      </c>
      <c r="P737" s="1">
        <f t="shared" si="55"/>
        <v>6.5878107239746013</v>
      </c>
      <c r="Q737" s="1">
        <f t="shared" si="56"/>
        <v>0.87837476319661345</v>
      </c>
      <c r="R737" s="1">
        <f t="shared" si="57"/>
        <v>0.9372164975055729</v>
      </c>
      <c r="S737" s="1">
        <f t="shared" si="58"/>
        <v>0.66447905850172462</v>
      </c>
      <c r="T737" s="56">
        <f t="shared" si="59"/>
        <v>0.74409029049983622</v>
      </c>
    </row>
    <row r="738" spans="1:20" x14ac:dyDescent="0.25">
      <c r="A738">
        <v>0.724632481645342</v>
      </c>
      <c r="B738">
        <v>0.72588363764225505</v>
      </c>
      <c r="D738">
        <v>0.77043286325330418</v>
      </c>
      <c r="E738">
        <v>4.0434481400097866</v>
      </c>
      <c r="I738">
        <v>0.44937023506871432</v>
      </c>
      <c r="J738">
        <v>15</v>
      </c>
      <c r="K738">
        <v>0.36020302710918867</v>
      </c>
      <c r="L738">
        <v>10.371939856552572</v>
      </c>
      <c r="M738">
        <v>15</v>
      </c>
      <c r="N738">
        <v>-0.18071068893732445</v>
      </c>
      <c r="O738">
        <v>127.01308625123575</v>
      </c>
      <c r="P738" s="1">
        <f t="shared" si="55"/>
        <v>4.9066080752781547</v>
      </c>
      <c r="Q738" s="1">
        <f t="shared" si="56"/>
        <v>0.65421441003708725</v>
      </c>
      <c r="R738" s="1">
        <f t="shared" si="57"/>
        <v>0.80883521809889514</v>
      </c>
      <c r="S738" s="1">
        <f t="shared" si="58"/>
        <v>0.66875638441892926</v>
      </c>
      <c r="T738" s="56">
        <f t="shared" si="59"/>
        <v>0.74543630029523666</v>
      </c>
    </row>
    <row r="739" spans="1:20" x14ac:dyDescent="0.25">
      <c r="A739">
        <v>0.72607661301117787</v>
      </c>
      <c r="B739">
        <v>-3.6995970731368288E-2</v>
      </c>
      <c r="D739">
        <v>0.77154218515539785</v>
      </c>
      <c r="E739">
        <v>-2.5879005568185676</v>
      </c>
      <c r="I739">
        <v>0.31055750716120412</v>
      </c>
      <c r="J739">
        <v>15</v>
      </c>
      <c r="K739">
        <v>-0.23902589418867137</v>
      </c>
      <c r="L739">
        <v>9.1024660901580994</v>
      </c>
      <c r="M739">
        <v>15</v>
      </c>
      <c r="N739">
        <v>-0.73031515398724878</v>
      </c>
      <c r="O739">
        <v>103.3245991011277</v>
      </c>
      <c r="P739" s="1">
        <f t="shared" si="55"/>
        <v>4.0152523282602077</v>
      </c>
      <c r="Q739" s="1">
        <f t="shared" si="56"/>
        <v>0.53536697710136105</v>
      </c>
      <c r="R739" s="1">
        <f t="shared" si="57"/>
        <v>0.73168775929446916</v>
      </c>
      <c r="S739" s="1">
        <f t="shared" si="58"/>
        <v>0.67144660213026341</v>
      </c>
      <c r="T739" s="56">
        <f t="shared" si="59"/>
        <v>0.74628086421797568</v>
      </c>
    </row>
    <row r="740" spans="1:20" x14ac:dyDescent="0.25">
      <c r="A740">
        <v>0.72906140925595375</v>
      </c>
      <c r="B740">
        <v>0.88576598500367254</v>
      </c>
      <c r="D740">
        <v>0.77232084850120997</v>
      </c>
      <c r="E740">
        <v>1.0374976648108714</v>
      </c>
      <c r="I740">
        <v>0.37361410284503027</v>
      </c>
      <c r="J740">
        <v>15</v>
      </c>
      <c r="K740">
        <v>0.16963349480647594</v>
      </c>
      <c r="L740">
        <v>13.652086228809507</v>
      </c>
      <c r="M740">
        <v>15</v>
      </c>
      <c r="N740">
        <v>-0.31814693443266151</v>
      </c>
      <c r="O740">
        <v>96.93774489634842</v>
      </c>
      <c r="P740" s="1">
        <f t="shared" si="55"/>
        <v>3.9496368258984975</v>
      </c>
      <c r="Q740" s="1">
        <f t="shared" si="56"/>
        <v>0.52661824345313302</v>
      </c>
      <c r="R740" s="1">
        <f t="shared" si="57"/>
        <v>0.72568467219111976</v>
      </c>
      <c r="S740" s="1">
        <f t="shared" si="58"/>
        <v>0.67216581516919971</v>
      </c>
      <c r="T740" s="56">
        <f t="shared" si="59"/>
        <v>0.74650639009182118</v>
      </c>
    </row>
    <row r="741" spans="1:20" x14ac:dyDescent="0.25">
      <c r="A741">
        <v>0.73141568056687378</v>
      </c>
      <c r="B741">
        <v>0.42078909245901741</v>
      </c>
      <c r="D741">
        <v>0.77249494840799282</v>
      </c>
      <c r="E741">
        <v>0.29879128874199523</v>
      </c>
      <c r="I741">
        <v>0.89015184554502258</v>
      </c>
      <c r="J741">
        <v>15</v>
      </c>
      <c r="K741">
        <v>0.53607110809631797</v>
      </c>
      <c r="L741">
        <v>10.619670947900032</v>
      </c>
      <c r="M741">
        <v>15</v>
      </c>
      <c r="N741">
        <v>-2.4977001658044173E-2</v>
      </c>
      <c r="O741">
        <v>134.45120571425485</v>
      </c>
      <c r="P741" s="1">
        <f t="shared" si="55"/>
        <v>5.1811027379341033</v>
      </c>
      <c r="Q741" s="1">
        <f t="shared" si="56"/>
        <v>0.69081369839121376</v>
      </c>
      <c r="R741" s="1">
        <f t="shared" si="57"/>
        <v>0.83115203085308875</v>
      </c>
      <c r="S741" s="1">
        <f t="shared" si="58"/>
        <v>0.67502465124040689</v>
      </c>
      <c r="T741" s="56">
        <f t="shared" si="59"/>
        <v>0.74740174513242452</v>
      </c>
    </row>
    <row r="742" spans="1:20" x14ac:dyDescent="0.25">
      <c r="A742">
        <v>0.73146510819963761</v>
      </c>
      <c r="B742">
        <v>0.15162527233769652</v>
      </c>
      <c r="D742">
        <v>0.7730789208543174</v>
      </c>
      <c r="E742">
        <v>-6.2505630501163978</v>
      </c>
      <c r="I742">
        <v>0.78598175120719604</v>
      </c>
      <c r="J742">
        <v>15</v>
      </c>
      <c r="K742">
        <v>-0.14624182161545227</v>
      </c>
      <c r="L742">
        <v>11.882648495150789</v>
      </c>
      <c r="M742">
        <v>15</v>
      </c>
      <c r="N742">
        <v>-0.65985273408841749</v>
      </c>
      <c r="O742">
        <v>109.555631015393</v>
      </c>
      <c r="P742" s="1">
        <f t="shared" si="55"/>
        <v>4.3370814110908498</v>
      </c>
      <c r="Q742" s="1">
        <f t="shared" si="56"/>
        <v>0.57827752147877998</v>
      </c>
      <c r="R742" s="1">
        <f t="shared" si="57"/>
        <v>0.7604456071796194</v>
      </c>
      <c r="S742" s="1">
        <f t="shared" si="58"/>
        <v>0.67540782354950057</v>
      </c>
      <c r="T742" s="56">
        <f t="shared" si="59"/>
        <v>0.74752161674488948</v>
      </c>
    </row>
    <row r="743" spans="1:20" x14ac:dyDescent="0.25">
      <c r="A743">
        <v>0.73235211427235503</v>
      </c>
      <c r="B743">
        <v>0.82542328527779318</v>
      </c>
      <c r="D743">
        <v>0.77312452629334627</v>
      </c>
      <c r="E743">
        <v>-4.1566288507510762</v>
      </c>
      <c r="I743">
        <v>0.92869253891527936</v>
      </c>
      <c r="J743">
        <v>15</v>
      </c>
      <c r="K743">
        <v>0.19856209595066807</v>
      </c>
      <c r="L743">
        <v>18.969938419005967</v>
      </c>
      <c r="M743">
        <v>15</v>
      </c>
      <c r="N743">
        <v>-0.30562705774173082</v>
      </c>
      <c r="O743">
        <v>98.02048248080979</v>
      </c>
      <c r="P743" s="1">
        <f t="shared" si="55"/>
        <v>4.1782293178505627</v>
      </c>
      <c r="Q743" s="1">
        <f t="shared" si="56"/>
        <v>0.55709724238007508</v>
      </c>
      <c r="R743" s="1">
        <f t="shared" si="57"/>
        <v>0.74638947097348252</v>
      </c>
      <c r="S743" s="1">
        <f t="shared" si="58"/>
        <v>0.67550410784172432</v>
      </c>
      <c r="T743" s="56">
        <f t="shared" si="59"/>
        <v>0.74755173335036185</v>
      </c>
    </row>
    <row r="744" spans="1:20" x14ac:dyDescent="0.25">
      <c r="A744">
        <v>0.73357595081393168</v>
      </c>
      <c r="B744">
        <v>-0.63222842072718777</v>
      </c>
      <c r="D744">
        <v>0.77636759093342111</v>
      </c>
      <c r="E744">
        <v>5.2156731237573695</v>
      </c>
      <c r="I744">
        <v>0.51949121096424233</v>
      </c>
      <c r="J744">
        <v>15</v>
      </c>
      <c r="K744">
        <v>4.7218539596845709E-2</v>
      </c>
      <c r="L744">
        <v>10.442527478499533</v>
      </c>
      <c r="M744">
        <v>15</v>
      </c>
      <c r="N744">
        <v>-0.48578158725831599</v>
      </c>
      <c r="O744">
        <v>119.07901380064739</v>
      </c>
      <c r="P744" s="1">
        <f t="shared" si="55"/>
        <v>4.6257693313981045</v>
      </c>
      <c r="Q744" s="1">
        <f t="shared" si="56"/>
        <v>0.61676924418641388</v>
      </c>
      <c r="R744" s="1">
        <f t="shared" si="57"/>
        <v>0.78534657584178325</v>
      </c>
      <c r="S744" s="1">
        <f t="shared" si="58"/>
        <v>0.67868141690674477</v>
      </c>
      <c r="T744" s="56">
        <f t="shared" si="59"/>
        <v>0.74854443798227954</v>
      </c>
    </row>
    <row r="745" spans="1:20" x14ac:dyDescent="0.25">
      <c r="A745">
        <v>0.73368552505873186</v>
      </c>
      <c r="B745">
        <v>-0.56666749514988624</v>
      </c>
      <c r="D745">
        <v>0.77694696194774338</v>
      </c>
      <c r="E745">
        <v>0.7917703862858616</v>
      </c>
      <c r="I745">
        <v>0.9094604332669447</v>
      </c>
      <c r="J745">
        <v>15</v>
      </c>
      <c r="K745">
        <v>-0.31665945243730675</v>
      </c>
      <c r="L745">
        <v>28.786470850488961</v>
      </c>
      <c r="M745">
        <v>15</v>
      </c>
      <c r="N745">
        <v>-0.89450486825626285</v>
      </c>
      <c r="O745">
        <v>120.17289230392812</v>
      </c>
      <c r="P745" s="1">
        <f t="shared" si="55"/>
        <v>5.3199772555148952</v>
      </c>
      <c r="Q745" s="1">
        <f t="shared" si="56"/>
        <v>0.70933030073531933</v>
      </c>
      <c r="R745" s="1">
        <f t="shared" si="57"/>
        <v>0.84221749016232106</v>
      </c>
      <c r="S745" s="1">
        <f t="shared" si="58"/>
        <v>0.68609999503523444</v>
      </c>
      <c r="T745" s="56">
        <f t="shared" si="59"/>
        <v>0.75085377490041716</v>
      </c>
    </row>
    <row r="746" spans="1:20" x14ac:dyDescent="0.25">
      <c r="A746">
        <v>0.73451706573997511</v>
      </c>
      <c r="B746">
        <v>-0.19332333067723084</v>
      </c>
      <c r="D746">
        <v>0.77708816040394879</v>
      </c>
      <c r="E746">
        <v>-1.2350567465091444</v>
      </c>
      <c r="I746">
        <v>0.54404803653418932</v>
      </c>
      <c r="J746">
        <v>15</v>
      </c>
      <c r="K746">
        <v>0.17391577481854861</v>
      </c>
      <c r="L746">
        <v>11.51307702658827</v>
      </c>
      <c r="M746">
        <v>15</v>
      </c>
      <c r="N746">
        <v>-0.59336071331017592</v>
      </c>
      <c r="O746">
        <v>247.88044416796671</v>
      </c>
      <c r="P746" s="1">
        <f t="shared" si="55"/>
        <v>9.2640543283769627</v>
      </c>
      <c r="Q746" s="1">
        <f t="shared" si="56"/>
        <v>1.235207243783595</v>
      </c>
      <c r="R746" s="1">
        <f t="shared" si="57"/>
        <v>1.1113987780196608</v>
      </c>
      <c r="S746" s="1">
        <f t="shared" si="58"/>
        <v>0.69037010234606477</v>
      </c>
      <c r="T746" s="56">
        <f t="shared" si="59"/>
        <v>0.75217761005610795</v>
      </c>
    </row>
    <row r="747" spans="1:20" x14ac:dyDescent="0.25">
      <c r="A747">
        <v>0.73513976566423966</v>
      </c>
      <c r="B747">
        <v>8.3672375694732182E-2</v>
      </c>
      <c r="D747">
        <v>0.77739644371850469</v>
      </c>
      <c r="E747">
        <v>8.5079166149171215</v>
      </c>
      <c r="I747">
        <v>0.81171501135996393</v>
      </c>
      <c r="J747">
        <v>15</v>
      </c>
      <c r="K747">
        <v>8.202960088965483E-3</v>
      </c>
      <c r="L747">
        <v>10.691663804267478</v>
      </c>
      <c r="M747">
        <v>15</v>
      </c>
      <c r="N747">
        <v>-0.39346787502836378</v>
      </c>
      <c r="O747">
        <v>60.02145778862689</v>
      </c>
      <c r="P747" s="1">
        <f t="shared" si="55"/>
        <v>2.5254686283176562</v>
      </c>
      <c r="Q747" s="1">
        <f t="shared" si="56"/>
        <v>0.33672915044235413</v>
      </c>
      <c r="R747" s="1">
        <f t="shared" si="57"/>
        <v>0.58028368100641448</v>
      </c>
      <c r="S747" s="1">
        <f t="shared" si="58"/>
        <v>0.69219736529673181</v>
      </c>
      <c r="T747" s="56">
        <f t="shared" si="59"/>
        <v>0.75274289345265499</v>
      </c>
    </row>
    <row r="748" spans="1:20" x14ac:dyDescent="0.25">
      <c r="A748">
        <v>0.73583707437613299</v>
      </c>
      <c r="B748">
        <v>0.67725295593845658</v>
      </c>
      <c r="D748">
        <v>0.77889289039066223</v>
      </c>
      <c r="E748">
        <v>-4.8726649345098849</v>
      </c>
      <c r="I748">
        <v>0.73650114295343405</v>
      </c>
      <c r="J748">
        <v>15</v>
      </c>
      <c r="K748">
        <v>0.12740944536441626</v>
      </c>
      <c r="L748">
        <v>15.086282704271627</v>
      </c>
      <c r="M748">
        <v>15</v>
      </c>
      <c r="N748">
        <v>-0.55907662840581906</v>
      </c>
      <c r="O748">
        <v>190.9811083953887</v>
      </c>
      <c r="P748" s="1">
        <f t="shared" si="55"/>
        <v>7.3595496821307265</v>
      </c>
      <c r="Q748" s="1">
        <f t="shared" si="56"/>
        <v>0.98127329095076354</v>
      </c>
      <c r="R748" s="1">
        <f t="shared" si="57"/>
        <v>0.99059239394958187</v>
      </c>
      <c r="S748" s="1">
        <f t="shared" si="58"/>
        <v>0.69300559742151158</v>
      </c>
      <c r="T748" s="56">
        <f t="shared" si="59"/>
        <v>0.75299269669642388</v>
      </c>
    </row>
    <row r="749" spans="1:20" x14ac:dyDescent="0.25">
      <c r="A749">
        <v>0.73735606903029338</v>
      </c>
      <c r="B749">
        <v>0.26781435735756531</v>
      </c>
      <c r="D749">
        <v>0.78056544207982304</v>
      </c>
      <c r="E749">
        <v>-3.5701684771538567</v>
      </c>
      <c r="I749">
        <v>0.25000810235256821</v>
      </c>
      <c r="J749">
        <v>15</v>
      </c>
      <c r="K749">
        <v>0.20491544698112799</v>
      </c>
      <c r="L749">
        <v>14.901182043582862</v>
      </c>
      <c r="M749">
        <v>15</v>
      </c>
      <c r="N749">
        <v>-0.54604493357146566</v>
      </c>
      <c r="O749">
        <v>231.59277195791856</v>
      </c>
      <c r="P749" s="1">
        <f t="shared" si="55"/>
        <v>8.8033555000536214</v>
      </c>
      <c r="Q749" s="1">
        <f t="shared" si="56"/>
        <v>1.1737807333404828</v>
      </c>
      <c r="R749" s="1">
        <f t="shared" si="57"/>
        <v>1.0834116176876094</v>
      </c>
      <c r="S749" s="1">
        <f t="shared" si="58"/>
        <v>0.69314410912023772</v>
      </c>
      <c r="T749" s="56">
        <f t="shared" si="59"/>
        <v>0.75303549271724779</v>
      </c>
    </row>
    <row r="750" spans="1:20" x14ac:dyDescent="0.25">
      <c r="A750">
        <v>0.73895146141792378</v>
      </c>
      <c r="B750">
        <v>-8.6282625488820486E-2</v>
      </c>
      <c r="D750">
        <v>0.78062577927646959</v>
      </c>
      <c r="E750">
        <v>2.7169546649474796</v>
      </c>
      <c r="I750">
        <v>0.40791680947469988</v>
      </c>
      <c r="J750">
        <v>15</v>
      </c>
      <c r="K750">
        <v>-0.30992729686355841</v>
      </c>
      <c r="L750">
        <v>6.8111469938929128</v>
      </c>
      <c r="M750">
        <v>15</v>
      </c>
      <c r="N750">
        <v>-0.91198058157715423</v>
      </c>
      <c r="O750">
        <v>150.56381581101817</v>
      </c>
      <c r="P750" s="1">
        <f t="shared" si="55"/>
        <v>5.6205343858896821</v>
      </c>
      <c r="Q750" s="1">
        <f t="shared" si="56"/>
        <v>0.74940458478529093</v>
      </c>
      <c r="R750" s="1">
        <f t="shared" si="57"/>
        <v>0.86568157239558408</v>
      </c>
      <c r="S750" s="1">
        <f t="shared" si="58"/>
        <v>0.6954673680387411</v>
      </c>
      <c r="T750" s="56">
        <f t="shared" si="59"/>
        <v>0.75375268717054289</v>
      </c>
    </row>
    <row r="751" spans="1:20" x14ac:dyDescent="0.25">
      <c r="A751">
        <v>0.73909724334205762</v>
      </c>
      <c r="B751">
        <v>-1.0824305718415417</v>
      </c>
      <c r="D751">
        <v>0.78228245629361703</v>
      </c>
      <c r="E751">
        <v>1.9528836185145337</v>
      </c>
      <c r="I751">
        <v>0.66838784917069116</v>
      </c>
      <c r="J751">
        <v>15</v>
      </c>
      <c r="K751">
        <v>3.7730236120599635E-2</v>
      </c>
      <c r="L751">
        <v>13.776816590930816</v>
      </c>
      <c r="M751">
        <v>15</v>
      </c>
      <c r="N751">
        <v>-0.56229760389214789</v>
      </c>
      <c r="O751">
        <v>142.39845198093809</v>
      </c>
      <c r="P751" s="1">
        <f t="shared" si="55"/>
        <v>5.5776881632810325</v>
      </c>
      <c r="Q751" s="1">
        <f t="shared" si="56"/>
        <v>0.74369175510413765</v>
      </c>
      <c r="R751" s="1">
        <f t="shared" si="57"/>
        <v>0.8623756461682679</v>
      </c>
      <c r="S751" s="1">
        <f t="shared" si="58"/>
        <v>0.6957847692926028</v>
      </c>
      <c r="T751" s="56">
        <f t="shared" si="59"/>
        <v>0.75385057805628786</v>
      </c>
    </row>
    <row r="752" spans="1:20" x14ac:dyDescent="0.25">
      <c r="A752">
        <v>0.73914623348459685</v>
      </c>
      <c r="B752">
        <v>-1.54909685079474E-2</v>
      </c>
      <c r="D752">
        <v>0.78249651678437238</v>
      </c>
      <c r="E752">
        <v>2.0600516529611923</v>
      </c>
      <c r="I752">
        <v>0.92589430892544855</v>
      </c>
      <c r="J752">
        <v>15</v>
      </c>
      <c r="K752">
        <v>0.37180605734950706</v>
      </c>
      <c r="L752">
        <v>11.705073390382115</v>
      </c>
      <c r="M752">
        <v>15</v>
      </c>
      <c r="N752">
        <v>-0.16607123484391195</v>
      </c>
      <c r="O752">
        <v>110.93214227672229</v>
      </c>
      <c r="P752" s="1">
        <f t="shared" si="55"/>
        <v>4.3799005595394425</v>
      </c>
      <c r="Q752" s="1">
        <f t="shared" si="56"/>
        <v>0.58398674127192562</v>
      </c>
      <c r="R752" s="1">
        <f t="shared" si="57"/>
        <v>0.7641902520131526</v>
      </c>
      <c r="S752" s="1">
        <f t="shared" si="58"/>
        <v>0.70385259531439492</v>
      </c>
      <c r="T752" s="56">
        <f t="shared" si="59"/>
        <v>0.75633140383327302</v>
      </c>
    </row>
    <row r="753" spans="1:20" x14ac:dyDescent="0.25">
      <c r="A753">
        <v>0.74164762502254333</v>
      </c>
      <c r="B753">
        <v>0.67889004640164785</v>
      </c>
      <c r="D753">
        <v>0.78487855353750902</v>
      </c>
      <c r="E753">
        <v>-8.5571143733886856</v>
      </c>
      <c r="I753">
        <v>0.43984075740457818</v>
      </c>
      <c r="J753">
        <v>15</v>
      </c>
      <c r="K753">
        <v>0.36638274044283509</v>
      </c>
      <c r="L753">
        <v>11.229966206020842</v>
      </c>
      <c r="M753">
        <v>15</v>
      </c>
      <c r="N753">
        <v>-0.20117341023251356</v>
      </c>
      <c r="O753">
        <v>125.14387855482569</v>
      </c>
      <c r="P753" s="1">
        <f t="shared" si="55"/>
        <v>4.8704944557445193</v>
      </c>
      <c r="Q753" s="1">
        <f t="shared" si="56"/>
        <v>0.6493992607659359</v>
      </c>
      <c r="R753" s="1">
        <f t="shared" si="57"/>
        <v>0.80585312605085546</v>
      </c>
      <c r="S753" s="1">
        <f t="shared" si="58"/>
        <v>0.70429229884197464</v>
      </c>
      <c r="T753" s="56">
        <f t="shared" si="59"/>
        <v>0.75646620088641892</v>
      </c>
    </row>
    <row r="754" spans="1:20" x14ac:dyDescent="0.25">
      <c r="A754">
        <v>0.74218156210226827</v>
      </c>
      <c r="B754">
        <v>0.76825472206110135</v>
      </c>
      <c r="D754">
        <v>0.78500587619028406</v>
      </c>
      <c r="E754">
        <v>5.0170121960491088</v>
      </c>
      <c r="I754">
        <v>0.62173928367970943</v>
      </c>
      <c r="J754">
        <v>15</v>
      </c>
      <c r="K754">
        <v>0.25999770514317788</v>
      </c>
      <c r="L754">
        <v>13.991256512246093</v>
      </c>
      <c r="M754">
        <v>15</v>
      </c>
      <c r="N754">
        <v>-0.2863639599581802</v>
      </c>
      <c r="O754">
        <v>110.83993864283023</v>
      </c>
      <c r="P754" s="1">
        <f t="shared" si="55"/>
        <v>4.4582569698241548</v>
      </c>
      <c r="Q754" s="1">
        <f t="shared" si="56"/>
        <v>0.59443426264322063</v>
      </c>
      <c r="R754" s="1">
        <f t="shared" si="57"/>
        <v>0.77099563075494837</v>
      </c>
      <c r="S754" s="1">
        <f t="shared" si="58"/>
        <v>0.7086443078365674</v>
      </c>
      <c r="T754" s="56">
        <f t="shared" si="59"/>
        <v>0.75779807535425259</v>
      </c>
    </row>
    <row r="755" spans="1:20" x14ac:dyDescent="0.25">
      <c r="A755">
        <v>0.74230787143668209</v>
      </c>
      <c r="B755">
        <v>-2.2566837287740782E-3</v>
      </c>
      <c r="D755">
        <v>0.78512636874044184</v>
      </c>
      <c r="E755">
        <v>-3.9579474594120256</v>
      </c>
      <c r="I755">
        <v>0.16347538865041678</v>
      </c>
      <c r="J755">
        <v>15</v>
      </c>
      <c r="K755">
        <v>0.16012859305192251</v>
      </c>
      <c r="L755">
        <v>12.178064285655424</v>
      </c>
      <c r="M755">
        <v>15</v>
      </c>
      <c r="N755">
        <v>-0.43560885728766152</v>
      </c>
      <c r="O755">
        <v>135.72832651944429</v>
      </c>
      <c r="P755" s="1">
        <f t="shared" si="55"/>
        <v>5.2823711001821323</v>
      </c>
      <c r="Q755" s="1">
        <f t="shared" si="56"/>
        <v>0.70431614669095099</v>
      </c>
      <c r="R755" s="1">
        <f t="shared" si="57"/>
        <v>0.83923545366658037</v>
      </c>
      <c r="S755" s="1">
        <f t="shared" si="58"/>
        <v>0.70985734424926283</v>
      </c>
      <c r="T755" s="56">
        <f t="shared" si="59"/>
        <v>0.75816856588957804</v>
      </c>
    </row>
    <row r="756" spans="1:20" x14ac:dyDescent="0.25">
      <c r="A756">
        <v>0.7434460405872223</v>
      </c>
      <c r="B756">
        <v>-0.47826006266404875</v>
      </c>
      <c r="D756">
        <v>0.78774141467423864</v>
      </c>
      <c r="E756">
        <v>2.3940385710830014</v>
      </c>
      <c r="I756">
        <v>0.75511197970969013</v>
      </c>
      <c r="J756">
        <v>15</v>
      </c>
      <c r="K756">
        <v>0.28796663779454929</v>
      </c>
      <c r="L756">
        <v>13.743168541401015</v>
      </c>
      <c r="M756">
        <v>15</v>
      </c>
      <c r="N756">
        <v>-0.17554703276800865</v>
      </c>
      <c r="O756">
        <v>75.708617573525629</v>
      </c>
      <c r="P756" s="1">
        <f t="shared" si="55"/>
        <v>3.1947066469616661</v>
      </c>
      <c r="Q756" s="1">
        <f t="shared" si="56"/>
        <v>0.42596088626155548</v>
      </c>
      <c r="R756" s="1">
        <f t="shared" si="57"/>
        <v>0.65265679055806625</v>
      </c>
      <c r="S756" s="1">
        <f t="shared" si="58"/>
        <v>0.71019512440255472</v>
      </c>
      <c r="T756" s="56">
        <f t="shared" si="59"/>
        <v>0.75827167434552378</v>
      </c>
    </row>
    <row r="757" spans="1:20" x14ac:dyDescent="0.25">
      <c r="A757">
        <v>0.74388332526747869</v>
      </c>
      <c r="B757">
        <v>-0.89474724518368021</v>
      </c>
      <c r="D757">
        <v>0.78968985898280442</v>
      </c>
      <c r="E757">
        <v>-0.79997267107501102</v>
      </c>
      <c r="I757">
        <v>0.89221528999232569</v>
      </c>
      <c r="J757">
        <v>15</v>
      </c>
      <c r="K757">
        <v>0.29208141919904546</v>
      </c>
      <c r="L757">
        <v>20.752163119120276</v>
      </c>
      <c r="M757">
        <v>15</v>
      </c>
      <c r="N757">
        <v>-0.1596897652689222</v>
      </c>
      <c r="O757">
        <v>62.605397682978321</v>
      </c>
      <c r="P757" s="1">
        <f t="shared" si="55"/>
        <v>2.9770557429320923</v>
      </c>
      <c r="Q757" s="1">
        <f t="shared" si="56"/>
        <v>0.39694076572427894</v>
      </c>
      <c r="R757" s="1">
        <f t="shared" si="57"/>
        <v>0.63003235291870441</v>
      </c>
      <c r="S757" s="1">
        <f t="shared" si="58"/>
        <v>0.71706029440405816</v>
      </c>
      <c r="T757" s="56">
        <f t="shared" si="59"/>
        <v>0.7603618290366978</v>
      </c>
    </row>
    <row r="758" spans="1:20" x14ac:dyDescent="0.25">
      <c r="A758">
        <v>0.74679472908406108</v>
      </c>
      <c r="B758">
        <v>-1.8704895410337485E-2</v>
      </c>
      <c r="D758">
        <v>0.79080876808149347</v>
      </c>
      <c r="E758">
        <v>1.4243830685245484</v>
      </c>
      <c r="I758">
        <v>0.94359078167445998</v>
      </c>
      <c r="J758">
        <v>15</v>
      </c>
      <c r="K758">
        <v>0.15541953265104289</v>
      </c>
      <c r="L758">
        <v>21.798888374769337</v>
      </c>
      <c r="M758">
        <v>15</v>
      </c>
      <c r="N758">
        <v>-0.40271789089274534</v>
      </c>
      <c r="O758">
        <v>103.49685904832879</v>
      </c>
      <c r="P758" s="1">
        <f t="shared" si="55"/>
        <v>4.4748481222535039</v>
      </c>
      <c r="Q758" s="1">
        <f t="shared" si="56"/>
        <v>0.59664641630046722</v>
      </c>
      <c r="R758" s="1">
        <f t="shared" si="57"/>
        <v>0.77242890695549915</v>
      </c>
      <c r="S758" s="1">
        <f t="shared" si="58"/>
        <v>0.72257449005069851</v>
      </c>
      <c r="T758" s="56">
        <f t="shared" si="59"/>
        <v>0.76203311179840538</v>
      </c>
    </row>
    <row r="759" spans="1:20" x14ac:dyDescent="0.25">
      <c r="A759">
        <v>0.74748910659871326</v>
      </c>
      <c r="B759">
        <v>0.88045453594531864</v>
      </c>
      <c r="D759">
        <v>0.79168848766636823</v>
      </c>
      <c r="E759">
        <v>1.9977023805495264</v>
      </c>
      <c r="I759">
        <v>0.90950206632212416</v>
      </c>
      <c r="J759">
        <v>15</v>
      </c>
      <c r="K759">
        <v>0.33239939511986449</v>
      </c>
      <c r="L759">
        <v>17.258569260173111</v>
      </c>
      <c r="M759">
        <v>15</v>
      </c>
      <c r="N759">
        <v>-0.38791063502685574</v>
      </c>
      <c r="O759">
        <v>188.8415489468899</v>
      </c>
      <c r="P759" s="1">
        <f t="shared" si="55"/>
        <v>7.3607185073951076</v>
      </c>
      <c r="Q759" s="1">
        <f t="shared" si="56"/>
        <v>0.98142913431934764</v>
      </c>
      <c r="R759" s="1">
        <f t="shared" si="57"/>
        <v>0.9906710525292175</v>
      </c>
      <c r="S759" s="1">
        <f t="shared" si="58"/>
        <v>0.72709304295077948</v>
      </c>
      <c r="T759" s="56">
        <f t="shared" si="59"/>
        <v>0.76339759182899614</v>
      </c>
    </row>
    <row r="760" spans="1:20" x14ac:dyDescent="0.25">
      <c r="A760">
        <v>0.74833195672815311</v>
      </c>
      <c r="B760">
        <v>-0.4009780241176486</v>
      </c>
      <c r="D760">
        <v>0.79233009428492707</v>
      </c>
      <c r="E760">
        <v>-2.5624915485877864</v>
      </c>
      <c r="I760">
        <v>0.51380845248399065</v>
      </c>
      <c r="J760">
        <v>15</v>
      </c>
      <c r="K760">
        <v>-0.1802007621639253</v>
      </c>
      <c r="L760">
        <v>8.6315621405251406</v>
      </c>
      <c r="M760">
        <v>15</v>
      </c>
      <c r="N760">
        <v>-0.88808019768293889</v>
      </c>
      <c r="O760">
        <v>188.73435447114963</v>
      </c>
      <c r="P760" s="1">
        <f t="shared" si="55"/>
        <v>7.0487827361312423</v>
      </c>
      <c r="Q760" s="1">
        <f t="shared" si="56"/>
        <v>0.93983769815083229</v>
      </c>
      <c r="R760" s="1">
        <f t="shared" si="57"/>
        <v>0.96945226708220777</v>
      </c>
      <c r="S760" s="1">
        <f t="shared" si="58"/>
        <v>0.73018492973309712</v>
      </c>
      <c r="T760" s="56">
        <f t="shared" si="59"/>
        <v>0.76432863672546514</v>
      </c>
    </row>
    <row r="761" spans="1:20" x14ac:dyDescent="0.25">
      <c r="A761">
        <v>0.74971654968989576</v>
      </c>
      <c r="B761">
        <v>-0.70170358412724454</v>
      </c>
      <c r="D761">
        <v>0.79249501903737607</v>
      </c>
      <c r="E761">
        <v>-5.6875403549838666</v>
      </c>
      <c r="I761">
        <v>0.25470224297529365</v>
      </c>
      <c r="J761">
        <v>15</v>
      </c>
      <c r="K761">
        <v>0.44845561812204932</v>
      </c>
      <c r="L761">
        <v>8.4733580449139687</v>
      </c>
      <c r="M761">
        <v>15</v>
      </c>
      <c r="N761">
        <v>-5.6745651590972557E-2</v>
      </c>
      <c r="O761">
        <v>91.827176758904145</v>
      </c>
      <c r="P761" s="1">
        <f t="shared" si="55"/>
        <v>3.5821619572792183</v>
      </c>
      <c r="Q761" s="1">
        <f t="shared" si="56"/>
        <v>0.47762159430389578</v>
      </c>
      <c r="R761" s="1">
        <f t="shared" si="57"/>
        <v>0.69110172500428313</v>
      </c>
      <c r="S761" s="1">
        <f t="shared" si="58"/>
        <v>0.73100854973251717</v>
      </c>
      <c r="T761" s="56">
        <f t="shared" si="59"/>
        <v>0.76457628965796165</v>
      </c>
    </row>
    <row r="762" spans="1:20" x14ac:dyDescent="0.25">
      <c r="A762">
        <v>0.75219661374481606</v>
      </c>
      <c r="B762">
        <v>-2.1333107724785805</v>
      </c>
      <c r="D762">
        <v>0.7936479155900229</v>
      </c>
      <c r="E762">
        <v>-1.3453734482027357E-3</v>
      </c>
      <c r="I762">
        <v>0.6522237620461343</v>
      </c>
      <c r="J762">
        <v>15</v>
      </c>
      <c r="K762">
        <v>-0.18831368227741527</v>
      </c>
      <c r="L762">
        <v>13.884226545962854</v>
      </c>
      <c r="M762">
        <v>15</v>
      </c>
      <c r="N762">
        <v>-0.78842868219908269</v>
      </c>
      <c r="O762">
        <v>127.64209102857694</v>
      </c>
      <c r="P762" s="1">
        <f t="shared" si="55"/>
        <v>5.0545113419478502</v>
      </c>
      <c r="Q762" s="1">
        <f t="shared" si="56"/>
        <v>0.67393484559304673</v>
      </c>
      <c r="R762" s="1">
        <f t="shared" si="57"/>
        <v>0.82093534799827372</v>
      </c>
      <c r="S762" s="1">
        <f t="shared" si="58"/>
        <v>0.73101371671344983</v>
      </c>
      <c r="T762" s="56">
        <f t="shared" si="59"/>
        <v>0.76457784283079544</v>
      </c>
    </row>
    <row r="763" spans="1:20" x14ac:dyDescent="0.25">
      <c r="A763">
        <v>0.7524815129829473</v>
      </c>
      <c r="B763">
        <v>-4.5494061851059087E-2</v>
      </c>
      <c r="D763">
        <v>0.79505636679396863</v>
      </c>
      <c r="E763">
        <v>5.2286743505192135</v>
      </c>
      <c r="I763">
        <v>0.67148313269641324</v>
      </c>
      <c r="J763">
        <v>15</v>
      </c>
      <c r="K763">
        <v>0.16124992422798337</v>
      </c>
      <c r="L763">
        <v>10.370157793064852</v>
      </c>
      <c r="M763">
        <v>15</v>
      </c>
      <c r="N763">
        <v>-0.4779183234404627</v>
      </c>
      <c r="O763">
        <v>149.18403767493251</v>
      </c>
      <c r="P763" s="1">
        <f t="shared" si="55"/>
        <v>5.6983641238570488</v>
      </c>
      <c r="Q763" s="1">
        <f t="shared" si="56"/>
        <v>0.75978188318093987</v>
      </c>
      <c r="R763" s="1">
        <f t="shared" si="57"/>
        <v>0.87165468115586908</v>
      </c>
      <c r="S763" s="1">
        <f t="shared" si="58"/>
        <v>0.73328149493887718</v>
      </c>
      <c r="T763" s="56">
        <f t="shared" si="59"/>
        <v>0.76525895165343827</v>
      </c>
    </row>
    <row r="764" spans="1:20" x14ac:dyDescent="0.25">
      <c r="A764">
        <v>0.75417895411467795</v>
      </c>
      <c r="B764">
        <v>0.62281969803734683</v>
      </c>
      <c r="D764">
        <v>0.795533234293613</v>
      </c>
      <c r="E764">
        <v>-5.254038800330818</v>
      </c>
      <c r="I764">
        <v>0.69778543636360491</v>
      </c>
      <c r="J764">
        <v>15</v>
      </c>
      <c r="K764">
        <v>-8.6546985282135822E-2</v>
      </c>
      <c r="L764">
        <v>9.5356987473438295</v>
      </c>
      <c r="M764">
        <v>15</v>
      </c>
      <c r="N764">
        <v>-0.67857104454560613</v>
      </c>
      <c r="O764">
        <v>126.63592881725718</v>
      </c>
      <c r="P764" s="1">
        <f t="shared" si="55"/>
        <v>4.8632724130214644</v>
      </c>
      <c r="Q764" s="1">
        <f t="shared" si="56"/>
        <v>0.64843632173619525</v>
      </c>
      <c r="R764" s="1">
        <f t="shared" si="57"/>
        <v>0.80525543881193085</v>
      </c>
      <c r="S764" s="1">
        <f t="shared" si="58"/>
        <v>0.73520032368479149</v>
      </c>
      <c r="T764" s="56">
        <f t="shared" si="59"/>
        <v>0.76583435819789258</v>
      </c>
    </row>
    <row r="765" spans="1:20" x14ac:dyDescent="0.25">
      <c r="A765">
        <v>0.75418425231767705</v>
      </c>
      <c r="B765">
        <v>-0.54275460570352152</v>
      </c>
      <c r="D765">
        <v>0.79597954865709886</v>
      </c>
      <c r="E765">
        <v>2.2535352820796106</v>
      </c>
      <c r="I765">
        <v>0.38397232504804035</v>
      </c>
      <c r="J765">
        <v>15</v>
      </c>
      <c r="K765">
        <v>0.16290459825540893</v>
      </c>
      <c r="L765">
        <v>5.8196014185072826</v>
      </c>
      <c r="M765">
        <v>15</v>
      </c>
      <c r="N765">
        <v>-0.69461362159017881</v>
      </c>
      <c r="O765">
        <v>278.23835167391411</v>
      </c>
      <c r="P765" s="1">
        <f t="shared" si="55"/>
        <v>10.144926896157907</v>
      </c>
      <c r="Q765" s="1">
        <f t="shared" si="56"/>
        <v>1.3526569194877209</v>
      </c>
      <c r="R765" s="1">
        <f t="shared" si="57"/>
        <v>1.1630377979617519</v>
      </c>
      <c r="S765" s="1">
        <f t="shared" si="58"/>
        <v>0.73730898630156849</v>
      </c>
      <c r="T765" s="56">
        <f t="shared" si="59"/>
        <v>0.76646574035786474</v>
      </c>
    </row>
    <row r="766" spans="1:20" x14ac:dyDescent="0.25">
      <c r="A766">
        <v>0.75666484573426096</v>
      </c>
      <c r="B766">
        <v>-0.58463456298341043</v>
      </c>
      <c r="D766">
        <v>0.79625247752751449</v>
      </c>
      <c r="E766">
        <v>2.6090704034231749</v>
      </c>
      <c r="I766">
        <v>0.84888892807108507</v>
      </c>
      <c r="J766">
        <v>15</v>
      </c>
      <c r="K766">
        <v>-6.2530261857318692E-2</v>
      </c>
      <c r="L766">
        <v>6.2335143365483452</v>
      </c>
      <c r="M766">
        <v>15</v>
      </c>
      <c r="N766">
        <v>-0.69582666014866845</v>
      </c>
      <c r="O766">
        <v>146.11733014355667</v>
      </c>
      <c r="P766" s="1">
        <f t="shared" si="55"/>
        <v>5.4411015885751794</v>
      </c>
      <c r="Q766" s="1">
        <f t="shared" si="56"/>
        <v>0.72548021181002387</v>
      </c>
      <c r="R766" s="1">
        <f t="shared" si="57"/>
        <v>0.85175126170145699</v>
      </c>
      <c r="S766" s="1">
        <f t="shared" si="58"/>
        <v>0.74352270054320535</v>
      </c>
      <c r="T766" s="56">
        <f t="shared" si="59"/>
        <v>0.76832047021743843</v>
      </c>
    </row>
    <row r="767" spans="1:20" x14ac:dyDescent="0.25">
      <c r="A767">
        <v>0.7572853920369389</v>
      </c>
      <c r="B767">
        <v>-0.22263861865212675</v>
      </c>
      <c r="D767">
        <v>0.79626726135428549</v>
      </c>
      <c r="E767">
        <v>-2.9110076445704181</v>
      </c>
      <c r="I767">
        <v>0.65095118142399522</v>
      </c>
      <c r="J767">
        <v>15</v>
      </c>
      <c r="K767">
        <v>-0.15662484050456746</v>
      </c>
      <c r="L767">
        <v>10.735613493210877</v>
      </c>
      <c r="M767">
        <v>15</v>
      </c>
      <c r="N767">
        <v>-0.76323090411278827</v>
      </c>
      <c r="O767">
        <v>127.66390053958486</v>
      </c>
      <c r="P767" s="1">
        <f t="shared" si="55"/>
        <v>4.9428397868855622</v>
      </c>
      <c r="Q767" s="1">
        <f t="shared" si="56"/>
        <v>0.659045304918075</v>
      </c>
      <c r="R767" s="1">
        <f t="shared" si="57"/>
        <v>0.81181605362180109</v>
      </c>
      <c r="S767" s="1">
        <f t="shared" si="58"/>
        <v>0.74722107416074701</v>
      </c>
      <c r="T767" s="56">
        <f t="shared" si="59"/>
        <v>0.76942027668653146</v>
      </c>
    </row>
    <row r="768" spans="1:20" x14ac:dyDescent="0.25">
      <c r="A768">
        <v>0.75801028333363585</v>
      </c>
      <c r="B768">
        <v>-1.1795827958849259</v>
      </c>
      <c r="D768">
        <v>0.80067548828543122</v>
      </c>
      <c r="E768">
        <v>6.1151179090757068</v>
      </c>
      <c r="I768">
        <v>0.96076216709296636</v>
      </c>
      <c r="J768">
        <v>15</v>
      </c>
      <c r="K768">
        <v>0.20158563529548701</v>
      </c>
      <c r="L768">
        <v>4.6078641612395304</v>
      </c>
      <c r="M768">
        <v>15</v>
      </c>
      <c r="N768">
        <v>-0.42122997342630697</v>
      </c>
      <c r="O768">
        <v>136.69172682401805</v>
      </c>
      <c r="P768" s="1">
        <f t="shared" si="55"/>
        <v>5.0464139637591989</v>
      </c>
      <c r="Q768" s="1">
        <f t="shared" si="56"/>
        <v>0.67285519516789316</v>
      </c>
      <c r="R768" s="1">
        <f t="shared" si="57"/>
        <v>0.82027751107042624</v>
      </c>
      <c r="S768" s="1">
        <f t="shared" si="58"/>
        <v>0.7592742703735067</v>
      </c>
      <c r="T768" s="56">
        <f t="shared" si="59"/>
        <v>0.7729831837256842</v>
      </c>
    </row>
    <row r="769" spans="1:20" x14ac:dyDescent="0.25">
      <c r="A769">
        <v>0.75869529622386134</v>
      </c>
      <c r="B769">
        <v>-1.0467033462191466</v>
      </c>
      <c r="D769">
        <v>0.80118271483387749</v>
      </c>
      <c r="E769">
        <v>1.7351369444895681</v>
      </c>
      <c r="I769">
        <v>0.39687511736949255</v>
      </c>
      <c r="J769">
        <v>15</v>
      </c>
      <c r="K769">
        <v>-0.12255244049204823</v>
      </c>
      <c r="L769">
        <v>18.459539835702742</v>
      </c>
      <c r="M769">
        <v>15</v>
      </c>
      <c r="N769">
        <v>-0.96144208669102227</v>
      </c>
      <c r="O769">
        <v>236.74115673554263</v>
      </c>
      <c r="P769" s="1">
        <f t="shared" si="55"/>
        <v>9.1143105918301917</v>
      </c>
      <c r="Q769" s="1">
        <f t="shared" si="56"/>
        <v>1.2152414122440256</v>
      </c>
      <c r="R769" s="1">
        <f t="shared" si="57"/>
        <v>1.1023798856310947</v>
      </c>
      <c r="S769" s="1">
        <f t="shared" si="58"/>
        <v>0.76098054503119239</v>
      </c>
      <c r="T769" s="56">
        <f t="shared" si="59"/>
        <v>0.77348489924674668</v>
      </c>
    </row>
    <row r="770" spans="1:20" x14ac:dyDescent="0.25">
      <c r="A770">
        <v>0.75963064290043214</v>
      </c>
      <c r="B770">
        <v>-1.3319800018507522</v>
      </c>
      <c r="D770">
        <v>0.80227618617281959</v>
      </c>
      <c r="E770">
        <v>1.6826681951442879</v>
      </c>
      <c r="I770">
        <v>0.80756099102371537</v>
      </c>
      <c r="J770">
        <v>15</v>
      </c>
      <c r="K770">
        <v>-4.6049838905067496E-2</v>
      </c>
      <c r="L770">
        <v>9.8829781160203414</v>
      </c>
      <c r="M770">
        <v>15</v>
      </c>
      <c r="N770">
        <v>-0.62541494457946101</v>
      </c>
      <c r="O770">
        <v>110.73940165776685</v>
      </c>
      <c r="P770" s="1">
        <f t="shared" ref="P770:P833" si="60">(L770+O770)/(J770+M770-2)</f>
        <v>4.3079421347781137</v>
      </c>
      <c r="Q770" s="1">
        <f t="shared" ref="Q770:Q833" si="61">P770*(2/15)</f>
        <v>0.57439228463708181</v>
      </c>
      <c r="R770" s="1">
        <f t="shared" ref="R770:R833" si="62">SQRT(Q770)</f>
        <v>0.75788672282675718</v>
      </c>
      <c r="S770" s="1">
        <f t="shared" ref="S770:S833" si="63">(K770-N770)/R770</f>
        <v>0.76444815329853544</v>
      </c>
      <c r="T770" s="56">
        <f t="shared" ref="T770:T833" si="64">_xlfn.T.DIST(S770,28,TRUE)</f>
        <v>0.7745024838650244</v>
      </c>
    </row>
    <row r="771" spans="1:20" x14ac:dyDescent="0.25">
      <c r="A771">
        <v>0.7602281943172936</v>
      </c>
      <c r="B771">
        <v>3.3014657674357295E-2</v>
      </c>
      <c r="D771">
        <v>0.80278822138566353</v>
      </c>
      <c r="E771">
        <v>2.701825220583487</v>
      </c>
      <c r="I771">
        <v>0.45613422830794303</v>
      </c>
      <c r="J771">
        <v>15</v>
      </c>
      <c r="K771">
        <v>-0.39566361920151394</v>
      </c>
      <c r="L771">
        <v>8.5007068900174936</v>
      </c>
      <c r="M771">
        <v>15</v>
      </c>
      <c r="N771">
        <v>-0.96220765385623963</v>
      </c>
      <c r="O771">
        <v>106.33190735513995</v>
      </c>
      <c r="P771" s="1">
        <f t="shared" si="60"/>
        <v>4.1011647944699083</v>
      </c>
      <c r="Q771" s="1">
        <f t="shared" si="61"/>
        <v>0.54682197259598775</v>
      </c>
      <c r="R771" s="1">
        <f t="shared" si="62"/>
        <v>0.73947411894939752</v>
      </c>
      <c r="S771" s="1">
        <f t="shared" si="63"/>
        <v>0.76614450747733942</v>
      </c>
      <c r="T771" s="56">
        <f t="shared" si="64"/>
        <v>0.7749992911002056</v>
      </c>
    </row>
    <row r="772" spans="1:20" x14ac:dyDescent="0.25">
      <c r="A772">
        <v>0.76374860982329595</v>
      </c>
      <c r="B772">
        <v>1.7844922695076093</v>
      </c>
      <c r="D772">
        <v>0.80314586561869805</v>
      </c>
      <c r="E772">
        <v>1.8651355696874816</v>
      </c>
      <c r="I772">
        <v>0.90743722383072767</v>
      </c>
      <c r="J772">
        <v>15</v>
      </c>
      <c r="K772">
        <v>0.27493221447609056</v>
      </c>
      <c r="L772">
        <v>8.0282279777965844</v>
      </c>
      <c r="M772">
        <v>15</v>
      </c>
      <c r="N772">
        <v>-0.41961380134125648</v>
      </c>
      <c r="O772">
        <v>164.54181131207989</v>
      </c>
      <c r="P772" s="1">
        <f t="shared" si="60"/>
        <v>6.1632156889241596</v>
      </c>
      <c r="Q772" s="1">
        <f t="shared" si="61"/>
        <v>0.82176209185655458</v>
      </c>
      <c r="R772" s="1">
        <f t="shared" si="62"/>
        <v>0.90651094414604538</v>
      </c>
      <c r="S772" s="1">
        <f t="shared" si="63"/>
        <v>0.76617499248354448</v>
      </c>
      <c r="T772" s="56">
        <f t="shared" si="64"/>
        <v>0.77500821318609403</v>
      </c>
    </row>
    <row r="773" spans="1:20" x14ac:dyDescent="0.25">
      <c r="A773">
        <v>0.76390081582419367</v>
      </c>
      <c r="B773">
        <v>-5.8593059293343686E-2</v>
      </c>
      <c r="D773">
        <v>0.80374505579725086</v>
      </c>
      <c r="E773">
        <v>-2.1839962334979646</v>
      </c>
      <c r="I773">
        <v>0.37815799031867037</v>
      </c>
      <c r="J773">
        <v>15</v>
      </c>
      <c r="K773">
        <v>-8.1856872687543117E-2</v>
      </c>
      <c r="L773">
        <v>13.626368262595951</v>
      </c>
      <c r="M773">
        <v>15</v>
      </c>
      <c r="N773">
        <v>-0.91255401798662206</v>
      </c>
      <c r="O773">
        <v>230.84810618287071</v>
      </c>
      <c r="P773" s="1">
        <f t="shared" si="60"/>
        <v>8.7312312301952382</v>
      </c>
      <c r="Q773" s="1">
        <f t="shared" si="61"/>
        <v>1.1641641640260318</v>
      </c>
      <c r="R773" s="1">
        <f t="shared" si="62"/>
        <v>1.0789643942345974</v>
      </c>
      <c r="S773" s="1">
        <f t="shared" si="63"/>
        <v>0.76990227827523827</v>
      </c>
      <c r="T773" s="56">
        <f t="shared" si="64"/>
        <v>0.77609748874179818</v>
      </c>
    </row>
    <row r="774" spans="1:20" x14ac:dyDescent="0.25">
      <c r="A774">
        <v>0.76450023856872895</v>
      </c>
      <c r="B774">
        <v>-0.45251454139361158</v>
      </c>
      <c r="D774">
        <v>0.80398926728694231</v>
      </c>
      <c r="E774">
        <v>-0.66749453594638908</v>
      </c>
      <c r="I774">
        <v>0.53720825141787798</v>
      </c>
      <c r="J774">
        <v>15</v>
      </c>
      <c r="K774">
        <v>-0.28746967473125551</v>
      </c>
      <c r="L774">
        <v>11.581182429500657</v>
      </c>
      <c r="M774">
        <v>15</v>
      </c>
      <c r="N774">
        <v>-1.021144274773178</v>
      </c>
      <c r="O774">
        <v>177.30810494312732</v>
      </c>
      <c r="P774" s="1">
        <f t="shared" si="60"/>
        <v>6.7460459775938562</v>
      </c>
      <c r="Q774" s="1">
        <f t="shared" si="61"/>
        <v>0.89947279701251415</v>
      </c>
      <c r="R774" s="1">
        <f t="shared" si="62"/>
        <v>0.94840539697563619</v>
      </c>
      <c r="S774" s="1">
        <f t="shared" si="63"/>
        <v>0.7735875421855809</v>
      </c>
      <c r="T774" s="56">
        <f t="shared" si="64"/>
        <v>0.77717137128225233</v>
      </c>
    </row>
    <row r="775" spans="1:20" x14ac:dyDescent="0.25">
      <c r="A775">
        <v>0.76455412315668936</v>
      </c>
      <c r="B775">
        <v>-0.54018642003939021</v>
      </c>
      <c r="D775">
        <v>0.80466875611941968</v>
      </c>
      <c r="E775">
        <v>-3.4555175750483613</v>
      </c>
      <c r="I775">
        <v>0.70493301042297074</v>
      </c>
      <c r="J775">
        <v>15</v>
      </c>
      <c r="K775">
        <v>0.18708419702306855</v>
      </c>
      <c r="L775">
        <v>18.424166880158651</v>
      </c>
      <c r="M775">
        <v>15</v>
      </c>
      <c r="N775">
        <v>-0.36608640016311256</v>
      </c>
      <c r="O775">
        <v>88.375867498781375</v>
      </c>
      <c r="P775" s="1">
        <f t="shared" si="60"/>
        <v>3.8142869421050007</v>
      </c>
      <c r="Q775" s="1">
        <f t="shared" si="61"/>
        <v>0.50857159228066673</v>
      </c>
      <c r="R775" s="1">
        <f t="shared" si="62"/>
        <v>0.71314205617160653</v>
      </c>
      <c r="S775" s="1">
        <f t="shared" si="63"/>
        <v>0.7756807951501169</v>
      </c>
      <c r="T775" s="56">
        <f t="shared" si="64"/>
        <v>0.77777996312761144</v>
      </c>
    </row>
    <row r="776" spans="1:20" x14ac:dyDescent="0.25">
      <c r="A776">
        <v>0.76491875045659441</v>
      </c>
      <c r="B776">
        <v>0.965490016824333</v>
      </c>
      <c r="D776">
        <v>0.80516323215094721</v>
      </c>
      <c r="E776">
        <v>-0.2810661533203529</v>
      </c>
      <c r="I776">
        <v>0.17452057642871421</v>
      </c>
      <c r="J776">
        <v>15</v>
      </c>
      <c r="K776">
        <v>-0.26187702436194132</v>
      </c>
      <c r="L776">
        <v>9.6487365997716257</v>
      </c>
      <c r="M776">
        <v>15</v>
      </c>
      <c r="N776">
        <v>-0.91830975520679203</v>
      </c>
      <c r="O776">
        <v>139.88524709475212</v>
      </c>
      <c r="P776" s="1">
        <f t="shared" si="60"/>
        <v>5.3404994176615626</v>
      </c>
      <c r="Q776" s="1">
        <f t="shared" si="61"/>
        <v>0.71206658902154163</v>
      </c>
      <c r="R776" s="1">
        <f t="shared" si="62"/>
        <v>0.84384038124608707</v>
      </c>
      <c r="S776" s="1">
        <f t="shared" si="63"/>
        <v>0.77791101899568482</v>
      </c>
      <c r="T776" s="56">
        <f t="shared" si="64"/>
        <v>0.77842727632178788</v>
      </c>
    </row>
    <row r="777" spans="1:20" x14ac:dyDescent="0.25">
      <c r="A777">
        <v>0.76791551689672266</v>
      </c>
      <c r="B777">
        <v>-2.1237337932689115</v>
      </c>
      <c r="D777">
        <v>0.80554301726651867</v>
      </c>
      <c r="E777">
        <v>2.1818238985815697</v>
      </c>
      <c r="I777">
        <v>8.5227823274562908E-2</v>
      </c>
      <c r="J777">
        <v>15</v>
      </c>
      <c r="K777">
        <v>-0.16702263868258646</v>
      </c>
      <c r="L777">
        <v>20.095293443554684</v>
      </c>
      <c r="M777">
        <v>15</v>
      </c>
      <c r="N777">
        <v>-0.7291603230896726</v>
      </c>
      <c r="O777">
        <v>88.453947329420899</v>
      </c>
      <c r="P777" s="1">
        <f t="shared" si="60"/>
        <v>3.8767585990348423</v>
      </c>
      <c r="Q777" s="1">
        <f t="shared" si="61"/>
        <v>0.51690114653797892</v>
      </c>
      <c r="R777" s="1">
        <f t="shared" si="62"/>
        <v>0.71895837608166091</v>
      </c>
      <c r="S777" s="1">
        <f t="shared" si="63"/>
        <v>0.78187792660647337</v>
      </c>
      <c r="T777" s="56">
        <f t="shared" si="64"/>
        <v>0.77957584291172666</v>
      </c>
    </row>
    <row r="778" spans="1:20" x14ac:dyDescent="0.25">
      <c r="A778">
        <v>0.76835005942924872</v>
      </c>
      <c r="B778">
        <v>1.4867191566736437</v>
      </c>
      <c r="D778">
        <v>0.80647934657137654</v>
      </c>
      <c r="E778">
        <v>-9.0281598693309206</v>
      </c>
      <c r="I778">
        <v>8.7368609953570431E-2</v>
      </c>
      <c r="J778">
        <v>15</v>
      </c>
      <c r="K778">
        <v>1.5879777492955327E-2</v>
      </c>
      <c r="L778">
        <v>11.186614056594676</v>
      </c>
      <c r="M778">
        <v>15</v>
      </c>
      <c r="N778">
        <v>-0.49350842687090335</v>
      </c>
      <c r="O778">
        <v>77.455438320245491</v>
      </c>
      <c r="P778" s="1">
        <f t="shared" si="60"/>
        <v>3.1657875848871488</v>
      </c>
      <c r="Q778" s="1">
        <f t="shared" si="61"/>
        <v>0.42210501131828648</v>
      </c>
      <c r="R778" s="1">
        <f t="shared" si="62"/>
        <v>0.64969609150608754</v>
      </c>
      <c r="S778" s="1">
        <f t="shared" si="63"/>
        <v>0.78404074000664636</v>
      </c>
      <c r="T778" s="56">
        <f t="shared" si="64"/>
        <v>0.78020053922000665</v>
      </c>
    </row>
    <row r="779" spans="1:20" x14ac:dyDescent="0.25">
      <c r="A779">
        <v>0.76975447486727244</v>
      </c>
      <c r="B779">
        <v>0.61892478697700426</v>
      </c>
      <c r="D779">
        <v>0.80665448293876529</v>
      </c>
      <c r="E779">
        <v>5.3388096114304062</v>
      </c>
      <c r="I779">
        <v>0.93487367017158784</v>
      </c>
      <c r="J779">
        <v>15</v>
      </c>
      <c r="K779">
        <v>0.25601108670040656</v>
      </c>
      <c r="L779">
        <v>27.643677834699172</v>
      </c>
      <c r="M779">
        <v>15</v>
      </c>
      <c r="N779">
        <v>-0.29520606744881661</v>
      </c>
      <c r="O779">
        <v>75.588078551232016</v>
      </c>
      <c r="P779" s="1">
        <f t="shared" si="60"/>
        <v>3.6868484423546852</v>
      </c>
      <c r="Q779" s="1">
        <f t="shared" si="61"/>
        <v>0.49157979231395804</v>
      </c>
      <c r="R779" s="1">
        <f t="shared" si="62"/>
        <v>0.70112751501703174</v>
      </c>
      <c r="S779" s="1">
        <f t="shared" si="63"/>
        <v>0.78618673827945995</v>
      </c>
      <c r="T779" s="56">
        <f t="shared" si="64"/>
        <v>0.78081931855036091</v>
      </c>
    </row>
    <row r="780" spans="1:20" x14ac:dyDescent="0.25">
      <c r="A780">
        <v>0.76975832784922471</v>
      </c>
      <c r="B780">
        <v>-1.1335919225530233</v>
      </c>
      <c r="D780">
        <v>0.80692794979391591</v>
      </c>
      <c r="E780">
        <v>1.7790041476928309</v>
      </c>
      <c r="I780">
        <v>0.93900654750714208</v>
      </c>
      <c r="J780">
        <v>15</v>
      </c>
      <c r="K780">
        <v>3.9617134461877868E-2</v>
      </c>
      <c r="L780">
        <v>14.860258462814397</v>
      </c>
      <c r="M780">
        <v>15</v>
      </c>
      <c r="N780">
        <v>-0.70202031906774209</v>
      </c>
      <c r="O780">
        <v>170.49894355188522</v>
      </c>
      <c r="P780" s="1">
        <f t="shared" si="60"/>
        <v>6.6199715005249855</v>
      </c>
      <c r="Q780" s="1">
        <f t="shared" si="61"/>
        <v>0.88266286673666472</v>
      </c>
      <c r="R780" s="1">
        <f t="shared" si="62"/>
        <v>0.93950139262092891</v>
      </c>
      <c r="S780" s="1">
        <f t="shared" si="63"/>
        <v>0.78939473571260232</v>
      </c>
      <c r="T780" s="56">
        <f t="shared" si="64"/>
        <v>0.78174234444830015</v>
      </c>
    </row>
    <row r="781" spans="1:20" x14ac:dyDescent="0.25">
      <c r="A781">
        <v>0.77028401327028218</v>
      </c>
      <c r="B781">
        <v>0.91409447122714482</v>
      </c>
      <c r="D781">
        <v>0.80941113407420395</v>
      </c>
      <c r="E781">
        <v>3.1335532605680783</v>
      </c>
      <c r="I781">
        <v>0.12626948000002292</v>
      </c>
      <c r="J781">
        <v>15</v>
      </c>
      <c r="K781">
        <v>-0.27140640668221749</v>
      </c>
      <c r="L781">
        <v>5.8885159269066136</v>
      </c>
      <c r="M781">
        <v>15</v>
      </c>
      <c r="N781">
        <v>-0.89292712232236227</v>
      </c>
      <c r="O781">
        <v>123.88396913645518</v>
      </c>
      <c r="P781" s="1">
        <f t="shared" si="60"/>
        <v>4.6347316094057778</v>
      </c>
      <c r="Q781" s="1">
        <f t="shared" si="61"/>
        <v>0.617964214587437</v>
      </c>
      <c r="R781" s="1">
        <f t="shared" si="62"/>
        <v>0.78610699945200657</v>
      </c>
      <c r="S781" s="1">
        <f t="shared" si="63"/>
        <v>0.79063119406570026</v>
      </c>
      <c r="T781" s="56">
        <f t="shared" si="64"/>
        <v>0.78209747497424997</v>
      </c>
    </row>
    <row r="782" spans="1:20" x14ac:dyDescent="0.25">
      <c r="A782">
        <v>0.77244880046156195</v>
      </c>
      <c r="B782">
        <v>-1.7386582840117626</v>
      </c>
      <c r="D782">
        <v>0.80973366962377513</v>
      </c>
      <c r="E782">
        <v>5.1314038921645988</v>
      </c>
      <c r="I782">
        <v>1.3429892959213374E-2</v>
      </c>
      <c r="J782">
        <v>15</v>
      </c>
      <c r="K782">
        <v>-0.27117403078591451</v>
      </c>
      <c r="L782">
        <v>18.773187996972396</v>
      </c>
      <c r="M782">
        <v>15</v>
      </c>
      <c r="N782">
        <v>-1.0424057597901992</v>
      </c>
      <c r="O782">
        <v>177.36952670838235</v>
      </c>
      <c r="P782" s="1">
        <f t="shared" si="60"/>
        <v>7.0050969537626697</v>
      </c>
      <c r="Q782" s="1">
        <f t="shared" si="61"/>
        <v>0.93401292716835593</v>
      </c>
      <c r="R782" s="1">
        <f t="shared" si="62"/>
        <v>0.96644344230190515</v>
      </c>
      <c r="S782" s="1">
        <f t="shared" si="63"/>
        <v>0.7980102044743983</v>
      </c>
      <c r="T782" s="56">
        <f t="shared" si="64"/>
        <v>0.78420952908056574</v>
      </c>
    </row>
    <row r="783" spans="1:20" x14ac:dyDescent="0.25">
      <c r="A783">
        <v>0.77263657006001873</v>
      </c>
      <c r="B783">
        <v>0.25823283067438751</v>
      </c>
      <c r="D783">
        <v>0.81249679478574033</v>
      </c>
      <c r="E783">
        <v>-4.779637268939041</v>
      </c>
      <c r="I783">
        <v>3.9344145859149582E-2</v>
      </c>
      <c r="J783">
        <v>15</v>
      </c>
      <c r="K783">
        <v>7.3883181054649569E-2</v>
      </c>
      <c r="L783">
        <v>24.07003282994793</v>
      </c>
      <c r="M783">
        <v>15</v>
      </c>
      <c r="N783">
        <v>-0.59977606156280672</v>
      </c>
      <c r="O783">
        <v>125.5281192135308</v>
      </c>
      <c r="P783" s="1">
        <f t="shared" si="60"/>
        <v>5.3427911444099552</v>
      </c>
      <c r="Q783" s="1">
        <f t="shared" si="61"/>
        <v>0.71237215258799402</v>
      </c>
      <c r="R783" s="1">
        <f t="shared" si="62"/>
        <v>0.84402141713821099</v>
      </c>
      <c r="S783" s="1">
        <f t="shared" si="63"/>
        <v>0.79815420431107686</v>
      </c>
      <c r="T783" s="56">
        <f t="shared" si="64"/>
        <v>0.7842506205743176</v>
      </c>
    </row>
    <row r="784" spans="1:20" x14ac:dyDescent="0.25">
      <c r="A784">
        <v>0.77338035081310341</v>
      </c>
      <c r="B784">
        <v>0.15340560821641702</v>
      </c>
      <c r="D784">
        <v>0.814434118032211</v>
      </c>
      <c r="E784">
        <v>-7.2142636361149926</v>
      </c>
      <c r="I784">
        <v>0.18192120089672281</v>
      </c>
      <c r="J784">
        <v>15</v>
      </c>
      <c r="K784">
        <v>9.7497756238832764E-2</v>
      </c>
      <c r="L784">
        <v>18.021836430889056</v>
      </c>
      <c r="M784">
        <v>15</v>
      </c>
      <c r="N784">
        <v>-0.55706596299387456</v>
      </c>
      <c r="O784">
        <v>122.78015369883563</v>
      </c>
      <c r="P784" s="1">
        <f t="shared" si="60"/>
        <v>5.0286425046330248</v>
      </c>
      <c r="Q784" s="1">
        <f t="shared" si="61"/>
        <v>0.67048566728440329</v>
      </c>
      <c r="R784" s="1">
        <f t="shared" si="62"/>
        <v>0.81883189195609818</v>
      </c>
      <c r="S784" s="1">
        <f t="shared" si="63"/>
        <v>0.79938718272077491</v>
      </c>
      <c r="T784" s="56">
        <f t="shared" si="64"/>
        <v>0.7846022649176374</v>
      </c>
    </row>
    <row r="785" spans="1:20" x14ac:dyDescent="0.25">
      <c r="A785">
        <v>0.77403131951043425</v>
      </c>
      <c r="B785">
        <v>1.5658906704629771</v>
      </c>
      <c r="D785">
        <v>0.81461513325699419</v>
      </c>
      <c r="E785">
        <v>0.62663229641657381</v>
      </c>
      <c r="I785">
        <v>0.38332491440893579</v>
      </c>
      <c r="J785">
        <v>15</v>
      </c>
      <c r="K785">
        <v>7.4986852875251017E-2</v>
      </c>
      <c r="L785">
        <v>12.264787015810098</v>
      </c>
      <c r="M785">
        <v>15</v>
      </c>
      <c r="N785">
        <v>-0.47391245402650384</v>
      </c>
      <c r="O785">
        <v>84.142182836118153</v>
      </c>
      <c r="P785" s="1">
        <f t="shared" si="60"/>
        <v>3.4431060661402948</v>
      </c>
      <c r="Q785" s="1">
        <f t="shared" si="61"/>
        <v>0.45908080881870594</v>
      </c>
      <c r="R785" s="1">
        <f t="shared" si="62"/>
        <v>0.67755502272413715</v>
      </c>
      <c r="S785" s="1">
        <f t="shared" si="63"/>
        <v>0.81011768563810971</v>
      </c>
      <c r="T785" s="56">
        <f t="shared" si="64"/>
        <v>0.78764776629167144</v>
      </c>
    </row>
    <row r="786" spans="1:20" x14ac:dyDescent="0.25">
      <c r="A786">
        <v>0.7741077582777216</v>
      </c>
      <c r="B786">
        <v>-0.39410679164575413</v>
      </c>
      <c r="D786">
        <v>0.8155790043921568</v>
      </c>
      <c r="E786">
        <v>4.050487629001509</v>
      </c>
      <c r="I786">
        <v>0.83710731122800064</v>
      </c>
      <c r="J786">
        <v>15</v>
      </c>
      <c r="K786">
        <v>-0.34531300722543773</v>
      </c>
      <c r="L786">
        <v>10.818342087771693</v>
      </c>
      <c r="M786">
        <v>15</v>
      </c>
      <c r="N786">
        <v>-1.0209544177541829</v>
      </c>
      <c r="O786">
        <v>134.72165719072382</v>
      </c>
      <c r="P786" s="1">
        <f t="shared" si="60"/>
        <v>5.1978571170891259</v>
      </c>
      <c r="Q786" s="1">
        <f t="shared" si="61"/>
        <v>0.69304761561188344</v>
      </c>
      <c r="R786" s="1">
        <f t="shared" si="62"/>
        <v>0.83249481416515947</v>
      </c>
      <c r="S786" s="1">
        <f t="shared" si="63"/>
        <v>0.81158632946715747</v>
      </c>
      <c r="T786" s="56">
        <f t="shared" si="64"/>
        <v>0.78806251973636265</v>
      </c>
    </row>
    <row r="787" spans="1:20" x14ac:dyDescent="0.25">
      <c r="A787">
        <v>0.77503658728955516</v>
      </c>
      <c r="B787">
        <v>1.9929575501009822</v>
      </c>
      <c r="D787">
        <v>0.81601764691401202</v>
      </c>
      <c r="E787">
        <v>-1.303473485450013</v>
      </c>
      <c r="I787">
        <v>0.64804518164424041</v>
      </c>
      <c r="J787">
        <v>15</v>
      </c>
      <c r="K787">
        <v>0.15587261259497609</v>
      </c>
      <c r="L787">
        <v>10.090754561677683</v>
      </c>
      <c r="M787">
        <v>15</v>
      </c>
      <c r="N787">
        <v>-0.58028399848808476</v>
      </c>
      <c r="O787">
        <v>161.21738950144831</v>
      </c>
      <c r="P787" s="1">
        <f t="shared" si="60"/>
        <v>6.1181480022544994</v>
      </c>
      <c r="Q787" s="1">
        <f t="shared" si="61"/>
        <v>0.81575306696726657</v>
      </c>
      <c r="R787" s="1">
        <f t="shared" si="62"/>
        <v>0.90319049317808175</v>
      </c>
      <c r="S787" s="1">
        <f t="shared" si="63"/>
        <v>0.81506240006216846</v>
      </c>
      <c r="T787" s="56">
        <f t="shared" si="64"/>
        <v>0.78904218955546734</v>
      </c>
    </row>
    <row r="788" spans="1:20" x14ac:dyDescent="0.25">
      <c r="A788">
        <v>0.77548076189477633</v>
      </c>
      <c r="B788">
        <v>0.97319798442185856</v>
      </c>
      <c r="D788">
        <v>0.81636750821800208</v>
      </c>
      <c r="E788">
        <v>6.6705008487133455</v>
      </c>
      <c r="I788">
        <v>0.3773911047445353</v>
      </c>
      <c r="J788">
        <v>15</v>
      </c>
      <c r="K788">
        <v>0.30249172292921384</v>
      </c>
      <c r="L788">
        <v>19.37108326537118</v>
      </c>
      <c r="M788">
        <v>15</v>
      </c>
      <c r="N788">
        <v>-0.49947016464102489</v>
      </c>
      <c r="O788">
        <v>183.56388262478353</v>
      </c>
      <c r="P788" s="1">
        <f t="shared" si="60"/>
        <v>7.2476773532198111</v>
      </c>
      <c r="Q788" s="1">
        <f t="shared" si="61"/>
        <v>0.96635698042930818</v>
      </c>
      <c r="R788" s="1">
        <f t="shared" si="62"/>
        <v>0.98303457743321943</v>
      </c>
      <c r="S788" s="1">
        <f t="shared" si="63"/>
        <v>0.81580231863687269</v>
      </c>
      <c r="T788" s="56">
        <f t="shared" si="64"/>
        <v>0.78925036083673716</v>
      </c>
    </row>
    <row r="789" spans="1:20" x14ac:dyDescent="0.25">
      <c r="A789">
        <v>0.77551588606427446</v>
      </c>
      <c r="B789">
        <v>0.5617334863927681</v>
      </c>
      <c r="D789">
        <v>0.8176611161908881</v>
      </c>
      <c r="E789">
        <v>1.3866037954812782</v>
      </c>
      <c r="I789">
        <v>0.39745939735620206</v>
      </c>
      <c r="J789">
        <v>15</v>
      </c>
      <c r="K789">
        <v>1.1451826746148678E-2</v>
      </c>
      <c r="L789">
        <v>11.822486906239623</v>
      </c>
      <c r="M789">
        <v>15</v>
      </c>
      <c r="N789">
        <v>-0.75130538220946619</v>
      </c>
      <c r="O789">
        <v>171.61542693679445</v>
      </c>
      <c r="P789" s="1">
        <f t="shared" si="60"/>
        <v>6.551354065822645</v>
      </c>
      <c r="Q789" s="1">
        <f t="shared" si="61"/>
        <v>0.87351387544301928</v>
      </c>
      <c r="R789" s="1">
        <f t="shared" si="62"/>
        <v>0.93461964212347859</v>
      </c>
      <c r="S789" s="1">
        <f t="shared" si="63"/>
        <v>0.81611510670010301</v>
      </c>
      <c r="T789" s="56">
        <f t="shared" si="64"/>
        <v>0.78933832351013233</v>
      </c>
    </row>
    <row r="790" spans="1:20" x14ac:dyDescent="0.25">
      <c r="A790">
        <v>0.77557020445294556</v>
      </c>
      <c r="B790">
        <v>0.88894012151286006</v>
      </c>
      <c r="D790">
        <v>0.81782550371155116</v>
      </c>
      <c r="E790">
        <v>-0.30408432735384849</v>
      </c>
      <c r="I790">
        <v>1.8292474047742924E-2</v>
      </c>
      <c r="J790">
        <v>15</v>
      </c>
      <c r="K790">
        <v>2.0081643015146255E-3</v>
      </c>
      <c r="L790">
        <v>10.565160149362189</v>
      </c>
      <c r="M790">
        <v>15</v>
      </c>
      <c r="N790">
        <v>-0.52328210017549281</v>
      </c>
      <c r="O790">
        <v>74.686431032729303</v>
      </c>
      <c r="P790" s="1">
        <f t="shared" si="60"/>
        <v>3.0446996850746961</v>
      </c>
      <c r="Q790" s="1">
        <f t="shared" si="61"/>
        <v>0.40595995800995949</v>
      </c>
      <c r="R790" s="1">
        <f t="shared" si="62"/>
        <v>0.63714987091732156</v>
      </c>
      <c r="S790" s="1">
        <f t="shared" si="63"/>
        <v>0.824437527893921</v>
      </c>
      <c r="T790" s="56">
        <f t="shared" si="64"/>
        <v>0.79167041637138857</v>
      </c>
    </row>
    <row r="791" spans="1:20" x14ac:dyDescent="0.25">
      <c r="A791">
        <v>0.7757348122023664</v>
      </c>
      <c r="B791">
        <v>1.4669149095425382</v>
      </c>
      <c r="D791">
        <v>0.81922423270008193</v>
      </c>
      <c r="E791">
        <v>-7.915150831649953E-2</v>
      </c>
      <c r="I791">
        <v>0.36657252739431345</v>
      </c>
      <c r="J791">
        <v>15</v>
      </c>
      <c r="K791">
        <v>0.37767442033024662</v>
      </c>
      <c r="L791">
        <v>11.241472605401849</v>
      </c>
      <c r="M791">
        <v>15</v>
      </c>
      <c r="N791">
        <v>-0.24251449190160201</v>
      </c>
      <c r="O791">
        <v>107.39467956816141</v>
      </c>
      <c r="P791" s="1">
        <f t="shared" si="60"/>
        <v>4.2370054347701167</v>
      </c>
      <c r="Q791" s="1">
        <f t="shared" si="61"/>
        <v>0.56493405796934892</v>
      </c>
      <c r="R791" s="1">
        <f t="shared" si="62"/>
        <v>0.75162095365240378</v>
      </c>
      <c r="S791" s="1">
        <f t="shared" si="63"/>
        <v>0.82513520840274845</v>
      </c>
      <c r="T791" s="56">
        <f t="shared" si="64"/>
        <v>0.79186518716160015</v>
      </c>
    </row>
    <row r="792" spans="1:20" x14ac:dyDescent="0.25">
      <c r="A792">
        <v>0.77625473079658225</v>
      </c>
      <c r="B792">
        <v>-0.62170556702767499</v>
      </c>
      <c r="D792">
        <v>0.82021014225004207</v>
      </c>
      <c r="E792">
        <v>-1.6802021070816409</v>
      </c>
      <c r="I792">
        <v>0.69349865210261974</v>
      </c>
      <c r="J792">
        <v>15</v>
      </c>
      <c r="K792">
        <v>0.4729015472548781</v>
      </c>
      <c r="L792">
        <v>17.706667215687197</v>
      </c>
      <c r="M792">
        <v>15</v>
      </c>
      <c r="N792">
        <v>-0.24818223550937546</v>
      </c>
      <c r="O792">
        <v>140.5333332145417</v>
      </c>
      <c r="P792" s="1">
        <f t="shared" si="60"/>
        <v>5.6514285867938892</v>
      </c>
      <c r="Q792" s="1">
        <f t="shared" si="61"/>
        <v>0.75352381157251858</v>
      </c>
      <c r="R792" s="1">
        <f t="shared" si="62"/>
        <v>0.86805749324138581</v>
      </c>
      <c r="S792" s="1">
        <f t="shared" si="63"/>
        <v>0.83068666347395681</v>
      </c>
      <c r="T792" s="56">
        <f t="shared" si="64"/>
        <v>0.79341094046125082</v>
      </c>
    </row>
    <row r="793" spans="1:20" x14ac:dyDescent="0.25">
      <c r="A793">
        <v>0.77679950266846975</v>
      </c>
      <c r="B793">
        <v>-0.73437149694655091</v>
      </c>
      <c r="D793">
        <v>0.82163664930601743</v>
      </c>
      <c r="E793">
        <v>5.1099443646762666</v>
      </c>
      <c r="I793">
        <v>0.97804689964362157</v>
      </c>
      <c r="J793">
        <v>15</v>
      </c>
      <c r="K793">
        <v>-0.10033515233468886</v>
      </c>
      <c r="L793">
        <v>11.017581466891462</v>
      </c>
      <c r="M793">
        <v>15</v>
      </c>
      <c r="N793">
        <v>-0.79827100648799387</v>
      </c>
      <c r="O793">
        <v>132.46646458764107</v>
      </c>
      <c r="P793" s="1">
        <f t="shared" si="60"/>
        <v>5.1244302162333053</v>
      </c>
      <c r="Q793" s="1">
        <f t="shared" si="61"/>
        <v>0.68325736216444066</v>
      </c>
      <c r="R793" s="1">
        <f t="shared" si="62"/>
        <v>0.82659383143381893</v>
      </c>
      <c r="S793" s="1">
        <f t="shared" si="63"/>
        <v>0.8443516363322694</v>
      </c>
      <c r="T793" s="56">
        <f t="shared" si="64"/>
        <v>0.79718518097186997</v>
      </c>
    </row>
    <row r="794" spans="1:20" x14ac:dyDescent="0.25">
      <c r="A794">
        <v>0.77720940151982054</v>
      </c>
      <c r="B794">
        <v>-1.0520102478039917</v>
      </c>
      <c r="D794">
        <v>0.82178808949454485</v>
      </c>
      <c r="E794">
        <v>1.1544814208264143</v>
      </c>
      <c r="I794">
        <v>0.95608806595965534</v>
      </c>
      <c r="J794">
        <v>15</v>
      </c>
      <c r="K794">
        <v>0.15835394151508808</v>
      </c>
      <c r="L794">
        <v>11.588032722124083</v>
      </c>
      <c r="M794">
        <v>15</v>
      </c>
      <c r="N794">
        <v>-0.42136275965276582</v>
      </c>
      <c r="O794">
        <v>86.286095012913222</v>
      </c>
      <c r="P794" s="1">
        <f t="shared" si="60"/>
        <v>3.495504561965618</v>
      </c>
      <c r="Q794" s="1">
        <f t="shared" si="61"/>
        <v>0.46606727492874905</v>
      </c>
      <c r="R794" s="1">
        <f t="shared" si="62"/>
        <v>0.68269120027194508</v>
      </c>
      <c r="S794" s="1">
        <f t="shared" si="63"/>
        <v>0.84916386931152466</v>
      </c>
      <c r="T794" s="56">
        <f t="shared" si="64"/>
        <v>0.79850390846864783</v>
      </c>
    </row>
    <row r="795" spans="1:20" x14ac:dyDescent="0.25">
      <c r="A795">
        <v>0.78181153315879381</v>
      </c>
      <c r="B795">
        <v>0.12505552149377763</v>
      </c>
      <c r="D795">
        <v>0.82199019519836958</v>
      </c>
      <c r="E795">
        <v>6.9488062274558615</v>
      </c>
      <c r="I795">
        <v>0.45402518154283722</v>
      </c>
      <c r="J795">
        <v>15</v>
      </c>
      <c r="K795">
        <v>-9.892877036084731E-2</v>
      </c>
      <c r="L795">
        <v>13.657590959103734</v>
      </c>
      <c r="M795">
        <v>15</v>
      </c>
      <c r="N795">
        <v>-0.67175279014008993</v>
      </c>
      <c r="O795">
        <v>80.933989426307591</v>
      </c>
      <c r="P795" s="1">
        <f t="shared" si="60"/>
        <v>3.3782707280504041</v>
      </c>
      <c r="Q795" s="1">
        <f t="shared" si="61"/>
        <v>0.45043609707338722</v>
      </c>
      <c r="R795" s="1">
        <f t="shared" si="62"/>
        <v>0.67114536210376008</v>
      </c>
      <c r="S795" s="1">
        <f t="shared" si="63"/>
        <v>0.8535021652890199</v>
      </c>
      <c r="T795" s="56">
        <f t="shared" si="64"/>
        <v>0.79968810601468798</v>
      </c>
    </row>
    <row r="796" spans="1:20" x14ac:dyDescent="0.25">
      <c r="A796">
        <v>0.78187777129833558</v>
      </c>
      <c r="B796">
        <v>-4.8939909902401268E-2</v>
      </c>
      <c r="D796">
        <v>0.82249290377498496</v>
      </c>
      <c r="E796">
        <v>-1.3702701869533485</v>
      </c>
      <c r="I796">
        <v>0.84514640121742513</v>
      </c>
      <c r="J796">
        <v>15</v>
      </c>
      <c r="K796">
        <v>0.45569322537630796</v>
      </c>
      <c r="L796">
        <v>15.692793478814355</v>
      </c>
      <c r="M796">
        <v>15</v>
      </c>
      <c r="N796">
        <v>-0.21279720726852247</v>
      </c>
      <c r="O796">
        <v>112.14595984139534</v>
      </c>
      <c r="P796" s="1">
        <f t="shared" si="60"/>
        <v>4.5656697614360606</v>
      </c>
      <c r="Q796" s="1">
        <f t="shared" si="61"/>
        <v>0.60875596819147471</v>
      </c>
      <c r="R796" s="1">
        <f t="shared" si="62"/>
        <v>0.78022815137078638</v>
      </c>
      <c r="S796" s="1">
        <f t="shared" si="63"/>
        <v>0.85678840409738688</v>
      </c>
      <c r="T796" s="56">
        <f t="shared" si="64"/>
        <v>0.80058218954551674</v>
      </c>
    </row>
    <row r="797" spans="1:20" x14ac:dyDescent="0.25">
      <c r="A797">
        <v>0.78346751433183115</v>
      </c>
      <c r="B797">
        <v>-0.50397829909343272</v>
      </c>
      <c r="D797">
        <v>0.82264838676778151</v>
      </c>
      <c r="E797">
        <v>-2.3296972847219877</v>
      </c>
      <c r="I797">
        <v>0.64504025648057606</v>
      </c>
      <c r="J797">
        <v>15</v>
      </c>
      <c r="K797">
        <v>-0.107934662689028</v>
      </c>
      <c r="L797">
        <v>20.443967373854228</v>
      </c>
      <c r="M797">
        <v>15</v>
      </c>
      <c r="N797">
        <v>-0.91378115371298918</v>
      </c>
      <c r="O797">
        <v>164.25308173163873</v>
      </c>
      <c r="P797" s="1">
        <f t="shared" si="60"/>
        <v>6.5963231823390345</v>
      </c>
      <c r="Q797" s="1">
        <f t="shared" si="61"/>
        <v>0.87950975764520456</v>
      </c>
      <c r="R797" s="1">
        <f t="shared" si="62"/>
        <v>0.93782181550932397</v>
      </c>
      <c r="S797" s="1">
        <f t="shared" si="63"/>
        <v>0.85927462733025894</v>
      </c>
      <c r="T797" s="56">
        <f t="shared" si="64"/>
        <v>0.80125692798626247</v>
      </c>
    </row>
    <row r="798" spans="1:20" x14ac:dyDescent="0.25">
      <c r="A798">
        <v>0.78375951564098945</v>
      </c>
      <c r="B798">
        <v>-0.3827221917163115</v>
      </c>
      <c r="D798">
        <v>0.8235597359610638</v>
      </c>
      <c r="E798">
        <v>-0.43396699197728594</v>
      </c>
      <c r="I798">
        <v>0.9657669703118571</v>
      </c>
      <c r="J798">
        <v>15</v>
      </c>
      <c r="K798">
        <v>0.18407414851632589</v>
      </c>
      <c r="L798">
        <v>7.5261013626563322</v>
      </c>
      <c r="M798">
        <v>15</v>
      </c>
      <c r="N798">
        <v>-0.32612547670396452</v>
      </c>
      <c r="O798">
        <v>66.231084418977034</v>
      </c>
      <c r="P798" s="1">
        <f t="shared" si="60"/>
        <v>2.6341852064869058</v>
      </c>
      <c r="Q798" s="1">
        <f t="shared" si="61"/>
        <v>0.35122469419825408</v>
      </c>
      <c r="R798" s="1">
        <f t="shared" si="62"/>
        <v>0.59264212995555254</v>
      </c>
      <c r="S798" s="1">
        <f t="shared" si="63"/>
        <v>0.86088990207050375</v>
      </c>
      <c r="T798" s="56">
        <f t="shared" si="64"/>
        <v>0.80169452028596844</v>
      </c>
    </row>
    <row r="799" spans="1:20" x14ac:dyDescent="0.25">
      <c r="A799">
        <v>0.78559449390675296</v>
      </c>
      <c r="B799">
        <v>-6.2118488131090999E-2</v>
      </c>
      <c r="D799">
        <v>0.82418871035775765</v>
      </c>
      <c r="E799">
        <v>4.2051926777730841</v>
      </c>
      <c r="I799">
        <v>0.36776806051582056</v>
      </c>
      <c r="J799">
        <v>15</v>
      </c>
      <c r="K799">
        <v>-0.20202151063131168</v>
      </c>
      <c r="L799">
        <v>7.5301481095543146</v>
      </c>
      <c r="M799">
        <v>15</v>
      </c>
      <c r="N799">
        <v>-0.98375312859388941</v>
      </c>
      <c r="O799">
        <v>164.61628154444543</v>
      </c>
      <c r="P799" s="1">
        <f t="shared" si="60"/>
        <v>6.148086773357134</v>
      </c>
      <c r="Q799" s="1">
        <f t="shared" si="61"/>
        <v>0.8197449031142845</v>
      </c>
      <c r="R799" s="1">
        <f t="shared" si="62"/>
        <v>0.90539764916542853</v>
      </c>
      <c r="S799" s="1">
        <f t="shared" si="63"/>
        <v>0.86341246708908193</v>
      </c>
      <c r="T799" s="56">
        <f t="shared" si="64"/>
        <v>0.8023766782216144</v>
      </c>
    </row>
    <row r="800" spans="1:20" x14ac:dyDescent="0.25">
      <c r="A800">
        <v>0.78592878645100972</v>
      </c>
      <c r="B800">
        <v>-0.68072040448896587</v>
      </c>
      <c r="D800">
        <v>0.82471439117376932</v>
      </c>
      <c r="E800">
        <v>-3.4494330554935004</v>
      </c>
      <c r="I800">
        <v>0.80068246431437751</v>
      </c>
      <c r="J800">
        <v>15</v>
      </c>
      <c r="K800">
        <v>0.3167732150662535</v>
      </c>
      <c r="L800">
        <v>14.227362842742922</v>
      </c>
      <c r="M800">
        <v>15</v>
      </c>
      <c r="N800">
        <v>-0.36594179050553066</v>
      </c>
      <c r="O800">
        <v>116.86647248089014</v>
      </c>
      <c r="P800" s="1">
        <f t="shared" si="60"/>
        <v>4.6819226901297526</v>
      </c>
      <c r="Q800" s="1">
        <f t="shared" si="61"/>
        <v>0.62425635868396701</v>
      </c>
      <c r="R800" s="1">
        <f t="shared" si="62"/>
        <v>0.79009895499485827</v>
      </c>
      <c r="S800" s="1">
        <f t="shared" si="63"/>
        <v>0.86408797436800433</v>
      </c>
      <c r="T800" s="56">
        <f t="shared" si="64"/>
        <v>0.80255909636031775</v>
      </c>
    </row>
    <row r="801" spans="1:20" x14ac:dyDescent="0.25">
      <c r="A801">
        <v>0.78728820054769777</v>
      </c>
      <c r="B801">
        <v>1.059759142663097</v>
      </c>
      <c r="D801">
        <v>0.82590328891948261</v>
      </c>
      <c r="E801">
        <v>-5.036442192931645</v>
      </c>
      <c r="I801">
        <v>5.1819616121366763E-2</v>
      </c>
      <c r="J801">
        <v>15</v>
      </c>
      <c r="K801">
        <v>-0.30070305001572706</v>
      </c>
      <c r="L801">
        <v>18.484676293498474</v>
      </c>
      <c r="M801">
        <v>15</v>
      </c>
      <c r="N801">
        <v>-0.99313956866353692</v>
      </c>
      <c r="O801">
        <v>115.49285911371412</v>
      </c>
      <c r="P801" s="1">
        <f t="shared" si="60"/>
        <v>4.7849119788290215</v>
      </c>
      <c r="Q801" s="1">
        <f t="shared" si="61"/>
        <v>0.63798826384386953</v>
      </c>
      <c r="R801" s="1">
        <f t="shared" si="62"/>
        <v>0.79874167528924489</v>
      </c>
      <c r="S801" s="1">
        <f t="shared" si="63"/>
        <v>0.86690921491865414</v>
      </c>
      <c r="T801" s="56">
        <f t="shared" si="64"/>
        <v>0.80331980052909135</v>
      </c>
    </row>
    <row r="802" spans="1:20" x14ac:dyDescent="0.25">
      <c r="A802">
        <v>0.78846694334465084</v>
      </c>
      <c r="B802">
        <v>-0.81088501246995293</v>
      </c>
      <c r="D802">
        <v>0.82746879984988919</v>
      </c>
      <c r="E802">
        <v>-0.91453148684195185</v>
      </c>
      <c r="I802">
        <v>0.78839401142599985</v>
      </c>
      <c r="J802">
        <v>15</v>
      </c>
      <c r="K802">
        <v>0.27677901925926562</v>
      </c>
      <c r="L802">
        <v>13.069862226160922</v>
      </c>
      <c r="M802">
        <v>15</v>
      </c>
      <c r="N802">
        <v>-0.40337409132007451</v>
      </c>
      <c r="O802">
        <v>114.98637713582524</v>
      </c>
      <c r="P802" s="1">
        <f t="shared" si="60"/>
        <v>4.5734371200709347</v>
      </c>
      <c r="Q802" s="1">
        <f t="shared" si="61"/>
        <v>0.60979161600945797</v>
      </c>
      <c r="R802" s="1">
        <f t="shared" si="62"/>
        <v>0.78089155201568028</v>
      </c>
      <c r="S802" s="1">
        <f t="shared" si="63"/>
        <v>0.87099560601429415</v>
      </c>
      <c r="T802" s="56">
        <f t="shared" si="64"/>
        <v>0.80441830934829706</v>
      </c>
    </row>
    <row r="803" spans="1:20" x14ac:dyDescent="0.25">
      <c r="A803">
        <v>0.79033518911798273</v>
      </c>
      <c r="B803">
        <v>0.60858155848109163</v>
      </c>
      <c r="D803">
        <v>0.82820696028739782</v>
      </c>
      <c r="E803">
        <v>1.2175571521311213</v>
      </c>
      <c r="I803">
        <v>0.52144666208531609</v>
      </c>
      <c r="J803">
        <v>15</v>
      </c>
      <c r="K803">
        <v>9.303236462680313E-2</v>
      </c>
      <c r="L803">
        <v>6.3676358470192236</v>
      </c>
      <c r="M803">
        <v>15</v>
      </c>
      <c r="N803">
        <v>-0.62948402387519309</v>
      </c>
      <c r="O803">
        <v>134.80453780039343</v>
      </c>
      <c r="P803" s="1">
        <f t="shared" si="60"/>
        <v>5.0418633445504515</v>
      </c>
      <c r="Q803" s="1">
        <f t="shared" si="61"/>
        <v>0.67224844594006017</v>
      </c>
      <c r="R803" s="1">
        <f t="shared" si="62"/>
        <v>0.81990758378006245</v>
      </c>
      <c r="S803" s="1">
        <f t="shared" si="63"/>
        <v>0.88121686247972164</v>
      </c>
      <c r="T803" s="56">
        <f t="shared" si="64"/>
        <v>0.80714875982058087</v>
      </c>
    </row>
    <row r="804" spans="1:20" x14ac:dyDescent="0.25">
      <c r="A804">
        <v>0.79212164673906738</v>
      </c>
      <c r="B804">
        <v>1.1197380445082672</v>
      </c>
      <c r="D804">
        <v>0.82947625246861512</v>
      </c>
      <c r="E804">
        <v>-0.80020800282909477</v>
      </c>
      <c r="I804">
        <v>0.53964752089206702</v>
      </c>
      <c r="J804">
        <v>15</v>
      </c>
      <c r="K804">
        <v>0.25878527291448944</v>
      </c>
      <c r="L804">
        <v>10.543046118605682</v>
      </c>
      <c r="M804">
        <v>15</v>
      </c>
      <c r="N804">
        <v>-0.5400568204549927</v>
      </c>
      <c r="O804">
        <v>160.80442984484304</v>
      </c>
      <c r="P804" s="1">
        <f t="shared" si="60"/>
        <v>6.1195527129803109</v>
      </c>
      <c r="Q804" s="1">
        <f t="shared" si="61"/>
        <v>0.81594036173070805</v>
      </c>
      <c r="R804" s="1">
        <f t="shared" si="62"/>
        <v>0.90329417231083031</v>
      </c>
      <c r="S804" s="1">
        <f t="shared" si="63"/>
        <v>0.88436537936015225</v>
      </c>
      <c r="T804" s="56">
        <f t="shared" si="64"/>
        <v>0.80798486904879541</v>
      </c>
    </row>
    <row r="805" spans="1:20" x14ac:dyDescent="0.25">
      <c r="A805">
        <v>0.79216583201355328</v>
      </c>
      <c r="B805">
        <v>-1.498133315180894</v>
      </c>
      <c r="D805">
        <v>0.82972566384535218</v>
      </c>
      <c r="E805">
        <v>-1.6336950955064822</v>
      </c>
      <c r="I805">
        <v>0.50053677503545047</v>
      </c>
      <c r="J805">
        <v>15</v>
      </c>
      <c r="K805">
        <v>0.28328569593819947</v>
      </c>
      <c r="L805">
        <v>7.7063878919459059</v>
      </c>
      <c r="M805">
        <v>15</v>
      </c>
      <c r="N805">
        <v>-0.38928806475269084</v>
      </c>
      <c r="O805">
        <v>112.95424337569771</v>
      </c>
      <c r="P805" s="1">
        <f t="shared" si="60"/>
        <v>4.3093082595587004</v>
      </c>
      <c r="Q805" s="1">
        <f t="shared" si="61"/>
        <v>0.57457443460782676</v>
      </c>
      <c r="R805" s="1">
        <f t="shared" si="62"/>
        <v>0.75800688295544305</v>
      </c>
      <c r="S805" s="1">
        <f t="shared" si="63"/>
        <v>0.88729241886109023</v>
      </c>
      <c r="T805" s="56">
        <f t="shared" si="64"/>
        <v>0.80876006247482668</v>
      </c>
    </row>
    <row r="806" spans="1:20" x14ac:dyDescent="0.25">
      <c r="A806">
        <v>0.79651346586249205</v>
      </c>
      <c r="B806">
        <v>-0.2383512764936313</v>
      </c>
      <c r="D806">
        <v>0.83216353640298713</v>
      </c>
      <c r="E806">
        <v>4.745719021457262</v>
      </c>
      <c r="I806">
        <v>0.67447945583718538</v>
      </c>
      <c r="J806">
        <v>15</v>
      </c>
      <c r="K806">
        <v>0.28123577067162842</v>
      </c>
      <c r="L806">
        <v>12.368544437754647</v>
      </c>
      <c r="M806">
        <v>15</v>
      </c>
      <c r="N806">
        <v>-0.24353676394639479</v>
      </c>
      <c r="O806">
        <v>60.787394194517304</v>
      </c>
      <c r="P806" s="1">
        <f t="shared" si="60"/>
        <v>2.6127120940097126</v>
      </c>
      <c r="Q806" s="1">
        <f t="shared" si="61"/>
        <v>0.34836161253462833</v>
      </c>
      <c r="R806" s="1">
        <f t="shared" si="62"/>
        <v>0.59022166389808861</v>
      </c>
      <c r="S806" s="1">
        <f t="shared" si="63"/>
        <v>0.88911093359770976</v>
      </c>
      <c r="T806" s="56">
        <f t="shared" si="64"/>
        <v>0.80924065555443025</v>
      </c>
    </row>
    <row r="807" spans="1:20" x14ac:dyDescent="0.25">
      <c r="A807">
        <v>0.79678158834320889</v>
      </c>
      <c r="B807">
        <v>-0.23850816432968713</v>
      </c>
      <c r="D807">
        <v>0.83254765930990371</v>
      </c>
      <c r="E807">
        <v>-1.3187359434141399</v>
      </c>
      <c r="I807">
        <v>0.85996251772581767</v>
      </c>
      <c r="J807">
        <v>15</v>
      </c>
      <c r="K807">
        <v>-0.2592094006104162</v>
      </c>
      <c r="L807">
        <v>17.625477389946862</v>
      </c>
      <c r="M807">
        <v>15</v>
      </c>
      <c r="N807">
        <v>-1.0556136692230211</v>
      </c>
      <c r="O807">
        <v>148.67185736252983</v>
      </c>
      <c r="P807" s="1">
        <f t="shared" si="60"/>
        <v>5.9391905268741683</v>
      </c>
      <c r="Q807" s="1">
        <f t="shared" si="61"/>
        <v>0.79189207024988906</v>
      </c>
      <c r="R807" s="1">
        <f t="shared" si="62"/>
        <v>0.88988317786656079</v>
      </c>
      <c r="S807" s="1">
        <f t="shared" si="63"/>
        <v>0.89495372923211591</v>
      </c>
      <c r="T807" s="56">
        <f t="shared" si="64"/>
        <v>0.81077948254402366</v>
      </c>
    </row>
    <row r="808" spans="1:20" x14ac:dyDescent="0.25">
      <c r="A808">
        <v>0.79785361225290474</v>
      </c>
      <c r="B808">
        <v>1.0761300472950097</v>
      </c>
      <c r="D808">
        <v>0.83289321926649118</v>
      </c>
      <c r="E808">
        <v>2.184255660040435</v>
      </c>
      <c r="I808">
        <v>0.69446624037123683</v>
      </c>
      <c r="J808">
        <v>15</v>
      </c>
      <c r="K808">
        <v>0.56273506743309554</v>
      </c>
      <c r="L808">
        <v>12.780967560878578</v>
      </c>
      <c r="M808">
        <v>15</v>
      </c>
      <c r="N808">
        <v>-0.31301511057790776</v>
      </c>
      <c r="O808">
        <v>187.42926472833372</v>
      </c>
      <c r="P808" s="1">
        <f t="shared" si="60"/>
        <v>7.1503654389004385</v>
      </c>
      <c r="Q808" s="1">
        <f t="shared" si="61"/>
        <v>0.95338205852005842</v>
      </c>
      <c r="R808" s="1">
        <f t="shared" si="62"/>
        <v>0.97641285249634968</v>
      </c>
      <c r="S808" s="1">
        <f t="shared" si="63"/>
        <v>0.89690562324329637</v>
      </c>
      <c r="T808" s="56">
        <f t="shared" si="64"/>
        <v>0.81129175583361723</v>
      </c>
    </row>
    <row r="809" spans="1:20" x14ac:dyDescent="0.25">
      <c r="A809">
        <v>0.79864268039393516</v>
      </c>
      <c r="B809">
        <v>-0.54284328143694438</v>
      </c>
      <c r="D809">
        <v>0.83438270420052296</v>
      </c>
      <c r="E809">
        <v>-4.1409673519865464</v>
      </c>
      <c r="I809">
        <v>0.78605763875394097</v>
      </c>
      <c r="J809">
        <v>15</v>
      </c>
      <c r="K809">
        <v>-0.14136200358431475</v>
      </c>
      <c r="L809">
        <v>11.477385681129514</v>
      </c>
      <c r="M809">
        <v>15</v>
      </c>
      <c r="N809">
        <v>-0.78640528386131336</v>
      </c>
      <c r="O809">
        <v>97.139877885350643</v>
      </c>
      <c r="P809" s="1">
        <f t="shared" si="60"/>
        <v>3.8791879845171486</v>
      </c>
      <c r="Q809" s="1">
        <f t="shared" si="61"/>
        <v>0.51722506460228646</v>
      </c>
      <c r="R809" s="1">
        <f t="shared" si="62"/>
        <v>0.71918360979814222</v>
      </c>
      <c r="S809" s="1">
        <f t="shared" si="63"/>
        <v>0.89691042939374965</v>
      </c>
      <c r="T809" s="56">
        <f t="shared" si="64"/>
        <v>0.81129301609135651</v>
      </c>
    </row>
    <row r="810" spans="1:20" x14ac:dyDescent="0.25">
      <c r="A810">
        <v>0.79867406514134331</v>
      </c>
      <c r="B810">
        <v>-0.11349925443937536</v>
      </c>
      <c r="D810">
        <v>0.83459541569264306</v>
      </c>
      <c r="E810">
        <v>2.733571133148871</v>
      </c>
      <c r="I810">
        <v>0.28167825718775596</v>
      </c>
      <c r="J810">
        <v>15</v>
      </c>
      <c r="K810">
        <v>5.294077709550038E-2</v>
      </c>
      <c r="L810">
        <v>8.7249467607148858</v>
      </c>
      <c r="M810">
        <v>15</v>
      </c>
      <c r="N810">
        <v>-0.64953610831253172</v>
      </c>
      <c r="O810">
        <v>119.67940229341757</v>
      </c>
      <c r="P810" s="1">
        <f t="shared" si="60"/>
        <v>4.5858696090761599</v>
      </c>
      <c r="Q810" s="1">
        <f t="shared" si="61"/>
        <v>0.61144928121015463</v>
      </c>
      <c r="R810" s="1">
        <f t="shared" si="62"/>
        <v>0.78195222437828937</v>
      </c>
      <c r="S810" s="1">
        <f t="shared" si="63"/>
        <v>0.89836292232118642</v>
      </c>
      <c r="T810" s="56">
        <f t="shared" si="64"/>
        <v>0.81167363483436961</v>
      </c>
    </row>
    <row r="811" spans="1:20" x14ac:dyDescent="0.25">
      <c r="A811">
        <v>0.79939071703107589</v>
      </c>
      <c r="B811">
        <v>-1.6312060324708</v>
      </c>
      <c r="D811">
        <v>0.83514145205263024</v>
      </c>
      <c r="E811">
        <v>-2.739924869956667</v>
      </c>
      <c r="I811">
        <v>0.63947850527827177</v>
      </c>
      <c r="J811">
        <v>15</v>
      </c>
      <c r="K811">
        <v>-0.1116602561523905</v>
      </c>
      <c r="L811">
        <v>9.8490283765233659</v>
      </c>
      <c r="M811">
        <v>15</v>
      </c>
      <c r="N811">
        <v>-0.77320419563875475</v>
      </c>
      <c r="O811">
        <v>103.72376886673936</v>
      </c>
      <c r="P811" s="1">
        <f t="shared" si="60"/>
        <v>4.0561713301165261</v>
      </c>
      <c r="Q811" s="1">
        <f t="shared" si="61"/>
        <v>0.54082284401553682</v>
      </c>
      <c r="R811" s="1">
        <f t="shared" si="62"/>
        <v>0.73540658415296833</v>
      </c>
      <c r="S811" s="1">
        <f t="shared" si="63"/>
        <v>0.89956216566693092</v>
      </c>
      <c r="T811" s="56">
        <f t="shared" si="64"/>
        <v>0.81198751418138682</v>
      </c>
    </row>
    <row r="812" spans="1:20" x14ac:dyDescent="0.25">
      <c r="A812">
        <v>0.80118971274679129</v>
      </c>
      <c r="B812">
        <v>-0.68226427174522541</v>
      </c>
      <c r="D812">
        <v>0.83561904121076425</v>
      </c>
      <c r="E812">
        <v>0.94011124588178063</v>
      </c>
      <c r="I812">
        <v>0.102504911101017</v>
      </c>
      <c r="J812">
        <v>15</v>
      </c>
      <c r="K812">
        <v>0.50248862256315385</v>
      </c>
      <c r="L812">
        <v>8.2091645445339694</v>
      </c>
      <c r="M812">
        <v>15</v>
      </c>
      <c r="N812">
        <v>-0.46470609390780737</v>
      </c>
      <c r="O812">
        <v>232.96083486470971</v>
      </c>
      <c r="P812" s="1">
        <f t="shared" si="60"/>
        <v>8.6132142646158449</v>
      </c>
      <c r="Q812" s="1">
        <f t="shared" si="61"/>
        <v>1.1484285686154461</v>
      </c>
      <c r="R812" s="1">
        <f t="shared" si="62"/>
        <v>1.0716475953481377</v>
      </c>
      <c r="S812" s="1">
        <f t="shared" si="63"/>
        <v>0.90253057130852454</v>
      </c>
      <c r="T812" s="56">
        <f t="shared" si="64"/>
        <v>0.81276297308187839</v>
      </c>
    </row>
    <row r="813" spans="1:20" x14ac:dyDescent="0.25">
      <c r="A813">
        <v>0.80127966313996168</v>
      </c>
      <c r="B813">
        <v>-0.42656211007852107</v>
      </c>
      <c r="D813">
        <v>0.83654025054053205</v>
      </c>
      <c r="E813">
        <v>0.75478578423826548</v>
      </c>
      <c r="I813">
        <v>0.34112104156415302</v>
      </c>
      <c r="J813">
        <v>15</v>
      </c>
      <c r="K813">
        <v>0.20146694623690564</v>
      </c>
      <c r="L813">
        <v>9.4830740106370826</v>
      </c>
      <c r="M813">
        <v>15</v>
      </c>
      <c r="N813">
        <v>-0.50257790803698299</v>
      </c>
      <c r="O813">
        <v>116.75970078776695</v>
      </c>
      <c r="P813" s="1">
        <f t="shared" si="60"/>
        <v>4.50867052851443</v>
      </c>
      <c r="Q813" s="1">
        <f t="shared" si="61"/>
        <v>0.60115607046859065</v>
      </c>
      <c r="R813" s="1">
        <f t="shared" si="62"/>
        <v>0.77534255040503919</v>
      </c>
      <c r="S813" s="1">
        <f t="shared" si="63"/>
        <v>0.90804361750312212</v>
      </c>
      <c r="T813" s="56">
        <f t="shared" si="64"/>
        <v>0.81419764666418604</v>
      </c>
    </row>
    <row r="814" spans="1:20" x14ac:dyDescent="0.25">
      <c r="A814">
        <v>0.80264396069928612</v>
      </c>
      <c r="B814">
        <v>0.67802375269820914</v>
      </c>
      <c r="D814">
        <v>0.83694931116808235</v>
      </c>
      <c r="E814">
        <v>0.4253758982031286</v>
      </c>
      <c r="I814">
        <v>0.67109006074128985</v>
      </c>
      <c r="J814">
        <v>15</v>
      </c>
      <c r="K814">
        <v>5.4319646854613289E-2</v>
      </c>
      <c r="L814">
        <v>4.956477172035803</v>
      </c>
      <c r="M814">
        <v>15</v>
      </c>
      <c r="N814">
        <v>-0.65926497313739674</v>
      </c>
      <c r="O814">
        <v>124.63054832168453</v>
      </c>
      <c r="P814" s="1">
        <f t="shared" si="60"/>
        <v>4.6281080533471544</v>
      </c>
      <c r="Q814" s="1">
        <f t="shared" si="61"/>
        <v>0.61708107377962063</v>
      </c>
      <c r="R814" s="1">
        <f t="shared" si="62"/>
        <v>0.78554508067940987</v>
      </c>
      <c r="S814" s="1">
        <f t="shared" si="63"/>
        <v>0.90839423165229172</v>
      </c>
      <c r="T814" s="56">
        <f t="shared" si="64"/>
        <v>0.81428864413107216</v>
      </c>
    </row>
    <row r="815" spans="1:20" x14ac:dyDescent="0.25">
      <c r="A815">
        <v>0.80583373671134773</v>
      </c>
      <c r="B815">
        <v>0.59830199461430311</v>
      </c>
      <c r="D815">
        <v>0.83750492622269246</v>
      </c>
      <c r="E815">
        <v>-1.8741905057595432</v>
      </c>
      <c r="I815">
        <v>0.9279844331051087</v>
      </c>
      <c r="J815">
        <v>15</v>
      </c>
      <c r="K815">
        <v>-5.4740136571732968E-2</v>
      </c>
      <c r="L815">
        <v>9.777410870025518</v>
      </c>
      <c r="M815">
        <v>15</v>
      </c>
      <c r="N815">
        <v>-0.55306987064795976</v>
      </c>
      <c r="O815">
        <v>53.376404516571441</v>
      </c>
      <c r="P815" s="1">
        <f t="shared" si="60"/>
        <v>2.255493406664177</v>
      </c>
      <c r="Q815" s="1">
        <f t="shared" si="61"/>
        <v>0.30073245422189027</v>
      </c>
      <c r="R815" s="1">
        <f t="shared" si="62"/>
        <v>0.54839078604758695</v>
      </c>
      <c r="S815" s="1">
        <f t="shared" si="63"/>
        <v>0.90871281348075728</v>
      </c>
      <c r="T815" s="56">
        <f t="shared" si="64"/>
        <v>0.81437130273450953</v>
      </c>
    </row>
    <row r="816" spans="1:20" x14ac:dyDescent="0.25">
      <c r="A816">
        <v>0.80606493449511774</v>
      </c>
      <c r="B816">
        <v>0.13902308637625538</v>
      </c>
      <c r="D816">
        <v>0.83790006282528717</v>
      </c>
      <c r="E816">
        <v>-2.987909969078828</v>
      </c>
      <c r="I816">
        <v>0.13121364511570754</v>
      </c>
      <c r="J816">
        <v>15</v>
      </c>
      <c r="K816">
        <v>-0.36746087062056176</v>
      </c>
      <c r="L816">
        <v>12.225844886228924</v>
      </c>
      <c r="M816">
        <v>15</v>
      </c>
      <c r="N816">
        <v>-1.1228664823192958</v>
      </c>
      <c r="O816">
        <v>132.7986102896711</v>
      </c>
      <c r="P816" s="1">
        <f t="shared" si="60"/>
        <v>5.1794448277107152</v>
      </c>
      <c r="Q816" s="1">
        <f t="shared" si="61"/>
        <v>0.69059264369476203</v>
      </c>
      <c r="R816" s="1">
        <f t="shared" si="62"/>
        <v>0.83101903930942644</v>
      </c>
      <c r="S816" s="1">
        <f t="shared" si="63"/>
        <v>0.90901119705569333</v>
      </c>
      <c r="T816" s="56">
        <f t="shared" si="64"/>
        <v>0.81444869890955429</v>
      </c>
    </row>
    <row r="817" spans="1:20" x14ac:dyDescent="0.25">
      <c r="A817">
        <v>0.80619141701849606</v>
      </c>
      <c r="B817">
        <v>0.13655153452418745</v>
      </c>
      <c r="D817">
        <v>0.83808391117259284</v>
      </c>
      <c r="E817">
        <v>0.69183965592856111</v>
      </c>
      <c r="I817">
        <v>0.28424981006920813</v>
      </c>
      <c r="J817">
        <v>15</v>
      </c>
      <c r="K817">
        <v>-0.26601454313398182</v>
      </c>
      <c r="L817">
        <v>21.112427176769994</v>
      </c>
      <c r="M817">
        <v>15</v>
      </c>
      <c r="N817">
        <v>-1.1629833841197978</v>
      </c>
      <c r="O817">
        <v>181.32523662154262</v>
      </c>
      <c r="P817" s="1">
        <f t="shared" si="60"/>
        <v>7.2299165642254497</v>
      </c>
      <c r="Q817" s="1">
        <f t="shared" si="61"/>
        <v>0.96398887523005994</v>
      </c>
      <c r="R817" s="1">
        <f t="shared" si="62"/>
        <v>0.98182935137938299</v>
      </c>
      <c r="S817" s="1">
        <f t="shared" si="63"/>
        <v>0.91356898194747849</v>
      </c>
      <c r="T817" s="56">
        <f t="shared" si="64"/>
        <v>0.81562829404567228</v>
      </c>
    </row>
    <row r="818" spans="1:20" x14ac:dyDescent="0.25">
      <c r="A818">
        <v>0.80748965100102343</v>
      </c>
      <c r="B818">
        <v>0.17558249965077266</v>
      </c>
      <c r="D818">
        <v>0.8386689558253172</v>
      </c>
      <c r="E818">
        <v>1.6644828485823382</v>
      </c>
      <c r="I818">
        <v>0.83683153701819346</v>
      </c>
      <c r="J818">
        <v>15</v>
      </c>
      <c r="K818">
        <v>0.42595585606856429</v>
      </c>
      <c r="L818">
        <v>12.283711412790295</v>
      </c>
      <c r="M818">
        <v>15</v>
      </c>
      <c r="N818">
        <v>-0.21030769289609452</v>
      </c>
      <c r="O818">
        <v>89.16407103532724</v>
      </c>
      <c r="P818" s="1">
        <f t="shared" si="60"/>
        <v>3.623135087432769</v>
      </c>
      <c r="Q818" s="1">
        <f t="shared" si="61"/>
        <v>0.48308467832436919</v>
      </c>
      <c r="R818" s="1">
        <f t="shared" si="62"/>
        <v>0.6950429327202523</v>
      </c>
      <c r="S818" s="1">
        <f t="shared" si="63"/>
        <v>0.91543057128062111</v>
      </c>
      <c r="T818" s="56">
        <f t="shared" si="64"/>
        <v>0.81610867212524885</v>
      </c>
    </row>
    <row r="819" spans="1:20" x14ac:dyDescent="0.25">
      <c r="A819">
        <v>0.80890565321756003</v>
      </c>
      <c r="B819">
        <v>-3.3321612136205658E-2</v>
      </c>
      <c r="D819">
        <v>0.83923584509826088</v>
      </c>
      <c r="E819">
        <v>3.6710373444748257</v>
      </c>
      <c r="I819">
        <v>0.22692166637200883</v>
      </c>
      <c r="J819">
        <v>15</v>
      </c>
      <c r="K819">
        <v>0.20627173095514686</v>
      </c>
      <c r="L819">
        <v>27.704162394162417</v>
      </c>
      <c r="M819">
        <v>15</v>
      </c>
      <c r="N819">
        <v>-0.71269232989834563</v>
      </c>
      <c r="O819">
        <v>182.98596590509629</v>
      </c>
      <c r="P819" s="1">
        <f t="shared" si="60"/>
        <v>7.5246474392592395</v>
      </c>
      <c r="Q819" s="1">
        <f t="shared" si="61"/>
        <v>1.0032863252345652</v>
      </c>
      <c r="R819" s="1">
        <f t="shared" si="62"/>
        <v>1.0016418148392994</v>
      </c>
      <c r="S819" s="1">
        <f t="shared" si="63"/>
        <v>0.91745776508035315</v>
      </c>
      <c r="T819" s="56">
        <f t="shared" si="64"/>
        <v>0.81663084843898837</v>
      </c>
    </row>
    <row r="820" spans="1:20" x14ac:dyDescent="0.25">
      <c r="A820">
        <v>0.80930864433428262</v>
      </c>
      <c r="B820">
        <v>0.55502823670394719</v>
      </c>
      <c r="D820">
        <v>0.83942222247432485</v>
      </c>
      <c r="E820">
        <v>0.52684140086967091</v>
      </c>
      <c r="I820">
        <v>0.69876244230006135</v>
      </c>
      <c r="J820">
        <v>15</v>
      </c>
      <c r="K820">
        <v>4.3951179880726464E-2</v>
      </c>
      <c r="L820">
        <v>9.4107963107446722</v>
      </c>
      <c r="M820">
        <v>15</v>
      </c>
      <c r="N820">
        <v>-0.7624989882515365</v>
      </c>
      <c r="O820">
        <v>152.47665230247392</v>
      </c>
      <c r="P820" s="1">
        <f t="shared" si="60"/>
        <v>5.7816945933292354</v>
      </c>
      <c r="Q820" s="1">
        <f t="shared" si="61"/>
        <v>0.77089261244389806</v>
      </c>
      <c r="R820" s="1">
        <f t="shared" si="62"/>
        <v>0.87800490456710889</v>
      </c>
      <c r="S820" s="1">
        <f t="shared" si="63"/>
        <v>0.91850303333997296</v>
      </c>
      <c r="T820" s="56">
        <f t="shared" si="64"/>
        <v>0.81689971349223189</v>
      </c>
    </row>
    <row r="821" spans="1:20" x14ac:dyDescent="0.25">
      <c r="A821">
        <v>0.80947523177611791</v>
      </c>
      <c r="B821">
        <v>1.8532591639086604</v>
      </c>
      <c r="D821">
        <v>0.83957718911146229</v>
      </c>
      <c r="E821">
        <v>6.9809477702165168</v>
      </c>
      <c r="I821">
        <v>0.84127184154099532</v>
      </c>
      <c r="J821">
        <v>15</v>
      </c>
      <c r="K821">
        <v>-0.17187183705876427</v>
      </c>
      <c r="L821">
        <v>9.4045356783404142</v>
      </c>
      <c r="M821">
        <v>15</v>
      </c>
      <c r="N821">
        <v>-0.98696819236465672</v>
      </c>
      <c r="O821">
        <v>154.71761406615545</v>
      </c>
      <c r="P821" s="1">
        <f t="shared" si="60"/>
        <v>5.8615053480177091</v>
      </c>
      <c r="Q821" s="1">
        <f t="shared" si="61"/>
        <v>0.78153404640236124</v>
      </c>
      <c r="R821" s="1">
        <f t="shared" si="62"/>
        <v>0.88404414279059684</v>
      </c>
      <c r="S821" s="1">
        <f t="shared" si="63"/>
        <v>0.92200865980847735</v>
      </c>
      <c r="T821" s="56">
        <f t="shared" si="64"/>
        <v>0.81779954053632697</v>
      </c>
    </row>
    <row r="822" spans="1:20" x14ac:dyDescent="0.25">
      <c r="A822">
        <v>0.80957016032393869</v>
      </c>
      <c r="B822">
        <v>0.69253474066499621</v>
      </c>
      <c r="D822">
        <v>0.84042665857292853</v>
      </c>
      <c r="E822">
        <v>2.0591648956269637</v>
      </c>
      <c r="I822">
        <v>0.99515525710226049</v>
      </c>
      <c r="J822">
        <v>15</v>
      </c>
      <c r="K822">
        <v>0.23509104115267596</v>
      </c>
      <c r="L822">
        <v>13.424187809831144</v>
      </c>
      <c r="M822">
        <v>15</v>
      </c>
      <c r="N822">
        <v>-0.65015888480957074</v>
      </c>
      <c r="O822">
        <v>178.63991075820684</v>
      </c>
      <c r="P822" s="1">
        <f t="shared" si="60"/>
        <v>6.8594320917156422</v>
      </c>
      <c r="Q822" s="1">
        <f t="shared" si="61"/>
        <v>0.91459094556208564</v>
      </c>
      <c r="R822" s="1">
        <f t="shared" si="62"/>
        <v>0.95634248340334937</v>
      </c>
      <c r="S822" s="1">
        <f t="shared" si="63"/>
        <v>0.92566203146376536</v>
      </c>
      <c r="T822" s="56">
        <f t="shared" si="64"/>
        <v>0.81873418500721007</v>
      </c>
    </row>
    <row r="823" spans="1:20" x14ac:dyDescent="0.25">
      <c r="A823">
        <v>0.81041260843514906</v>
      </c>
      <c r="B823">
        <v>0.95989662440842949</v>
      </c>
      <c r="D823">
        <v>0.84084214774616517</v>
      </c>
      <c r="E823">
        <v>-0.50901735789921077</v>
      </c>
      <c r="I823">
        <v>0.8157743648193545</v>
      </c>
      <c r="J823">
        <v>15</v>
      </c>
      <c r="K823">
        <v>0.38800484010910924</v>
      </c>
      <c r="L823">
        <v>12.015204754290066</v>
      </c>
      <c r="M823">
        <v>15</v>
      </c>
      <c r="N823">
        <v>-0.23626535380572022</v>
      </c>
      <c r="O823">
        <v>82.552757364463702</v>
      </c>
      <c r="P823" s="1">
        <f t="shared" si="60"/>
        <v>3.3774272185269205</v>
      </c>
      <c r="Q823" s="1">
        <f t="shared" si="61"/>
        <v>0.45032362913692275</v>
      </c>
      <c r="R823" s="1">
        <f t="shared" si="62"/>
        <v>0.67106156881237267</v>
      </c>
      <c r="S823" s="1">
        <f t="shared" si="63"/>
        <v>0.93027260526876332</v>
      </c>
      <c r="T823" s="56">
        <f t="shared" si="64"/>
        <v>0.81990918487021502</v>
      </c>
    </row>
    <row r="824" spans="1:20" x14ac:dyDescent="0.25">
      <c r="A824">
        <v>0.81090419233825317</v>
      </c>
      <c r="B824">
        <v>-0.56415387916786131</v>
      </c>
      <c r="D824">
        <v>0.84162511068462442</v>
      </c>
      <c r="E824">
        <v>1.2165544342224166</v>
      </c>
      <c r="I824">
        <v>0.55913730246803295</v>
      </c>
      <c r="J824">
        <v>15</v>
      </c>
      <c r="K824">
        <v>-3.9122824091464281E-2</v>
      </c>
      <c r="L824">
        <v>11.515958613643816</v>
      </c>
      <c r="M824">
        <v>15</v>
      </c>
      <c r="N824">
        <v>-0.79804476968092786</v>
      </c>
      <c r="O824">
        <v>126.838703935128</v>
      </c>
      <c r="P824" s="1">
        <f t="shared" si="60"/>
        <v>4.9412379481704223</v>
      </c>
      <c r="Q824" s="1">
        <f t="shared" si="61"/>
        <v>0.65883172642272292</v>
      </c>
      <c r="R824" s="1">
        <f t="shared" si="62"/>
        <v>0.81168449931160014</v>
      </c>
      <c r="S824" s="1">
        <f t="shared" si="63"/>
        <v>0.93499622850148656</v>
      </c>
      <c r="T824" s="56">
        <f t="shared" si="64"/>
        <v>0.82110775563128191</v>
      </c>
    </row>
    <row r="825" spans="1:20" x14ac:dyDescent="0.25">
      <c r="A825">
        <v>0.81181575376017601</v>
      </c>
      <c r="B825">
        <v>1.2706209417956416</v>
      </c>
      <c r="D825">
        <v>0.84214603475077998</v>
      </c>
      <c r="E825">
        <v>-4.6580287323649827</v>
      </c>
      <c r="I825">
        <v>0.4976511429260011</v>
      </c>
      <c r="J825">
        <v>15</v>
      </c>
      <c r="K825">
        <v>5.426803303028767E-3</v>
      </c>
      <c r="L825">
        <v>13.094048833357098</v>
      </c>
      <c r="M825">
        <v>15</v>
      </c>
      <c r="N825">
        <v>-0.76305787274577597</v>
      </c>
      <c r="O825">
        <v>127.91809079621736</v>
      </c>
      <c r="P825" s="1">
        <f t="shared" si="60"/>
        <v>5.0361478439133736</v>
      </c>
      <c r="Q825" s="1">
        <f t="shared" si="61"/>
        <v>0.67148637918844978</v>
      </c>
      <c r="R825" s="1">
        <f t="shared" si="62"/>
        <v>0.81944272477608204</v>
      </c>
      <c r="S825" s="1">
        <f t="shared" si="63"/>
        <v>0.93781377613523642</v>
      </c>
      <c r="T825" s="56">
        <f t="shared" si="64"/>
        <v>0.82182015361744076</v>
      </c>
    </row>
    <row r="826" spans="1:20" x14ac:dyDescent="0.25">
      <c r="A826">
        <v>0.81237367473849742</v>
      </c>
      <c r="B826">
        <v>-0.79137635111692362</v>
      </c>
      <c r="D826">
        <v>0.8421740016175433</v>
      </c>
      <c r="E826">
        <v>0.57958299862548301</v>
      </c>
      <c r="I826">
        <v>0.66505370102782513</v>
      </c>
      <c r="J826">
        <v>15</v>
      </c>
      <c r="K826">
        <v>-0.19877135552330097</v>
      </c>
      <c r="L826">
        <v>12.720542517846926</v>
      </c>
      <c r="M826">
        <v>15</v>
      </c>
      <c r="N826">
        <v>-0.96363737952742667</v>
      </c>
      <c r="O826">
        <v>126.78530378415815</v>
      </c>
      <c r="P826" s="1">
        <f t="shared" si="60"/>
        <v>4.9823516536430379</v>
      </c>
      <c r="Q826" s="1">
        <f t="shared" si="61"/>
        <v>0.66431355381907176</v>
      </c>
      <c r="R826" s="1">
        <f t="shared" si="62"/>
        <v>0.81505432568576175</v>
      </c>
      <c r="S826" s="1">
        <f t="shared" si="63"/>
        <v>0.93842336627143341</v>
      </c>
      <c r="T826" s="56">
        <f t="shared" si="64"/>
        <v>0.82197403600484797</v>
      </c>
    </row>
    <row r="827" spans="1:20" x14ac:dyDescent="0.25">
      <c r="A827">
        <v>0.81243204497018484</v>
      </c>
      <c r="B827">
        <v>-0.55565351431141607</v>
      </c>
      <c r="D827">
        <v>0.84223357153109335</v>
      </c>
      <c r="E827">
        <v>-6.8184151621153433</v>
      </c>
      <c r="I827">
        <v>0.55282049153218871</v>
      </c>
      <c r="J827">
        <v>15</v>
      </c>
      <c r="K827">
        <v>-0.18226864995085634</v>
      </c>
      <c r="L827">
        <v>8.3692532378720657</v>
      </c>
      <c r="M827">
        <v>15</v>
      </c>
      <c r="N827">
        <v>-0.95356313408956339</v>
      </c>
      <c r="O827">
        <v>132.21667333696908</v>
      </c>
      <c r="P827" s="1">
        <f t="shared" si="60"/>
        <v>5.0209259491014695</v>
      </c>
      <c r="Q827" s="1">
        <f t="shared" si="61"/>
        <v>0.66945679321352924</v>
      </c>
      <c r="R827" s="1">
        <f t="shared" si="62"/>
        <v>0.81820339354804028</v>
      </c>
      <c r="S827" s="1">
        <f t="shared" si="63"/>
        <v>0.94266840032779819</v>
      </c>
      <c r="T827" s="56">
        <f t="shared" si="64"/>
        <v>0.82304318418041222</v>
      </c>
    </row>
    <row r="828" spans="1:20" x14ac:dyDescent="0.25">
      <c r="A828">
        <v>0.81272188109369514</v>
      </c>
      <c r="B828">
        <v>-0.27416263037594035</v>
      </c>
      <c r="D828">
        <v>0.84260837993241677</v>
      </c>
      <c r="E828">
        <v>7.0982725867452245</v>
      </c>
      <c r="I828">
        <v>6.1369220662130797E-3</v>
      </c>
      <c r="J828">
        <v>15</v>
      </c>
      <c r="K828">
        <v>2.2563654056284577E-2</v>
      </c>
      <c r="L828">
        <v>12.322177088848269</v>
      </c>
      <c r="M828">
        <v>15</v>
      </c>
      <c r="N828">
        <v>-0.87347439489349199</v>
      </c>
      <c r="O828">
        <v>175.54457088452222</v>
      </c>
      <c r="P828" s="1">
        <f t="shared" si="60"/>
        <v>6.7095267133346601</v>
      </c>
      <c r="Q828" s="1">
        <f t="shared" si="61"/>
        <v>0.89460356177795464</v>
      </c>
      <c r="R828" s="1">
        <f t="shared" si="62"/>
        <v>0.94583484910313742</v>
      </c>
      <c r="S828" s="1">
        <f t="shared" si="63"/>
        <v>0.94735148509216027</v>
      </c>
      <c r="T828" s="56">
        <f t="shared" si="64"/>
        <v>0.82421768662927697</v>
      </c>
    </row>
    <row r="829" spans="1:20" x14ac:dyDescent="0.25">
      <c r="A829">
        <v>0.81597185358221314</v>
      </c>
      <c r="B829">
        <v>1.1633255780907348</v>
      </c>
      <c r="D829">
        <v>0.84268460481229257</v>
      </c>
      <c r="E829">
        <v>-3.7903571444530826</v>
      </c>
      <c r="I829">
        <v>0.8880717192099401</v>
      </c>
      <c r="J829">
        <v>15</v>
      </c>
      <c r="K829">
        <v>0.27565207953254384</v>
      </c>
      <c r="L829">
        <v>4.9150726304411165</v>
      </c>
      <c r="M829">
        <v>15</v>
      </c>
      <c r="N829">
        <v>-0.48469724220012722</v>
      </c>
      <c r="O829">
        <v>129.02966334421927</v>
      </c>
      <c r="P829" s="1">
        <f t="shared" si="60"/>
        <v>4.7837405705235847</v>
      </c>
      <c r="Q829" s="1">
        <f t="shared" si="61"/>
        <v>0.63783207606981129</v>
      </c>
      <c r="R829" s="1">
        <f t="shared" si="62"/>
        <v>0.79864389816100845</v>
      </c>
      <c r="S829" s="1">
        <f t="shared" si="63"/>
        <v>0.95205049895639837</v>
      </c>
      <c r="T829" s="56">
        <f t="shared" si="64"/>
        <v>0.8253909398280691</v>
      </c>
    </row>
    <row r="830" spans="1:20" x14ac:dyDescent="0.25">
      <c r="A830">
        <v>0.81808041229482142</v>
      </c>
      <c r="B830">
        <v>-0.13539420251618139</v>
      </c>
      <c r="D830">
        <v>0.84379884356232415</v>
      </c>
      <c r="E830">
        <v>2.7021731023069151</v>
      </c>
      <c r="I830">
        <v>0.73289985277052738</v>
      </c>
      <c r="J830">
        <v>15</v>
      </c>
      <c r="K830">
        <v>0.48278495038781938</v>
      </c>
      <c r="L830">
        <v>14.208645992969863</v>
      </c>
      <c r="M830">
        <v>15</v>
      </c>
      <c r="N830">
        <v>-0.24357632696592191</v>
      </c>
      <c r="O830">
        <v>107.58295538979954</v>
      </c>
      <c r="P830" s="1">
        <f t="shared" si="60"/>
        <v>4.3497000493846212</v>
      </c>
      <c r="Q830" s="1">
        <f t="shared" si="61"/>
        <v>0.57996000658461611</v>
      </c>
      <c r="R830" s="1">
        <f t="shared" si="62"/>
        <v>0.76155105317018379</v>
      </c>
      <c r="S830" s="1">
        <f t="shared" si="63"/>
        <v>0.95379196749849604</v>
      </c>
      <c r="T830" s="56">
        <f t="shared" si="64"/>
        <v>0.82582441662251749</v>
      </c>
    </row>
    <row r="831" spans="1:20" x14ac:dyDescent="0.25">
      <c r="A831">
        <v>0.81854099927716517</v>
      </c>
      <c r="B831">
        <v>-0.3172408469254151</v>
      </c>
      <c r="D831">
        <v>0.84495481134696371</v>
      </c>
      <c r="E831">
        <v>2.2668571057238296</v>
      </c>
      <c r="I831">
        <v>0.3368878279687646</v>
      </c>
      <c r="J831">
        <v>15</v>
      </c>
      <c r="K831">
        <v>0.17307229427387938</v>
      </c>
      <c r="L831">
        <v>7.9888236018385594</v>
      </c>
      <c r="M831">
        <v>15</v>
      </c>
      <c r="N831">
        <v>-0.62232357208813482</v>
      </c>
      <c r="O831">
        <v>136.42243486994832</v>
      </c>
      <c r="P831" s="1">
        <f t="shared" si="60"/>
        <v>5.1575449454209599</v>
      </c>
      <c r="Q831" s="1">
        <f t="shared" si="61"/>
        <v>0.68767265938946132</v>
      </c>
      <c r="R831" s="1">
        <f t="shared" si="62"/>
        <v>0.82926030858196831</v>
      </c>
      <c r="S831" s="1">
        <f t="shared" si="63"/>
        <v>0.95916307356147046</v>
      </c>
      <c r="T831" s="56">
        <f t="shared" si="64"/>
        <v>0.8271568175092241</v>
      </c>
    </row>
    <row r="832" spans="1:20" x14ac:dyDescent="0.25">
      <c r="A832">
        <v>0.82204246093187028</v>
      </c>
      <c r="B832">
        <v>-1.5436035027960315</v>
      </c>
      <c r="D832">
        <v>0.84562394261812968</v>
      </c>
      <c r="E832">
        <v>0.46262652745099331</v>
      </c>
      <c r="I832">
        <v>0.63670446910080369</v>
      </c>
      <c r="J832">
        <v>15</v>
      </c>
      <c r="K832">
        <v>0.21751725398644339</v>
      </c>
      <c r="L832">
        <v>13.83106617788289</v>
      </c>
      <c r="M832">
        <v>15</v>
      </c>
      <c r="N832">
        <v>-0.40631380556988006</v>
      </c>
      <c r="O832">
        <v>74.914716721275397</v>
      </c>
      <c r="P832" s="1">
        <f t="shared" si="60"/>
        <v>3.16949224639851</v>
      </c>
      <c r="Q832" s="1">
        <f t="shared" si="61"/>
        <v>0.42259896618646797</v>
      </c>
      <c r="R832" s="1">
        <f t="shared" si="62"/>
        <v>0.65007612337823018</v>
      </c>
      <c r="S832" s="1">
        <f t="shared" si="63"/>
        <v>0.95962770685143794</v>
      </c>
      <c r="T832" s="56">
        <f t="shared" si="64"/>
        <v>0.82727175564506306</v>
      </c>
    </row>
    <row r="833" spans="1:20" x14ac:dyDescent="0.25">
      <c r="A833">
        <v>0.82219115268683052</v>
      </c>
      <c r="B833">
        <v>2.1393134375102818</v>
      </c>
      <c r="D833">
        <v>0.84610222008634461</v>
      </c>
      <c r="E833">
        <v>-0.77681466223111784</v>
      </c>
      <c r="I833">
        <v>0.61656533401029834</v>
      </c>
      <c r="J833">
        <v>15</v>
      </c>
      <c r="K833">
        <v>0.25964057689028169</v>
      </c>
      <c r="L833">
        <v>15.788860334094796</v>
      </c>
      <c r="M833">
        <v>15</v>
      </c>
      <c r="N833">
        <v>-0.63473317254647554</v>
      </c>
      <c r="O833">
        <v>166.42780661657153</v>
      </c>
      <c r="P833" s="1">
        <f t="shared" si="60"/>
        <v>6.5077381053809402</v>
      </c>
      <c r="Q833" s="1">
        <f t="shared" si="61"/>
        <v>0.86769841405079207</v>
      </c>
      <c r="R833" s="1">
        <f t="shared" si="62"/>
        <v>0.93150330866336273</v>
      </c>
      <c r="S833" s="1">
        <f t="shared" si="63"/>
        <v>0.96014017461743251</v>
      </c>
      <c r="T833" s="56">
        <f t="shared" si="64"/>
        <v>0.82739846719747745</v>
      </c>
    </row>
    <row r="834" spans="1:20" x14ac:dyDescent="0.25">
      <c r="A834">
        <v>0.8237052204031623</v>
      </c>
      <c r="B834">
        <v>-4.679577614297159E-2</v>
      </c>
      <c r="D834">
        <v>0.84629647923621998</v>
      </c>
      <c r="E834">
        <v>2.0783734237284079</v>
      </c>
      <c r="I834">
        <v>2.3450354919396177E-2</v>
      </c>
      <c r="J834">
        <v>15</v>
      </c>
      <c r="K834">
        <v>-0.10794701665872708</v>
      </c>
      <c r="L834">
        <v>9.6423938486546454</v>
      </c>
      <c r="M834">
        <v>15</v>
      </c>
      <c r="N834">
        <v>-0.79680512840241136</v>
      </c>
      <c r="O834">
        <v>98.358108526565204</v>
      </c>
      <c r="P834" s="1">
        <f t="shared" ref="P834:P897" si="65">(L834+O834)/(J834+M834-2)</f>
        <v>3.8571607991149945</v>
      </c>
      <c r="Q834" s="1">
        <f t="shared" ref="Q834:Q897" si="66">P834*(2/15)</f>
        <v>0.51428810654866597</v>
      </c>
      <c r="R834" s="1">
        <f t="shared" ref="R834:R897" si="67">SQRT(Q834)</f>
        <v>0.71713883352435037</v>
      </c>
      <c r="S834" s="1">
        <f t="shared" ref="S834:S897" si="68">(K834-N834)/R834</f>
        <v>0.96056450932704118</v>
      </c>
      <c r="T834" s="56">
        <f t="shared" ref="T834:T897" si="69">_xlfn.T.DIST(S834,28,TRUE)</f>
        <v>0.82750333987992075</v>
      </c>
    </row>
    <row r="835" spans="1:20" x14ac:dyDescent="0.25">
      <c r="A835">
        <v>0.82460526374427456</v>
      </c>
      <c r="B835">
        <v>0.1067269295162987</v>
      </c>
      <c r="D835">
        <v>0.84943063639037764</v>
      </c>
      <c r="E835">
        <v>1.5275368207312567</v>
      </c>
      <c r="I835">
        <v>0.4611307382036236</v>
      </c>
      <c r="J835">
        <v>15</v>
      </c>
      <c r="K835">
        <v>0.41225674370555981</v>
      </c>
      <c r="L835">
        <v>12.830614464464517</v>
      </c>
      <c r="M835">
        <v>15</v>
      </c>
      <c r="N835">
        <v>-0.47868343585832918</v>
      </c>
      <c r="O835">
        <v>163.24024553991441</v>
      </c>
      <c r="P835" s="1">
        <f t="shared" si="65"/>
        <v>6.2882450001563894</v>
      </c>
      <c r="Q835" s="1">
        <f t="shared" si="66"/>
        <v>0.83843266668751859</v>
      </c>
      <c r="R835" s="1">
        <f t="shared" si="67"/>
        <v>0.91565968934289044</v>
      </c>
      <c r="S835" s="1">
        <f t="shared" si="68"/>
        <v>0.97300360596113922</v>
      </c>
      <c r="T835" s="56">
        <f t="shared" si="69"/>
        <v>0.83055857413504519</v>
      </c>
    </row>
    <row r="836" spans="1:20" x14ac:dyDescent="0.25">
      <c r="A836">
        <v>0.82546157503795026</v>
      </c>
      <c r="B836">
        <v>-0.2289948497491423</v>
      </c>
      <c r="D836">
        <v>0.85046741173336993</v>
      </c>
      <c r="E836">
        <v>6.5531760321846377</v>
      </c>
      <c r="I836">
        <v>0.24057911827855183</v>
      </c>
      <c r="J836">
        <v>15</v>
      </c>
      <c r="K836">
        <v>0.22365884433384053</v>
      </c>
      <c r="L836">
        <v>19.706673530230542</v>
      </c>
      <c r="M836">
        <v>15</v>
      </c>
      <c r="N836">
        <v>-0.62127196883920988</v>
      </c>
      <c r="O836">
        <v>138.36269321872012</v>
      </c>
      <c r="P836" s="1">
        <f t="shared" si="65"/>
        <v>5.645334526748238</v>
      </c>
      <c r="Q836" s="1">
        <f t="shared" si="66"/>
        <v>0.75271127023309836</v>
      </c>
      <c r="R836" s="1">
        <f t="shared" si="67"/>
        <v>0.86758934423671796</v>
      </c>
      <c r="S836" s="1">
        <f t="shared" si="68"/>
        <v>0.97388334560102052</v>
      </c>
      <c r="T836" s="56">
        <f t="shared" si="69"/>
        <v>0.8307732575081388</v>
      </c>
    </row>
    <row r="837" spans="1:20" x14ac:dyDescent="0.25">
      <c r="A837">
        <v>0.82740235350431957</v>
      </c>
      <c r="B837">
        <v>2.1355481294449419</v>
      </c>
      <c r="D837">
        <v>0.85049430997026398</v>
      </c>
      <c r="E837">
        <v>3.7041338566723425</v>
      </c>
      <c r="I837">
        <v>0.25216866372999025</v>
      </c>
      <c r="J837">
        <v>15</v>
      </c>
      <c r="K837">
        <v>2.188320043690813E-2</v>
      </c>
      <c r="L837">
        <v>20.376672301002646</v>
      </c>
      <c r="M837">
        <v>15</v>
      </c>
      <c r="N837">
        <v>-0.75397315754344163</v>
      </c>
      <c r="O837">
        <v>112.66047775826038</v>
      </c>
      <c r="P837" s="1">
        <f t="shared" si="65"/>
        <v>4.7513267878308225</v>
      </c>
      <c r="Q837" s="1">
        <f t="shared" si="66"/>
        <v>0.63351023837744302</v>
      </c>
      <c r="R837" s="1">
        <f t="shared" si="67"/>
        <v>0.79593356404755478</v>
      </c>
      <c r="S837" s="1">
        <f t="shared" si="68"/>
        <v>0.9747752740001232</v>
      </c>
      <c r="T837" s="56">
        <f t="shared" si="69"/>
        <v>0.83099072728436885</v>
      </c>
    </row>
    <row r="838" spans="1:20" x14ac:dyDescent="0.25">
      <c r="A838">
        <v>0.827414444249293</v>
      </c>
      <c r="B838">
        <v>-1.1194515536772087</v>
      </c>
      <c r="D838">
        <v>0.85070833444621907</v>
      </c>
      <c r="E838">
        <v>-3.7208762967111397</v>
      </c>
      <c r="I838">
        <v>0.21645409736149623</v>
      </c>
      <c r="J838">
        <v>15</v>
      </c>
      <c r="K838">
        <v>0.31249419407686219</v>
      </c>
      <c r="L838">
        <v>9.7473474449595194</v>
      </c>
      <c r="M838">
        <v>15</v>
      </c>
      <c r="N838">
        <v>-0.42800184360203275</v>
      </c>
      <c r="O838">
        <v>110.2032914106837</v>
      </c>
      <c r="P838" s="1">
        <f t="shared" si="65"/>
        <v>4.2839513877015438</v>
      </c>
      <c r="Q838" s="1">
        <f t="shared" si="66"/>
        <v>0.57119351836020582</v>
      </c>
      <c r="R838" s="1">
        <f t="shared" si="67"/>
        <v>0.75577345703603926</v>
      </c>
      <c r="S838" s="1">
        <f t="shared" si="68"/>
        <v>0.9797857159246387</v>
      </c>
      <c r="T838" s="56">
        <f t="shared" si="69"/>
        <v>0.83220885330449046</v>
      </c>
    </row>
    <row r="839" spans="1:20" x14ac:dyDescent="0.25">
      <c r="A839">
        <v>0.82821378185303474</v>
      </c>
      <c r="B839">
        <v>-0.53824010137759615</v>
      </c>
      <c r="D839">
        <v>0.8508120395562625</v>
      </c>
      <c r="E839">
        <v>-1.794699531956212</v>
      </c>
      <c r="I839">
        <v>1.4937265630927343E-2</v>
      </c>
      <c r="J839">
        <v>15</v>
      </c>
      <c r="K839">
        <v>0.1584058585043143</v>
      </c>
      <c r="L839">
        <v>18.898369179919442</v>
      </c>
      <c r="M839">
        <v>15</v>
      </c>
      <c r="N839">
        <v>-0.48673996730030922</v>
      </c>
      <c r="O839">
        <v>72.138633166381013</v>
      </c>
      <c r="P839" s="1">
        <f t="shared" si="65"/>
        <v>3.2513215123678734</v>
      </c>
      <c r="Q839" s="1">
        <f t="shared" si="66"/>
        <v>0.43350953498238309</v>
      </c>
      <c r="R839" s="1">
        <f t="shared" si="67"/>
        <v>0.65841440976210652</v>
      </c>
      <c r="S839" s="1">
        <f t="shared" si="68"/>
        <v>0.97984767076668766</v>
      </c>
      <c r="T839" s="56">
        <f t="shared" si="69"/>
        <v>0.83222387821944732</v>
      </c>
    </row>
    <row r="840" spans="1:20" x14ac:dyDescent="0.25">
      <c r="A840">
        <v>0.83021663747263352</v>
      </c>
      <c r="B840">
        <v>-0.56092858358169906</v>
      </c>
      <c r="D840">
        <v>0.85083977558380131</v>
      </c>
      <c r="E840">
        <v>-2.8443780627185333</v>
      </c>
      <c r="I840">
        <v>0.40506250286187018</v>
      </c>
      <c r="J840">
        <v>15</v>
      </c>
      <c r="K840">
        <v>2.2402370329170176E-3</v>
      </c>
      <c r="L840">
        <v>27.479237235771762</v>
      </c>
      <c r="M840">
        <v>15</v>
      </c>
      <c r="N840">
        <v>-0.99591830235112866</v>
      </c>
      <c r="O840">
        <v>189.34589044171486</v>
      </c>
      <c r="P840" s="1">
        <f t="shared" si="65"/>
        <v>7.7437545599102364</v>
      </c>
      <c r="Q840" s="1">
        <f t="shared" si="66"/>
        <v>1.0325006079880314</v>
      </c>
      <c r="R840" s="1">
        <f t="shared" si="67"/>
        <v>1.0161203708163868</v>
      </c>
      <c r="S840" s="1">
        <f t="shared" si="68"/>
        <v>0.98232312632615559</v>
      </c>
      <c r="T840" s="56">
        <f t="shared" si="69"/>
        <v>0.83282346350094272</v>
      </c>
    </row>
    <row r="841" spans="1:20" x14ac:dyDescent="0.25">
      <c r="A841">
        <v>0.83042061215393936</v>
      </c>
      <c r="B841">
        <v>0.25918097890098579</v>
      </c>
      <c r="D841">
        <v>0.8508871170868012</v>
      </c>
      <c r="E841">
        <v>-6.1810685599539283</v>
      </c>
      <c r="I841">
        <v>0.52915804075067741</v>
      </c>
      <c r="J841">
        <v>15</v>
      </c>
      <c r="K841">
        <v>-7.5793953631849334E-2</v>
      </c>
      <c r="L841">
        <v>10.904667945991132</v>
      </c>
      <c r="M841">
        <v>15</v>
      </c>
      <c r="N841">
        <v>-0.87909166154531704</v>
      </c>
      <c r="O841">
        <v>127.91350225372058</v>
      </c>
      <c r="P841" s="1">
        <f t="shared" si="65"/>
        <v>4.9577917928468471</v>
      </c>
      <c r="Q841" s="1">
        <f t="shared" si="66"/>
        <v>0.66103890571291291</v>
      </c>
      <c r="R841" s="1">
        <f t="shared" si="67"/>
        <v>0.81304299130667923</v>
      </c>
      <c r="S841" s="1">
        <f t="shared" si="68"/>
        <v>0.98801381538564215</v>
      </c>
      <c r="T841" s="56">
        <f t="shared" si="69"/>
        <v>0.83419628905833121</v>
      </c>
    </row>
    <row r="842" spans="1:20" x14ac:dyDescent="0.25">
      <c r="A842">
        <v>0.83265570567411629</v>
      </c>
      <c r="B842">
        <v>-0.47012690629344434</v>
      </c>
      <c r="D842">
        <v>0.85123168621982137</v>
      </c>
      <c r="E842">
        <v>-5.2840248406482715</v>
      </c>
      <c r="I842">
        <v>0.63349359447939324</v>
      </c>
      <c r="J842">
        <v>15</v>
      </c>
      <c r="K842">
        <v>0.50197703179340658</v>
      </c>
      <c r="L842">
        <v>8.1385853579639669</v>
      </c>
      <c r="M842">
        <v>15</v>
      </c>
      <c r="N842">
        <v>-0.26142038564103132</v>
      </c>
      <c r="O842">
        <v>113.60178799596451</v>
      </c>
      <c r="P842" s="1">
        <f t="shared" si="65"/>
        <v>4.3478704769260172</v>
      </c>
      <c r="Q842" s="1">
        <f t="shared" si="66"/>
        <v>0.57971606359013561</v>
      </c>
      <c r="R842" s="1">
        <f t="shared" si="67"/>
        <v>0.76139087438065323</v>
      </c>
      <c r="S842" s="1">
        <f t="shared" si="68"/>
        <v>1.002635365252331</v>
      </c>
      <c r="T842" s="56">
        <f t="shared" si="69"/>
        <v>0.83768828288820663</v>
      </c>
    </row>
    <row r="843" spans="1:20" x14ac:dyDescent="0.25">
      <c r="A843">
        <v>0.83295703986842407</v>
      </c>
      <c r="B843">
        <v>-0.57260535868408624</v>
      </c>
      <c r="D843">
        <v>0.8526405118772028</v>
      </c>
      <c r="E843">
        <v>1.141531353141545</v>
      </c>
      <c r="I843">
        <v>0.16653582820205426</v>
      </c>
      <c r="J843">
        <v>15</v>
      </c>
      <c r="K843">
        <v>0.21710131174283256</v>
      </c>
      <c r="L843">
        <v>9.6761241090016661</v>
      </c>
      <c r="M843">
        <v>15</v>
      </c>
      <c r="N843">
        <v>-0.57647503467705974</v>
      </c>
      <c r="O843">
        <v>118.31844030614991</v>
      </c>
      <c r="P843" s="1">
        <f t="shared" si="65"/>
        <v>4.5712344433982706</v>
      </c>
      <c r="Q843" s="1">
        <f t="shared" si="66"/>
        <v>0.60949792578643602</v>
      </c>
      <c r="R843" s="1">
        <f t="shared" si="67"/>
        <v>0.78070348134643031</v>
      </c>
      <c r="S843" s="1">
        <f t="shared" si="68"/>
        <v>1.0164888019344565</v>
      </c>
      <c r="T843" s="56">
        <f t="shared" si="69"/>
        <v>0.84094995532700478</v>
      </c>
    </row>
    <row r="844" spans="1:20" x14ac:dyDescent="0.25">
      <c r="A844">
        <v>0.83348392469676891</v>
      </c>
      <c r="B844">
        <v>-2.635715645737946E-2</v>
      </c>
      <c r="D844">
        <v>0.85445043685384792</v>
      </c>
      <c r="E844">
        <v>-0.53223334703034197</v>
      </c>
      <c r="I844">
        <v>0.6959713656002785</v>
      </c>
      <c r="J844">
        <v>15</v>
      </c>
      <c r="K844">
        <v>6.5328701263448849E-2</v>
      </c>
      <c r="L844">
        <v>6.974684563264745</v>
      </c>
      <c r="M844">
        <v>15</v>
      </c>
      <c r="N844">
        <v>-0.95765472337916435</v>
      </c>
      <c r="O844">
        <v>205.15709497154441</v>
      </c>
      <c r="P844" s="1">
        <f t="shared" si="65"/>
        <v>7.5761349833860407</v>
      </c>
      <c r="Q844" s="1">
        <f t="shared" si="66"/>
        <v>1.0101513311181387</v>
      </c>
      <c r="R844" s="1">
        <f t="shared" si="67"/>
        <v>1.005062849337363</v>
      </c>
      <c r="S844" s="1">
        <f t="shared" si="68"/>
        <v>1.0178303031666778</v>
      </c>
      <c r="T844" s="56">
        <f t="shared" si="69"/>
        <v>0.84126337991801081</v>
      </c>
    </row>
    <row r="845" spans="1:20" x14ac:dyDescent="0.25">
      <c r="A845">
        <v>0.83860965253042974</v>
      </c>
      <c r="B845">
        <v>-0.24938344722613692</v>
      </c>
      <c r="D845">
        <v>0.85458156826330789</v>
      </c>
      <c r="E845">
        <v>-1.6937490306645486</v>
      </c>
      <c r="I845">
        <v>0.53510950431763238</v>
      </c>
      <c r="J845">
        <v>15</v>
      </c>
      <c r="K845">
        <v>-0.10098923060771388</v>
      </c>
      <c r="L845">
        <v>10.80957973895911</v>
      </c>
      <c r="M845">
        <v>15</v>
      </c>
      <c r="N845">
        <v>-1.0110779874139553</v>
      </c>
      <c r="O845">
        <v>155.37252078741463</v>
      </c>
      <c r="P845" s="1">
        <f t="shared" si="65"/>
        <v>5.9350750187990622</v>
      </c>
      <c r="Q845" s="1">
        <f t="shared" si="66"/>
        <v>0.79134333583987493</v>
      </c>
      <c r="R845" s="1">
        <f t="shared" si="67"/>
        <v>0.88957480620792928</v>
      </c>
      <c r="S845" s="1">
        <f t="shared" si="68"/>
        <v>1.023060399704617</v>
      </c>
      <c r="T845" s="56">
        <f t="shared" si="69"/>
        <v>0.84248124678107117</v>
      </c>
    </row>
    <row r="846" spans="1:20" x14ac:dyDescent="0.25">
      <c r="A846">
        <v>0.84051308906666555</v>
      </c>
      <c r="B846">
        <v>0.74563786256476305</v>
      </c>
      <c r="D846">
        <v>0.85567445049838986</v>
      </c>
      <c r="E846">
        <v>1.5159237102579937</v>
      </c>
      <c r="I846">
        <v>0.43554020387985704</v>
      </c>
      <c r="J846">
        <v>15</v>
      </c>
      <c r="K846">
        <v>0.32541023150164011</v>
      </c>
      <c r="L846">
        <v>19.837601345055067</v>
      </c>
      <c r="M846">
        <v>15</v>
      </c>
      <c r="N846">
        <v>-0.47229901042555866</v>
      </c>
      <c r="O846">
        <v>107.62410378463156</v>
      </c>
      <c r="P846" s="1">
        <f t="shared" si="65"/>
        <v>4.5522037546316652</v>
      </c>
      <c r="Q846" s="1">
        <f t="shared" si="66"/>
        <v>0.60696050061755535</v>
      </c>
      <c r="R846" s="1">
        <f t="shared" si="67"/>
        <v>0.77907669751928488</v>
      </c>
      <c r="S846" s="1">
        <f t="shared" si="68"/>
        <v>1.0239161875425655</v>
      </c>
      <c r="T846" s="56">
        <f t="shared" si="69"/>
        <v>0.84267990551708449</v>
      </c>
    </row>
    <row r="847" spans="1:20" x14ac:dyDescent="0.25">
      <c r="A847">
        <v>0.84107014429421134</v>
      </c>
      <c r="B847">
        <v>-0.42597548599587753</v>
      </c>
      <c r="D847">
        <v>0.85620729758831027</v>
      </c>
      <c r="E847">
        <v>-1.0107889954724669</v>
      </c>
      <c r="I847">
        <v>0.87410383762849653</v>
      </c>
      <c r="J847">
        <v>15</v>
      </c>
      <c r="K847">
        <v>0.14697479855385609</v>
      </c>
      <c r="L847">
        <v>17.410739040787647</v>
      </c>
      <c r="M847">
        <v>15</v>
      </c>
      <c r="N847">
        <v>-0.76461128969640413</v>
      </c>
      <c r="O847">
        <v>148.01446065160852</v>
      </c>
      <c r="P847" s="1">
        <f t="shared" si="65"/>
        <v>5.9080428461570067</v>
      </c>
      <c r="Q847" s="1">
        <f t="shared" si="66"/>
        <v>0.7877390461542676</v>
      </c>
      <c r="R847" s="1">
        <f t="shared" si="67"/>
        <v>0.88754664449496268</v>
      </c>
      <c r="S847" s="1">
        <f t="shared" si="68"/>
        <v>1.0270852736635341</v>
      </c>
      <c r="T847" s="56">
        <f t="shared" si="69"/>
        <v>0.8434140503560057</v>
      </c>
    </row>
    <row r="848" spans="1:20" x14ac:dyDescent="0.25">
      <c r="A848">
        <v>0.84244481909110391</v>
      </c>
      <c r="B848">
        <v>0.26947986953018699</v>
      </c>
      <c r="D848">
        <v>0.85632858409955492</v>
      </c>
      <c r="E848">
        <v>-1.0407477509488672</v>
      </c>
      <c r="I848">
        <v>0.5884199225096296</v>
      </c>
      <c r="J848">
        <v>15</v>
      </c>
      <c r="K848">
        <v>6.1542474819968147E-3</v>
      </c>
      <c r="L848">
        <v>7.6520397227497634</v>
      </c>
      <c r="M848">
        <v>15</v>
      </c>
      <c r="N848">
        <v>-0.63484003817393386</v>
      </c>
      <c r="O848">
        <v>72.848166447194473</v>
      </c>
      <c r="P848" s="1">
        <f t="shared" si="65"/>
        <v>2.8750073632122941</v>
      </c>
      <c r="Q848" s="1">
        <f t="shared" si="66"/>
        <v>0.38333431509497257</v>
      </c>
      <c r="R848" s="1">
        <f t="shared" si="67"/>
        <v>0.61913998021043071</v>
      </c>
      <c r="S848" s="1">
        <f t="shared" si="68"/>
        <v>1.0352978424007964</v>
      </c>
      <c r="T848" s="56">
        <f t="shared" si="69"/>
        <v>0.8453054806677911</v>
      </c>
    </row>
    <row r="849" spans="1:20" x14ac:dyDescent="0.25">
      <c r="A849">
        <v>0.84416329333309559</v>
      </c>
      <c r="B849">
        <v>-1.4761735656065866</v>
      </c>
      <c r="D849">
        <v>0.85688019764684797</v>
      </c>
      <c r="E849">
        <v>5.5518223655326437</v>
      </c>
      <c r="I849">
        <v>0.41083482946993199</v>
      </c>
      <c r="J849">
        <v>15</v>
      </c>
      <c r="K849">
        <v>0.10983027702119823</v>
      </c>
      <c r="L849">
        <v>7.5944776048997147</v>
      </c>
      <c r="M849">
        <v>15</v>
      </c>
      <c r="N849">
        <v>-0.49616324190537853</v>
      </c>
      <c r="O849">
        <v>64.111689120682485</v>
      </c>
      <c r="P849" s="1">
        <f t="shared" si="65"/>
        <v>2.5609345259136496</v>
      </c>
      <c r="Q849" s="1">
        <f t="shared" si="66"/>
        <v>0.34145793678848663</v>
      </c>
      <c r="R849" s="1">
        <f t="shared" si="67"/>
        <v>0.58434402263434393</v>
      </c>
      <c r="S849" s="1">
        <f t="shared" si="68"/>
        <v>1.0370492303397447</v>
      </c>
      <c r="T849" s="56">
        <f t="shared" si="69"/>
        <v>0.84570677430553198</v>
      </c>
    </row>
    <row r="850" spans="1:20" x14ac:dyDescent="0.25">
      <c r="A850">
        <v>0.84582813497271425</v>
      </c>
      <c r="B850">
        <v>1.5259684005286545</v>
      </c>
      <c r="D850">
        <v>0.85830872772637212</v>
      </c>
      <c r="E850">
        <v>0.18966215634463879</v>
      </c>
      <c r="I850">
        <v>0.119399272542003</v>
      </c>
      <c r="J850">
        <v>15</v>
      </c>
      <c r="K850">
        <v>0.26487464310775977</v>
      </c>
      <c r="L850">
        <v>17.678197624478347</v>
      </c>
      <c r="M850">
        <v>15</v>
      </c>
      <c r="N850">
        <v>-0.54821612479827309</v>
      </c>
      <c r="O850">
        <v>110.55441796002117</v>
      </c>
      <c r="P850" s="1">
        <f t="shared" si="65"/>
        <v>4.5797362708749825</v>
      </c>
      <c r="Q850" s="1">
        <f t="shared" si="66"/>
        <v>0.610631502783331</v>
      </c>
      <c r="R850" s="1">
        <f t="shared" si="67"/>
        <v>0.78142914124271756</v>
      </c>
      <c r="S850" s="1">
        <f t="shared" si="68"/>
        <v>1.040517591413296</v>
      </c>
      <c r="T850" s="56">
        <f t="shared" si="69"/>
        <v>0.84649933294023882</v>
      </c>
    </row>
    <row r="851" spans="1:20" x14ac:dyDescent="0.25">
      <c r="A851">
        <v>0.84754830208402587</v>
      </c>
      <c r="B851">
        <v>-0.92413074526120909</v>
      </c>
      <c r="D851">
        <v>0.86026002010927527</v>
      </c>
      <c r="E851">
        <v>-1.7633526601912308</v>
      </c>
      <c r="I851">
        <v>0.91238278884652202</v>
      </c>
      <c r="J851">
        <v>15</v>
      </c>
      <c r="K851">
        <v>-8.4461059183619611E-2</v>
      </c>
      <c r="L851">
        <v>10.434537926133983</v>
      </c>
      <c r="M851">
        <v>15</v>
      </c>
      <c r="N851">
        <v>-0.9005691515540093</v>
      </c>
      <c r="O851">
        <v>117.85337794352148</v>
      </c>
      <c r="P851" s="1">
        <f t="shared" si="65"/>
        <v>4.581711281059123</v>
      </c>
      <c r="Q851" s="1">
        <f t="shared" si="66"/>
        <v>0.61089483747454976</v>
      </c>
      <c r="R851" s="1">
        <f t="shared" si="67"/>
        <v>0.78159761864692867</v>
      </c>
      <c r="S851" s="1">
        <f t="shared" si="68"/>
        <v>1.0441537600680055</v>
      </c>
      <c r="T851" s="56">
        <f t="shared" si="69"/>
        <v>0.84732718053127054</v>
      </c>
    </row>
    <row r="852" spans="1:20" x14ac:dyDescent="0.25">
      <c r="A852">
        <v>0.85064432910819598</v>
      </c>
      <c r="B852">
        <v>-0.94664073913008906</v>
      </c>
      <c r="D852">
        <v>0.86058919694082814</v>
      </c>
      <c r="E852">
        <v>-1.1172987831287173</v>
      </c>
      <c r="I852">
        <v>4.3068606526748265E-2</v>
      </c>
      <c r="J852">
        <v>15</v>
      </c>
      <c r="K852">
        <v>-0.1674724596038383</v>
      </c>
      <c r="L852">
        <v>8.3910285839473513</v>
      </c>
      <c r="M852">
        <v>15</v>
      </c>
      <c r="N852">
        <v>-0.94333586616812681</v>
      </c>
      <c r="O852">
        <v>106.51702941008753</v>
      </c>
      <c r="P852" s="1">
        <f t="shared" si="65"/>
        <v>4.1038592140726742</v>
      </c>
      <c r="Q852" s="1">
        <f t="shared" si="66"/>
        <v>0.5471812285430232</v>
      </c>
      <c r="R852" s="1">
        <f t="shared" si="67"/>
        <v>0.73971699219567966</v>
      </c>
      <c r="S852" s="1">
        <f t="shared" si="68"/>
        <v>1.0488651940538998</v>
      </c>
      <c r="T852" s="56">
        <f t="shared" si="69"/>
        <v>0.84839518295657723</v>
      </c>
    </row>
    <row r="853" spans="1:20" x14ac:dyDescent="0.25">
      <c r="A853">
        <v>0.8520830808870945</v>
      </c>
      <c r="B853">
        <v>0.84090174823359121</v>
      </c>
      <c r="D853">
        <v>0.86160883266963495</v>
      </c>
      <c r="E853">
        <v>1.822994132680833</v>
      </c>
      <c r="I853">
        <v>0.16477632535674125</v>
      </c>
      <c r="J853">
        <v>15</v>
      </c>
      <c r="K853">
        <v>0.36309908561330911</v>
      </c>
      <c r="L853">
        <v>20.553251879616635</v>
      </c>
      <c r="M853">
        <v>15</v>
      </c>
      <c r="N853">
        <v>-0.39091174016903096</v>
      </c>
      <c r="O853">
        <v>85.611639263251902</v>
      </c>
      <c r="P853" s="1">
        <f t="shared" si="65"/>
        <v>3.7916032551024479</v>
      </c>
      <c r="Q853" s="1">
        <f t="shared" si="66"/>
        <v>0.50554710068032638</v>
      </c>
      <c r="R853" s="1">
        <f t="shared" si="67"/>
        <v>0.71101835467189334</v>
      </c>
      <c r="S853" s="1">
        <f t="shared" si="68"/>
        <v>1.0604660496145506</v>
      </c>
      <c r="T853" s="56">
        <f t="shared" si="69"/>
        <v>0.85100254558469746</v>
      </c>
    </row>
    <row r="854" spans="1:20" x14ac:dyDescent="0.25">
      <c r="A854">
        <v>0.85294249051487148</v>
      </c>
      <c r="B854">
        <v>-0.24709606805117801</v>
      </c>
      <c r="D854">
        <v>0.86175613094609127</v>
      </c>
      <c r="E854">
        <v>-2.2102988202732377</v>
      </c>
      <c r="I854">
        <v>0.56321946369611575</v>
      </c>
      <c r="J854">
        <v>15</v>
      </c>
      <c r="K854">
        <v>3.3602797581503787E-3</v>
      </c>
      <c r="L854">
        <v>19.210223509736945</v>
      </c>
      <c r="M854">
        <v>15</v>
      </c>
      <c r="N854">
        <v>-0.94814345516169851</v>
      </c>
      <c r="O854">
        <v>149.00737221244785</v>
      </c>
      <c r="P854" s="1">
        <f t="shared" si="65"/>
        <v>6.0077712757923143</v>
      </c>
      <c r="Q854" s="1">
        <f t="shared" si="66"/>
        <v>0.80103617010564188</v>
      </c>
      <c r="R854" s="1">
        <f t="shared" si="67"/>
        <v>0.89500624026072684</v>
      </c>
      <c r="S854" s="1">
        <f t="shared" si="68"/>
        <v>1.0631252522246812</v>
      </c>
      <c r="T854" s="56">
        <f t="shared" si="69"/>
        <v>0.85159574274890981</v>
      </c>
    </row>
    <row r="855" spans="1:20" x14ac:dyDescent="0.25">
      <c r="A855">
        <v>0.85376820629100025</v>
      </c>
      <c r="B855">
        <v>-1.6068088370957412</v>
      </c>
      <c r="D855">
        <v>0.86194627735026708</v>
      </c>
      <c r="E855">
        <v>-0.91883225991296058</v>
      </c>
      <c r="I855">
        <v>0.96496750740083592</v>
      </c>
      <c r="J855">
        <v>15</v>
      </c>
      <c r="K855">
        <v>-8.0436469337049257E-3</v>
      </c>
      <c r="L855">
        <v>16.342007337699336</v>
      </c>
      <c r="M855">
        <v>15</v>
      </c>
      <c r="N855">
        <v>-0.69128100562920736</v>
      </c>
      <c r="O855">
        <v>70.032681079618825</v>
      </c>
      <c r="P855" s="1">
        <f t="shared" si="65"/>
        <v>3.0848103006185061</v>
      </c>
      <c r="Q855" s="1">
        <f t="shared" si="66"/>
        <v>0.41130804008246746</v>
      </c>
      <c r="R855" s="1">
        <f t="shared" si="67"/>
        <v>0.64133301808223431</v>
      </c>
      <c r="S855" s="1">
        <f t="shared" si="68"/>
        <v>1.0653394405586256</v>
      </c>
      <c r="T855" s="56">
        <f t="shared" si="69"/>
        <v>0.85208839705309458</v>
      </c>
    </row>
    <row r="856" spans="1:20" x14ac:dyDescent="0.25">
      <c r="A856">
        <v>0.85609146474464282</v>
      </c>
      <c r="B856">
        <v>0.38931602830416523</v>
      </c>
      <c r="D856">
        <v>0.86239488829810695</v>
      </c>
      <c r="E856">
        <v>4.4639211830599379</v>
      </c>
      <c r="I856">
        <v>0.1184396896715969</v>
      </c>
      <c r="J856">
        <v>15</v>
      </c>
      <c r="K856">
        <v>5.399472987240491E-2</v>
      </c>
      <c r="L856">
        <v>10.574125528335905</v>
      </c>
      <c r="M856">
        <v>15</v>
      </c>
      <c r="N856">
        <v>-0.78935432043181208</v>
      </c>
      <c r="O856">
        <v>117.11429161779127</v>
      </c>
      <c r="P856" s="1">
        <f t="shared" si="65"/>
        <v>4.5603006123616847</v>
      </c>
      <c r="Q856" s="1">
        <f t="shared" si="66"/>
        <v>0.60804008164822465</v>
      </c>
      <c r="R856" s="1">
        <f t="shared" si="67"/>
        <v>0.7797692489757625</v>
      </c>
      <c r="S856" s="1">
        <f t="shared" si="68"/>
        <v>1.081536687182737</v>
      </c>
      <c r="T856" s="56">
        <f t="shared" si="69"/>
        <v>0.85565715960932309</v>
      </c>
    </row>
    <row r="857" spans="1:20" x14ac:dyDescent="0.25">
      <c r="A857">
        <v>0.85865993477866376</v>
      </c>
      <c r="B857">
        <v>0.22821041056886315</v>
      </c>
      <c r="D857">
        <v>0.86318849448966073</v>
      </c>
      <c r="E857">
        <v>3.273504031540142</v>
      </c>
      <c r="I857">
        <v>0.44326539502943763</v>
      </c>
      <c r="J857">
        <v>15</v>
      </c>
      <c r="K857">
        <v>6.0547032868877672E-2</v>
      </c>
      <c r="L857">
        <v>19.35376117086517</v>
      </c>
      <c r="M857">
        <v>15</v>
      </c>
      <c r="N857">
        <v>-1.0460580631388439</v>
      </c>
      <c r="O857">
        <v>198.17956171624905</v>
      </c>
      <c r="P857" s="1">
        <f t="shared" si="65"/>
        <v>7.7690472459683653</v>
      </c>
      <c r="Q857" s="1">
        <f t="shared" si="66"/>
        <v>1.0358729661291153</v>
      </c>
      <c r="R857" s="1">
        <f t="shared" si="67"/>
        <v>1.0177784464848503</v>
      </c>
      <c r="S857" s="1">
        <f t="shared" si="68"/>
        <v>1.0872750349839457</v>
      </c>
      <c r="T857" s="56">
        <f t="shared" si="69"/>
        <v>0.85690670531934021</v>
      </c>
    </row>
    <row r="858" spans="1:20" x14ac:dyDescent="0.25">
      <c r="A858">
        <v>0.8588798423377173</v>
      </c>
      <c r="B858">
        <v>0.5425772542366758</v>
      </c>
      <c r="D858">
        <v>0.8642106095495643</v>
      </c>
      <c r="E858">
        <v>-2.7378716856674146</v>
      </c>
      <c r="I858">
        <v>0.49178534405975571</v>
      </c>
      <c r="J858">
        <v>15</v>
      </c>
      <c r="K858">
        <v>1.3595808923128061E-2</v>
      </c>
      <c r="L858">
        <v>13.800983054237145</v>
      </c>
      <c r="M858">
        <v>15</v>
      </c>
      <c r="N858">
        <v>-0.96980693683690333</v>
      </c>
      <c r="O858">
        <v>156.11115206760994</v>
      </c>
      <c r="P858" s="1">
        <f t="shared" si="65"/>
        <v>6.0682905400659672</v>
      </c>
      <c r="Q858" s="1">
        <f t="shared" si="66"/>
        <v>0.80910540534212894</v>
      </c>
      <c r="R858" s="1">
        <f t="shared" si="67"/>
        <v>0.89950286566643523</v>
      </c>
      <c r="S858" s="1">
        <f t="shared" si="68"/>
        <v>1.0932736106754206</v>
      </c>
      <c r="T858" s="56">
        <f t="shared" si="69"/>
        <v>0.85820465997363682</v>
      </c>
    </row>
    <row r="859" spans="1:20" x14ac:dyDescent="0.25">
      <c r="A859">
        <v>0.86092974691305335</v>
      </c>
      <c r="B859">
        <v>0.1303783392359037</v>
      </c>
      <c r="D859">
        <v>0.86460334072668832</v>
      </c>
      <c r="E859">
        <v>4.3955726562217023</v>
      </c>
      <c r="I859">
        <v>0.61088839102773174</v>
      </c>
      <c r="J859">
        <v>15</v>
      </c>
      <c r="K859">
        <v>-3.4490540201659314E-2</v>
      </c>
      <c r="L859">
        <v>16.082437398944023</v>
      </c>
      <c r="M859">
        <v>15</v>
      </c>
      <c r="N859">
        <v>-1.0552007586284162</v>
      </c>
      <c r="O859">
        <v>164.28414791864645</v>
      </c>
      <c r="P859" s="1">
        <f t="shared" si="65"/>
        <v>6.4416637613425172</v>
      </c>
      <c r="Q859" s="1">
        <f t="shared" si="66"/>
        <v>0.85888850151233564</v>
      </c>
      <c r="R859" s="1">
        <f t="shared" si="67"/>
        <v>0.92676237596933964</v>
      </c>
      <c r="S859" s="1">
        <f t="shared" si="68"/>
        <v>1.1013720937464184</v>
      </c>
      <c r="T859" s="56">
        <f t="shared" si="69"/>
        <v>0.85994361948323461</v>
      </c>
    </row>
    <row r="860" spans="1:20" x14ac:dyDescent="0.25">
      <c r="A860">
        <v>0.86341900558113305</v>
      </c>
      <c r="B860">
        <v>0.42555711843306199</v>
      </c>
      <c r="D860">
        <v>0.8655112415248658</v>
      </c>
      <c r="E860">
        <v>-2.3229886244280351</v>
      </c>
      <c r="I860">
        <v>0.82389198527404339</v>
      </c>
      <c r="J860">
        <v>15</v>
      </c>
      <c r="K860">
        <v>-0.11134375199617352</v>
      </c>
      <c r="L860">
        <v>10.009149983116094</v>
      </c>
      <c r="M860">
        <v>15</v>
      </c>
      <c r="N860">
        <v>-0.95814494102341996</v>
      </c>
      <c r="O860">
        <v>113.00976673682617</v>
      </c>
      <c r="P860" s="1">
        <f t="shared" si="65"/>
        <v>4.393532739997938</v>
      </c>
      <c r="Q860" s="1">
        <f t="shared" si="66"/>
        <v>0.58580436533305835</v>
      </c>
      <c r="R860" s="1">
        <f t="shared" si="67"/>
        <v>0.76537857647902474</v>
      </c>
      <c r="S860" s="1">
        <f t="shared" si="68"/>
        <v>1.1063821421848394</v>
      </c>
      <c r="T860" s="56">
        <f t="shared" si="69"/>
        <v>0.8610117328434379</v>
      </c>
    </row>
    <row r="861" spans="1:20" x14ac:dyDescent="0.25">
      <c r="A861">
        <v>0.86495151192381459</v>
      </c>
      <c r="B861">
        <v>5.7750639825826511E-2</v>
      </c>
      <c r="D861">
        <v>0.86589877558218731</v>
      </c>
      <c r="E861">
        <v>-0.66117468463744444</v>
      </c>
      <c r="I861">
        <v>0.87361650233021182</v>
      </c>
      <c r="J861">
        <v>15</v>
      </c>
      <c r="K861">
        <v>-4.9419668357586488E-2</v>
      </c>
      <c r="L861">
        <v>10.773099007205122</v>
      </c>
      <c r="M861">
        <v>15</v>
      </c>
      <c r="N861">
        <v>-0.76768742815147561</v>
      </c>
      <c r="O861">
        <v>77.457937058045175</v>
      </c>
      <c r="P861" s="1">
        <f t="shared" si="65"/>
        <v>3.1511084309017963</v>
      </c>
      <c r="Q861" s="1">
        <f t="shared" si="66"/>
        <v>0.42014779078690617</v>
      </c>
      <c r="R861" s="1">
        <f t="shared" si="67"/>
        <v>0.64818808287942642</v>
      </c>
      <c r="S861" s="1">
        <f t="shared" si="68"/>
        <v>1.1081162686656469</v>
      </c>
      <c r="T861" s="56">
        <f t="shared" si="69"/>
        <v>0.86138007321177246</v>
      </c>
    </row>
    <row r="862" spans="1:20" x14ac:dyDescent="0.25">
      <c r="A862">
        <v>0.86604771038706052</v>
      </c>
      <c r="B862">
        <v>-0.23953134586918168</v>
      </c>
      <c r="D862">
        <v>0.86830683575719081</v>
      </c>
      <c r="E862">
        <v>-3.4132397138364468</v>
      </c>
      <c r="I862">
        <v>0.24093786782935422</v>
      </c>
      <c r="J862">
        <v>15</v>
      </c>
      <c r="K862">
        <v>-0.13454594712432785</v>
      </c>
      <c r="L862">
        <v>14.91519353649783</v>
      </c>
      <c r="M862">
        <v>15</v>
      </c>
      <c r="N862">
        <v>-1.0251342280298559</v>
      </c>
      <c r="O862">
        <v>120.60098984375793</v>
      </c>
      <c r="P862" s="1">
        <f t="shared" si="65"/>
        <v>4.839863692151992</v>
      </c>
      <c r="Q862" s="1">
        <f t="shared" si="66"/>
        <v>0.64531515895359892</v>
      </c>
      <c r="R862" s="1">
        <f t="shared" si="67"/>
        <v>0.80331510564261077</v>
      </c>
      <c r="S862" s="1">
        <f t="shared" si="68"/>
        <v>1.1086412724594581</v>
      </c>
      <c r="T862" s="56">
        <f t="shared" si="69"/>
        <v>0.86149144924524035</v>
      </c>
    </row>
    <row r="863" spans="1:20" x14ac:dyDescent="0.25">
      <c r="A863">
        <v>0.86623396301928357</v>
      </c>
      <c r="B863">
        <v>-0.83005716078332625</v>
      </c>
      <c r="D863">
        <v>0.86982887808052345</v>
      </c>
      <c r="E863">
        <v>-1.917048169843838</v>
      </c>
      <c r="I863">
        <v>0.13519460193566646</v>
      </c>
      <c r="J863">
        <v>15</v>
      </c>
      <c r="K863">
        <v>6.4001596911111847E-2</v>
      </c>
      <c r="L863">
        <v>12.648815329976767</v>
      </c>
      <c r="M863">
        <v>15</v>
      </c>
      <c r="N863">
        <v>-0.69735279225824343</v>
      </c>
      <c r="O863">
        <v>85.093553311162381</v>
      </c>
      <c r="P863" s="1">
        <f t="shared" si="65"/>
        <v>3.4907988800406842</v>
      </c>
      <c r="Q863" s="1">
        <f t="shared" si="66"/>
        <v>0.4654398506720912</v>
      </c>
      <c r="R863" s="1">
        <f t="shared" si="67"/>
        <v>0.68223152277807508</v>
      </c>
      <c r="S863" s="1">
        <f t="shared" si="68"/>
        <v>1.1159765618408961</v>
      </c>
      <c r="T863" s="56">
        <f t="shared" si="69"/>
        <v>0.86304086073800923</v>
      </c>
    </row>
    <row r="864" spans="1:20" x14ac:dyDescent="0.25">
      <c r="A864">
        <v>0.86667612507343983</v>
      </c>
      <c r="B864">
        <v>-1.3685257727047428</v>
      </c>
      <c r="D864">
        <v>0.86989410704240111</v>
      </c>
      <c r="E864">
        <v>-0.36122560572948714</v>
      </c>
      <c r="I864">
        <v>0.61240937524578165</v>
      </c>
      <c r="J864">
        <v>15</v>
      </c>
      <c r="K864">
        <v>0.22653815297720334</v>
      </c>
      <c r="L864">
        <v>12.879448374000894</v>
      </c>
      <c r="M864">
        <v>15</v>
      </c>
      <c r="N864">
        <v>-0.54297288784255215</v>
      </c>
      <c r="O864">
        <v>86.652898894955868</v>
      </c>
      <c r="P864" s="1">
        <f t="shared" si="65"/>
        <v>3.554726688177027</v>
      </c>
      <c r="Q864" s="1">
        <f t="shared" si="66"/>
        <v>0.4739635584236036</v>
      </c>
      <c r="R864" s="1">
        <f t="shared" si="67"/>
        <v>0.68845011324249461</v>
      </c>
      <c r="S864" s="1">
        <f t="shared" si="68"/>
        <v>1.1177440834390693</v>
      </c>
      <c r="T864" s="56">
        <f t="shared" si="69"/>
        <v>0.86341233529973926</v>
      </c>
    </row>
    <row r="865" spans="1:20" x14ac:dyDescent="0.25">
      <c r="A865">
        <v>0.86710272622938955</v>
      </c>
      <c r="B865">
        <v>-0.72817556429072283</v>
      </c>
      <c r="D865">
        <v>0.87020359930672098</v>
      </c>
      <c r="E865">
        <v>-0.38845587710056861</v>
      </c>
      <c r="I865">
        <v>0.26767774362988384</v>
      </c>
      <c r="J865">
        <v>15</v>
      </c>
      <c r="K865">
        <v>4.6588259768517069E-2</v>
      </c>
      <c r="L865">
        <v>10.885662801469678</v>
      </c>
      <c r="M865">
        <v>15</v>
      </c>
      <c r="N865">
        <v>-0.90601202259676938</v>
      </c>
      <c r="O865">
        <v>140.61310687602153</v>
      </c>
      <c r="P865" s="1">
        <f t="shared" si="65"/>
        <v>5.4106703456246867</v>
      </c>
      <c r="Q865" s="1">
        <f t="shared" si="66"/>
        <v>0.72142271274995817</v>
      </c>
      <c r="R865" s="1">
        <f t="shared" si="67"/>
        <v>0.84936606522156166</v>
      </c>
      <c r="S865" s="1">
        <f t="shared" si="68"/>
        <v>1.1215426673736908</v>
      </c>
      <c r="T865" s="56">
        <f t="shared" si="69"/>
        <v>0.86420821261623715</v>
      </c>
    </row>
    <row r="866" spans="1:20" x14ac:dyDescent="0.25">
      <c r="A866">
        <v>0.86721403710302813</v>
      </c>
      <c r="B866">
        <v>2.0872357708867639</v>
      </c>
      <c r="D866">
        <v>0.87078768112453087</v>
      </c>
      <c r="E866">
        <v>1.6585279320224799</v>
      </c>
      <c r="I866">
        <v>0.71857578355680318</v>
      </c>
      <c r="J866">
        <v>15</v>
      </c>
      <c r="K866">
        <v>0.42356706823435769</v>
      </c>
      <c r="L866">
        <v>6.0387523462889083</v>
      </c>
      <c r="M866">
        <v>15</v>
      </c>
      <c r="N866">
        <v>-0.53417625508700439</v>
      </c>
      <c r="O866">
        <v>145.95872017322793</v>
      </c>
      <c r="P866" s="1">
        <f t="shared" si="65"/>
        <v>5.4284811614113151</v>
      </c>
      <c r="Q866" s="1">
        <f t="shared" si="66"/>
        <v>0.72379748818817535</v>
      </c>
      <c r="R866" s="1">
        <f t="shared" si="67"/>
        <v>0.85076288599596028</v>
      </c>
      <c r="S866" s="1">
        <f t="shared" si="68"/>
        <v>1.1257464789383276</v>
      </c>
      <c r="T866" s="56">
        <f t="shared" si="69"/>
        <v>0.8650850837566042</v>
      </c>
    </row>
    <row r="867" spans="1:20" x14ac:dyDescent="0.25">
      <c r="A867">
        <v>0.86739943693351051</v>
      </c>
      <c r="B867">
        <v>0.77629465522477403</v>
      </c>
      <c r="D867">
        <v>0.87341358166123284</v>
      </c>
      <c r="E867">
        <v>-9.7739306283983751E-2</v>
      </c>
      <c r="I867">
        <v>0.89987184346935623</v>
      </c>
      <c r="J867">
        <v>15</v>
      </c>
      <c r="K867">
        <v>0.4959375322262834</v>
      </c>
      <c r="L867">
        <v>7.6321367184972617</v>
      </c>
      <c r="M867">
        <v>15</v>
      </c>
      <c r="N867">
        <v>-0.4787093564573297</v>
      </c>
      <c r="O867">
        <v>149.74212219541724</v>
      </c>
      <c r="P867" s="1">
        <f t="shared" si="65"/>
        <v>5.6205092469255176</v>
      </c>
      <c r="Q867" s="1">
        <f t="shared" si="66"/>
        <v>0.74940123292340233</v>
      </c>
      <c r="R867" s="1">
        <f t="shared" si="67"/>
        <v>0.86567963642643364</v>
      </c>
      <c r="S867" s="1">
        <f t="shared" si="68"/>
        <v>1.1258748013375957</v>
      </c>
      <c r="T867" s="56">
        <f t="shared" si="69"/>
        <v>0.86511178591932403</v>
      </c>
    </row>
    <row r="868" spans="1:20" x14ac:dyDescent="0.25">
      <c r="A868">
        <v>0.86910164621617958</v>
      </c>
      <c r="B868">
        <v>-0.35863195080310106</v>
      </c>
      <c r="D868">
        <v>0.87396675946121183</v>
      </c>
      <c r="E868">
        <v>-0.11747988878596516</v>
      </c>
      <c r="I868">
        <v>0.71404630525520651</v>
      </c>
      <c r="J868">
        <v>15</v>
      </c>
      <c r="K868">
        <v>0.30552905627700966</v>
      </c>
      <c r="L868">
        <v>11.582564195389763</v>
      </c>
      <c r="M868">
        <v>15</v>
      </c>
      <c r="N868">
        <v>-0.49367531914867868</v>
      </c>
      <c r="O868">
        <v>91.820577574024028</v>
      </c>
      <c r="P868" s="1">
        <f t="shared" si="65"/>
        <v>3.6929693489076354</v>
      </c>
      <c r="Q868" s="1">
        <f t="shared" si="66"/>
        <v>0.49239591318768472</v>
      </c>
      <c r="R868" s="1">
        <f t="shared" si="67"/>
        <v>0.70170927967904539</v>
      </c>
      <c r="S868" s="1">
        <f t="shared" si="68"/>
        <v>1.1389394419740839</v>
      </c>
      <c r="T868" s="56">
        <f t="shared" si="69"/>
        <v>0.86781038404655453</v>
      </c>
    </row>
    <row r="869" spans="1:20" x14ac:dyDescent="0.25">
      <c r="A869">
        <v>0.87021832232180618</v>
      </c>
      <c r="B869">
        <v>4.518824425758794E-2</v>
      </c>
      <c r="D869">
        <v>0.87436546292896089</v>
      </c>
      <c r="E869">
        <v>-1.9760107113597769</v>
      </c>
      <c r="I869">
        <v>0.77236840680440055</v>
      </c>
      <c r="J869">
        <v>15</v>
      </c>
      <c r="K869">
        <v>0.15644870169732408</v>
      </c>
      <c r="L869">
        <v>10.007590949817821</v>
      </c>
      <c r="M869">
        <v>15</v>
      </c>
      <c r="N869">
        <v>-0.55450118793487491</v>
      </c>
      <c r="O869">
        <v>71.450120284991243</v>
      </c>
      <c r="P869" s="1">
        <f t="shared" si="65"/>
        <v>2.9092039726717522</v>
      </c>
      <c r="Q869" s="1">
        <f t="shared" si="66"/>
        <v>0.3878938630229003</v>
      </c>
      <c r="R869" s="1">
        <f t="shared" si="67"/>
        <v>0.62281125794489323</v>
      </c>
      <c r="S869" s="1">
        <f t="shared" si="68"/>
        <v>1.1415174028455091</v>
      </c>
      <c r="T869" s="56">
        <f t="shared" si="69"/>
        <v>0.8683382147027684</v>
      </c>
    </row>
    <row r="870" spans="1:20" x14ac:dyDescent="0.25">
      <c r="A870">
        <v>0.87342408229058077</v>
      </c>
      <c r="B870">
        <v>1.0334338185202796</v>
      </c>
      <c r="D870">
        <v>0.87499250854512123</v>
      </c>
      <c r="E870">
        <v>5.6528854167936515</v>
      </c>
      <c r="I870">
        <v>0.9445640303302818</v>
      </c>
      <c r="J870">
        <v>15</v>
      </c>
      <c r="K870">
        <v>0.16176447085551141</v>
      </c>
      <c r="L870">
        <v>13.794459687924599</v>
      </c>
      <c r="M870">
        <v>15</v>
      </c>
      <c r="N870">
        <v>-0.80897462225948402</v>
      </c>
      <c r="O870">
        <v>133.99535227477381</v>
      </c>
      <c r="P870" s="1">
        <f t="shared" si="65"/>
        <v>5.2782075700963711</v>
      </c>
      <c r="Q870" s="1">
        <f t="shared" si="66"/>
        <v>0.7037610093461828</v>
      </c>
      <c r="R870" s="1">
        <f t="shared" si="67"/>
        <v>0.83890464854248059</v>
      </c>
      <c r="S870" s="1">
        <f t="shared" si="68"/>
        <v>1.1571506902501554</v>
      </c>
      <c r="T870" s="56">
        <f t="shared" si="69"/>
        <v>0.87150625861128261</v>
      </c>
    </row>
    <row r="871" spans="1:20" x14ac:dyDescent="0.25">
      <c r="A871">
        <v>0.87404734403679463</v>
      </c>
      <c r="B871">
        <v>0.55538521337439306</v>
      </c>
      <c r="D871">
        <v>0.87612711941850785</v>
      </c>
      <c r="E871">
        <v>0.93841276452621969</v>
      </c>
      <c r="I871">
        <v>0.26837077361331296</v>
      </c>
      <c r="J871">
        <v>15</v>
      </c>
      <c r="K871">
        <v>0.39949478984150727</v>
      </c>
      <c r="L871">
        <v>7.4179431174963373</v>
      </c>
      <c r="M871">
        <v>15</v>
      </c>
      <c r="N871">
        <v>-0.49432719947617443</v>
      </c>
      <c r="O871">
        <v>117.84261441157169</v>
      </c>
      <c r="P871" s="1">
        <f t="shared" si="65"/>
        <v>4.4735913403238579</v>
      </c>
      <c r="Q871" s="1">
        <f t="shared" si="66"/>
        <v>0.59647884537651441</v>
      </c>
      <c r="R871" s="1">
        <f t="shared" si="67"/>
        <v>0.7723204292109036</v>
      </c>
      <c r="S871" s="1">
        <f t="shared" si="68"/>
        <v>1.157320142665291</v>
      </c>
      <c r="T871" s="56">
        <f t="shared" si="69"/>
        <v>0.87154028954971285</v>
      </c>
    </row>
    <row r="872" spans="1:20" x14ac:dyDescent="0.25">
      <c r="A872">
        <v>0.87531361993404</v>
      </c>
      <c r="B872">
        <v>0.75455773185240105</v>
      </c>
      <c r="D872">
        <v>0.8761422299939351</v>
      </c>
      <c r="E872">
        <v>-1.4313541248611727</v>
      </c>
      <c r="I872">
        <v>0.42313652453173189</v>
      </c>
      <c r="J872">
        <v>15</v>
      </c>
      <c r="K872">
        <v>-0.26151095274447772</v>
      </c>
      <c r="L872">
        <v>9.6424049408898895</v>
      </c>
      <c r="M872">
        <v>15</v>
      </c>
      <c r="N872">
        <v>-1.3126511964856036</v>
      </c>
      <c r="O872">
        <v>162.44214856763386</v>
      </c>
      <c r="P872" s="1">
        <f t="shared" si="65"/>
        <v>6.1458769110187053</v>
      </c>
      <c r="Q872" s="1">
        <f t="shared" si="66"/>
        <v>0.819450254802494</v>
      </c>
      <c r="R872" s="1">
        <f t="shared" si="67"/>
        <v>0.90523491691521374</v>
      </c>
      <c r="S872" s="1">
        <f t="shared" si="68"/>
        <v>1.1611795171612651</v>
      </c>
      <c r="T872" s="56">
        <f t="shared" si="69"/>
        <v>0.8723135783206617</v>
      </c>
    </row>
    <row r="873" spans="1:20" x14ac:dyDescent="0.25">
      <c r="A873">
        <v>0.87674425748083717</v>
      </c>
      <c r="B873">
        <v>1.8194032236351632</v>
      </c>
      <c r="D873">
        <v>0.87624298816581248</v>
      </c>
      <c r="E873">
        <v>-1.1947911423249025</v>
      </c>
      <c r="I873">
        <v>8.8715890985873735E-2</v>
      </c>
      <c r="J873">
        <v>15</v>
      </c>
      <c r="K873">
        <v>-0.14331597715984876</v>
      </c>
      <c r="L873">
        <v>20.628505078335643</v>
      </c>
      <c r="M873">
        <v>15</v>
      </c>
      <c r="N873">
        <v>-0.8888055197076028</v>
      </c>
      <c r="O873">
        <v>65.560918018537123</v>
      </c>
      <c r="P873" s="1">
        <f t="shared" si="65"/>
        <v>3.0781936820311699</v>
      </c>
      <c r="Q873" s="1">
        <f t="shared" si="66"/>
        <v>0.41042582427082264</v>
      </c>
      <c r="R873" s="1">
        <f t="shared" si="67"/>
        <v>0.64064485034285779</v>
      </c>
      <c r="S873" s="1">
        <f t="shared" si="68"/>
        <v>1.1636549363485649</v>
      </c>
      <c r="T873" s="56">
        <f t="shared" si="69"/>
        <v>0.87280777014459177</v>
      </c>
    </row>
    <row r="874" spans="1:20" x14ac:dyDescent="0.25">
      <c r="A874">
        <v>0.8770521261534352</v>
      </c>
      <c r="B874">
        <v>-0.21229880076134577</v>
      </c>
      <c r="D874">
        <v>0.87634916497996518</v>
      </c>
      <c r="E874">
        <v>-1.0868420793030964</v>
      </c>
      <c r="I874">
        <v>0.7904896682537268</v>
      </c>
      <c r="J874">
        <v>15</v>
      </c>
      <c r="K874">
        <v>-4.8984399351562992E-2</v>
      </c>
      <c r="L874">
        <v>10.912965983266036</v>
      </c>
      <c r="M874">
        <v>15</v>
      </c>
      <c r="N874">
        <v>-0.91268862320248445</v>
      </c>
      <c r="O874">
        <v>103.82192241593188</v>
      </c>
      <c r="P874" s="1">
        <f t="shared" si="65"/>
        <v>4.09767458568564</v>
      </c>
      <c r="Q874" s="1">
        <f t="shared" si="66"/>
        <v>0.546356611424752</v>
      </c>
      <c r="R874" s="1">
        <f t="shared" si="67"/>
        <v>0.73915939514069084</v>
      </c>
      <c r="S874" s="1">
        <f t="shared" si="68"/>
        <v>1.1684952251557661</v>
      </c>
      <c r="T874" s="56">
        <f t="shared" si="69"/>
        <v>0.87377002720328101</v>
      </c>
    </row>
    <row r="875" spans="1:20" x14ac:dyDescent="0.25">
      <c r="A875">
        <v>0.87724225905969611</v>
      </c>
      <c r="B875">
        <v>1.9013714336324483</v>
      </c>
      <c r="D875">
        <v>0.87682798887175084</v>
      </c>
      <c r="E875">
        <v>-1.1009585739429895</v>
      </c>
      <c r="I875">
        <v>0.93534384427913875</v>
      </c>
      <c r="J875">
        <v>15</v>
      </c>
      <c r="K875">
        <v>0.26961697585647926</v>
      </c>
      <c r="L875">
        <v>10.789596175800099</v>
      </c>
      <c r="M875">
        <v>15</v>
      </c>
      <c r="N875">
        <v>-0.54046313721300976</v>
      </c>
      <c r="O875">
        <v>90.107339197518215</v>
      </c>
      <c r="P875" s="1">
        <f t="shared" si="65"/>
        <v>3.6034619776185113</v>
      </c>
      <c r="Q875" s="1">
        <f t="shared" si="66"/>
        <v>0.48046159701580149</v>
      </c>
      <c r="R875" s="1">
        <f t="shared" si="67"/>
        <v>0.69315337192846538</v>
      </c>
      <c r="S875" s="1">
        <f t="shared" si="68"/>
        <v>1.1686881228258537</v>
      </c>
      <c r="T875" s="56">
        <f t="shared" si="69"/>
        <v>0.87380826444528659</v>
      </c>
    </row>
    <row r="876" spans="1:20" x14ac:dyDescent="0.25">
      <c r="A876">
        <v>0.87747362941780227</v>
      </c>
      <c r="B876">
        <v>0.42681449485826306</v>
      </c>
      <c r="D876">
        <v>0.8777714156401708</v>
      </c>
      <c r="E876">
        <v>1.2070047398538009</v>
      </c>
      <c r="I876">
        <v>7.7784483324499831E-2</v>
      </c>
      <c r="J876">
        <v>15</v>
      </c>
      <c r="K876">
        <v>-0.1718803256759808</v>
      </c>
      <c r="L876">
        <v>8.5161704929351796</v>
      </c>
      <c r="M876">
        <v>15</v>
      </c>
      <c r="N876">
        <v>-0.89741161332312913</v>
      </c>
      <c r="O876">
        <v>72.325766862574412</v>
      </c>
      <c r="P876" s="1">
        <f t="shared" si="65"/>
        <v>2.8872120484110568</v>
      </c>
      <c r="Q876" s="1">
        <f t="shared" si="66"/>
        <v>0.38496160645480759</v>
      </c>
      <c r="R876" s="1">
        <f t="shared" si="67"/>
        <v>0.62045274312779664</v>
      </c>
      <c r="S876" s="1">
        <f t="shared" si="68"/>
        <v>1.1693578530890762</v>
      </c>
      <c r="T876" s="56">
        <f t="shared" si="69"/>
        <v>0.87394095600425659</v>
      </c>
    </row>
    <row r="877" spans="1:20" x14ac:dyDescent="0.25">
      <c r="A877">
        <v>0.8775472035710683</v>
      </c>
      <c r="B877">
        <v>0.496695520268986</v>
      </c>
      <c r="D877">
        <v>0.87859777795212413</v>
      </c>
      <c r="E877">
        <v>-3.5376654102492466</v>
      </c>
      <c r="I877">
        <v>0.64810939750500862</v>
      </c>
      <c r="J877">
        <v>15</v>
      </c>
      <c r="K877">
        <v>2.5979791947368842E-2</v>
      </c>
      <c r="L877">
        <v>13.597429779881169</v>
      </c>
      <c r="M877">
        <v>15</v>
      </c>
      <c r="N877">
        <v>-1.025213808816261</v>
      </c>
      <c r="O877">
        <v>154.80735801548147</v>
      </c>
      <c r="P877" s="1">
        <f t="shared" si="65"/>
        <v>6.0144567069772368</v>
      </c>
      <c r="Q877" s="1">
        <f t="shared" si="66"/>
        <v>0.80192756093029827</v>
      </c>
      <c r="R877" s="1">
        <f t="shared" si="67"/>
        <v>0.89550408202883047</v>
      </c>
      <c r="S877" s="1">
        <f t="shared" si="68"/>
        <v>1.1738568498560868</v>
      </c>
      <c r="T877" s="56">
        <f t="shared" si="69"/>
        <v>0.87482967039360804</v>
      </c>
    </row>
    <row r="878" spans="1:20" x14ac:dyDescent="0.25">
      <c r="A878">
        <v>0.87795583152768297</v>
      </c>
      <c r="B878">
        <v>0.81813141150632873</v>
      </c>
      <c r="D878">
        <v>0.87870571704744449</v>
      </c>
      <c r="E878">
        <v>1.4665756646081718</v>
      </c>
      <c r="I878">
        <v>0.95794437814413724</v>
      </c>
      <c r="J878">
        <v>15</v>
      </c>
      <c r="K878">
        <v>0.37390395846159663</v>
      </c>
      <c r="L878">
        <v>12.900357280390908</v>
      </c>
      <c r="M878">
        <v>15</v>
      </c>
      <c r="N878">
        <v>-0.76045217042519653</v>
      </c>
      <c r="O878">
        <v>180.37099454761704</v>
      </c>
      <c r="P878" s="1">
        <f t="shared" si="65"/>
        <v>6.9025482795717128</v>
      </c>
      <c r="Q878" s="1">
        <f t="shared" si="66"/>
        <v>0.92033977060956174</v>
      </c>
      <c r="R878" s="1">
        <f t="shared" si="67"/>
        <v>0.95934340598638701</v>
      </c>
      <c r="S878" s="1">
        <f t="shared" si="68"/>
        <v>1.1824296928590028</v>
      </c>
      <c r="T878" s="56">
        <f t="shared" si="69"/>
        <v>0.87651033138484213</v>
      </c>
    </row>
    <row r="879" spans="1:20" x14ac:dyDescent="0.25">
      <c r="A879">
        <v>0.87855931851188851</v>
      </c>
      <c r="B879">
        <v>0.57802139963314403</v>
      </c>
      <c r="D879">
        <v>0.87920974280781539</v>
      </c>
      <c r="E879">
        <v>-2.1984571992561541</v>
      </c>
      <c r="I879">
        <v>0.90173311517530585</v>
      </c>
      <c r="J879">
        <v>15</v>
      </c>
      <c r="K879">
        <v>-0.1413417673272003</v>
      </c>
      <c r="L879">
        <v>6.068072866159123</v>
      </c>
      <c r="M879">
        <v>15</v>
      </c>
      <c r="N879">
        <v>-1.0286701160566736</v>
      </c>
      <c r="O879">
        <v>112.11440457185579</v>
      </c>
      <c r="P879" s="1">
        <f t="shared" si="65"/>
        <v>4.2208027656433895</v>
      </c>
      <c r="Q879" s="1">
        <f t="shared" si="66"/>
        <v>0.56277370208578525</v>
      </c>
      <c r="R879" s="1">
        <f t="shared" si="67"/>
        <v>0.75018244586619409</v>
      </c>
      <c r="S879" s="1">
        <f t="shared" si="68"/>
        <v>1.1828167316084348</v>
      </c>
      <c r="T879" s="56">
        <f t="shared" si="69"/>
        <v>0.87658581335897134</v>
      </c>
    </row>
    <row r="880" spans="1:20" x14ac:dyDescent="0.25">
      <c r="A880">
        <v>0.87866014628531874</v>
      </c>
      <c r="B880">
        <v>-3.5311131796333939E-2</v>
      </c>
      <c r="D880">
        <v>0.87958974391765354</v>
      </c>
      <c r="E880">
        <v>0.10775306350296887</v>
      </c>
      <c r="I880">
        <v>0.95110116291857849</v>
      </c>
      <c r="J880">
        <v>15</v>
      </c>
      <c r="K880">
        <v>0.27246467955895542</v>
      </c>
      <c r="L880">
        <v>13.771902165141736</v>
      </c>
      <c r="M880">
        <v>15</v>
      </c>
      <c r="N880">
        <v>-0.61512082879744412</v>
      </c>
      <c r="O880">
        <v>103.90526044681721</v>
      </c>
      <c r="P880" s="1">
        <f t="shared" si="65"/>
        <v>4.2027558075699627</v>
      </c>
      <c r="Q880" s="1">
        <f t="shared" si="66"/>
        <v>0.56036744100932834</v>
      </c>
      <c r="R880" s="1">
        <f t="shared" si="67"/>
        <v>0.74857694394719931</v>
      </c>
      <c r="S880" s="1">
        <f t="shared" si="68"/>
        <v>1.1856970957136574</v>
      </c>
      <c r="T880" s="56">
        <f t="shared" si="69"/>
        <v>0.87714648429179132</v>
      </c>
    </row>
    <row r="881" spans="1:20" x14ac:dyDescent="0.25">
      <c r="A881">
        <v>0.87947949336534748</v>
      </c>
      <c r="B881">
        <v>0.77247477747732773</v>
      </c>
      <c r="D881">
        <v>0.88160848543776804</v>
      </c>
      <c r="E881">
        <v>1.0751473348591389</v>
      </c>
      <c r="I881">
        <v>0.49074416294661793</v>
      </c>
      <c r="J881">
        <v>15</v>
      </c>
      <c r="K881">
        <v>0.41200913377300213</v>
      </c>
      <c r="L881">
        <v>14.200875963120247</v>
      </c>
      <c r="M881">
        <v>15</v>
      </c>
      <c r="N881">
        <v>-0.73770639005488192</v>
      </c>
      <c r="O881">
        <v>180.80949573841042</v>
      </c>
      <c r="P881" s="1">
        <f t="shared" si="65"/>
        <v>6.9646561321975238</v>
      </c>
      <c r="Q881" s="1">
        <f t="shared" si="66"/>
        <v>0.92862081762633653</v>
      </c>
      <c r="R881" s="1">
        <f t="shared" si="67"/>
        <v>0.96364973804092147</v>
      </c>
      <c r="S881" s="1">
        <f t="shared" si="68"/>
        <v>1.1930844563557192</v>
      </c>
      <c r="T881" s="56">
        <f t="shared" si="69"/>
        <v>0.87857584213464501</v>
      </c>
    </row>
    <row r="882" spans="1:20" x14ac:dyDescent="0.25">
      <c r="A882">
        <v>0.88298491564732107</v>
      </c>
      <c r="B882">
        <v>-0.24110590857162606</v>
      </c>
      <c r="D882">
        <v>0.88168004139590128</v>
      </c>
      <c r="E882">
        <v>5.4075946957254928</v>
      </c>
      <c r="I882">
        <v>0.27873600020146949</v>
      </c>
      <c r="J882">
        <v>15</v>
      </c>
      <c r="K882">
        <v>-7.7393072691241585E-2</v>
      </c>
      <c r="L882">
        <v>12.269632427118077</v>
      </c>
      <c r="M882">
        <v>15</v>
      </c>
      <c r="N882">
        <v>-0.99819658657906984</v>
      </c>
      <c r="O882">
        <v>112.05804234814849</v>
      </c>
      <c r="P882" s="1">
        <f t="shared" si="65"/>
        <v>4.4402740991166629</v>
      </c>
      <c r="Q882" s="1">
        <f t="shared" si="66"/>
        <v>0.59203654654888838</v>
      </c>
      <c r="R882" s="1">
        <f t="shared" si="67"/>
        <v>0.76943911165789358</v>
      </c>
      <c r="S882" s="1">
        <f t="shared" si="68"/>
        <v>1.1967204421202258</v>
      </c>
      <c r="T882" s="56">
        <f t="shared" si="69"/>
        <v>0.87927481563243004</v>
      </c>
    </row>
    <row r="883" spans="1:20" x14ac:dyDescent="0.25">
      <c r="A883">
        <v>0.88466273066395307</v>
      </c>
      <c r="B883">
        <v>0.78719949669903144</v>
      </c>
      <c r="D883">
        <v>0.88295221926807144</v>
      </c>
      <c r="E883">
        <v>0.54205952096708643</v>
      </c>
      <c r="I883">
        <v>0.5997066535843556</v>
      </c>
      <c r="J883">
        <v>15</v>
      </c>
      <c r="K883">
        <v>2.9061993700452149E-2</v>
      </c>
      <c r="L883">
        <v>9.5455194000327008</v>
      </c>
      <c r="M883">
        <v>15</v>
      </c>
      <c r="N883">
        <v>-0.99977546938134765</v>
      </c>
      <c r="O883">
        <v>142.4368083778057</v>
      </c>
      <c r="P883" s="1">
        <f t="shared" si="65"/>
        <v>5.4279402777799435</v>
      </c>
      <c r="Q883" s="1">
        <f t="shared" si="66"/>
        <v>0.72372537037065909</v>
      </c>
      <c r="R883" s="1">
        <f t="shared" si="67"/>
        <v>0.85072050073491179</v>
      </c>
      <c r="S883" s="1">
        <f t="shared" si="68"/>
        <v>1.2093718938159104</v>
      </c>
      <c r="T883" s="56">
        <f t="shared" si="69"/>
        <v>0.88168362705947445</v>
      </c>
    </row>
    <row r="884" spans="1:20" x14ac:dyDescent="0.25">
      <c r="A884">
        <v>0.88556211100590765</v>
      </c>
      <c r="B884">
        <v>0.3422007921471959</v>
      </c>
      <c r="D884">
        <v>0.88316422026743224</v>
      </c>
      <c r="E884">
        <v>-1.571396982171791</v>
      </c>
      <c r="I884">
        <v>0.50998203483160187</v>
      </c>
      <c r="J884">
        <v>15</v>
      </c>
      <c r="K884">
        <v>0.25002464099088684</v>
      </c>
      <c r="L884">
        <v>14.89788513619054</v>
      </c>
      <c r="M884">
        <v>15</v>
      </c>
      <c r="N884">
        <v>-0.69903126473036536</v>
      </c>
      <c r="O884">
        <v>113.96050166002289</v>
      </c>
      <c r="P884" s="1">
        <f t="shared" si="65"/>
        <v>4.6020852427219081</v>
      </c>
      <c r="Q884" s="1">
        <f t="shared" si="66"/>
        <v>0.61361136569625441</v>
      </c>
      <c r="R884" s="1">
        <f t="shared" si="67"/>
        <v>0.78333349583447176</v>
      </c>
      <c r="S884" s="1">
        <f t="shared" si="68"/>
        <v>1.211560479371866</v>
      </c>
      <c r="T884" s="56">
        <f t="shared" si="69"/>
        <v>0.88209667077525211</v>
      </c>
    </row>
    <row r="885" spans="1:20" x14ac:dyDescent="0.25">
      <c r="A885">
        <v>0.88564583782600692</v>
      </c>
      <c r="B885">
        <v>-0.66986331148655154</v>
      </c>
      <c r="D885">
        <v>0.88373841351022342</v>
      </c>
      <c r="E885">
        <v>3.8564241970107105</v>
      </c>
      <c r="I885">
        <v>0.64786344893413339</v>
      </c>
      <c r="J885">
        <v>15</v>
      </c>
      <c r="K885">
        <v>-3.3151385044523828E-2</v>
      </c>
      <c r="L885">
        <v>5.3165610023768304</v>
      </c>
      <c r="M885">
        <v>15</v>
      </c>
      <c r="N885">
        <v>-0.84848966594108788</v>
      </c>
      <c r="O885">
        <v>88.224621492035951</v>
      </c>
      <c r="P885" s="1">
        <f t="shared" si="65"/>
        <v>3.3407565176575993</v>
      </c>
      <c r="Q885" s="1">
        <f t="shared" si="66"/>
        <v>0.44543420235434655</v>
      </c>
      <c r="R885" s="1">
        <f t="shared" si="67"/>
        <v>0.6674085722811377</v>
      </c>
      <c r="S885" s="1">
        <f t="shared" si="68"/>
        <v>1.2216479001907585</v>
      </c>
      <c r="T885" s="56">
        <f t="shared" si="69"/>
        <v>0.88398653476509592</v>
      </c>
    </row>
    <row r="886" spans="1:20" x14ac:dyDescent="0.25">
      <c r="A886">
        <v>0.88595520553668439</v>
      </c>
      <c r="B886">
        <v>0.20721699911518954</v>
      </c>
      <c r="D886">
        <v>0.88381371587665358</v>
      </c>
      <c r="E886">
        <v>-4.7213159211878519</v>
      </c>
      <c r="I886">
        <v>0.5148723703706708</v>
      </c>
      <c r="J886">
        <v>15</v>
      </c>
      <c r="K886">
        <v>-0.2652776250518703</v>
      </c>
      <c r="L886">
        <v>12.301744436089812</v>
      </c>
      <c r="M886">
        <v>15</v>
      </c>
      <c r="N886">
        <v>-1.364734774824683</v>
      </c>
      <c r="O886">
        <v>157.28510916388407</v>
      </c>
      <c r="P886" s="1">
        <f t="shared" si="65"/>
        <v>6.0566733428562101</v>
      </c>
      <c r="Q886" s="1">
        <f t="shared" si="66"/>
        <v>0.8075564457141613</v>
      </c>
      <c r="R886" s="1">
        <f t="shared" si="67"/>
        <v>0.89864144446723648</v>
      </c>
      <c r="S886" s="1">
        <f t="shared" si="68"/>
        <v>1.2234658845771693</v>
      </c>
      <c r="T886" s="56">
        <f t="shared" si="69"/>
        <v>0.88432470766952309</v>
      </c>
    </row>
    <row r="887" spans="1:20" x14ac:dyDescent="0.25">
      <c r="A887">
        <v>0.88626302531414758</v>
      </c>
      <c r="B887">
        <v>-0.78324205787794199</v>
      </c>
      <c r="D887">
        <v>0.88504712509513039</v>
      </c>
      <c r="E887">
        <v>-4.5681797507768351</v>
      </c>
      <c r="I887">
        <v>0.79665139597484991</v>
      </c>
      <c r="J887">
        <v>15</v>
      </c>
      <c r="K887">
        <v>9.4788523104701497E-2</v>
      </c>
      <c r="L887">
        <v>15.636295742051594</v>
      </c>
      <c r="M887">
        <v>15</v>
      </c>
      <c r="N887">
        <v>-0.83743225673060806</v>
      </c>
      <c r="O887">
        <v>106.14374846942819</v>
      </c>
      <c r="P887" s="1">
        <f t="shared" si="65"/>
        <v>4.3492872932671345</v>
      </c>
      <c r="Q887" s="1">
        <f t="shared" si="66"/>
        <v>0.57990497243561789</v>
      </c>
      <c r="R887" s="1">
        <f t="shared" si="67"/>
        <v>0.76151491937822069</v>
      </c>
      <c r="S887" s="1">
        <f t="shared" si="68"/>
        <v>1.2241661405615938</v>
      </c>
      <c r="T887" s="56">
        <f t="shared" si="69"/>
        <v>0.88445476889357344</v>
      </c>
    </row>
    <row r="888" spans="1:20" x14ac:dyDescent="0.25">
      <c r="A888">
        <v>0.88715883352303704</v>
      </c>
      <c r="B888">
        <v>-0.74019453677465208</v>
      </c>
      <c r="D888">
        <v>0.88562604852629845</v>
      </c>
      <c r="E888">
        <v>4.9141074180170108</v>
      </c>
      <c r="I888">
        <v>0.23660546282680606</v>
      </c>
      <c r="J888">
        <v>15</v>
      </c>
      <c r="K888">
        <v>0.19404728845984209</v>
      </c>
      <c r="L888">
        <v>23.193231595400842</v>
      </c>
      <c r="M888">
        <v>15</v>
      </c>
      <c r="N888">
        <v>-0.87068315565375087</v>
      </c>
      <c r="O888">
        <v>135.26131878425304</v>
      </c>
      <c r="P888" s="1">
        <f t="shared" si="65"/>
        <v>5.6590910849876384</v>
      </c>
      <c r="Q888" s="1">
        <f t="shared" si="66"/>
        <v>0.75454547799835181</v>
      </c>
      <c r="R888" s="1">
        <f t="shared" si="67"/>
        <v>0.86864577245178132</v>
      </c>
      <c r="S888" s="1">
        <f t="shared" si="68"/>
        <v>1.2257360570677229</v>
      </c>
      <c r="T888" s="56">
        <f t="shared" si="69"/>
        <v>0.8847459573954175</v>
      </c>
    </row>
    <row r="889" spans="1:20" x14ac:dyDescent="0.25">
      <c r="A889">
        <v>0.887820401503429</v>
      </c>
      <c r="B889">
        <v>-1.7744332581060007</v>
      </c>
      <c r="D889">
        <v>0.8856919077116735</v>
      </c>
      <c r="E889">
        <v>3.3142948689146579</v>
      </c>
      <c r="I889">
        <v>0.88537960487427059</v>
      </c>
      <c r="J889">
        <v>15</v>
      </c>
      <c r="K889">
        <v>-1.1066276783822104E-2</v>
      </c>
      <c r="L889">
        <v>19.844881723492154</v>
      </c>
      <c r="M889">
        <v>15</v>
      </c>
      <c r="N889">
        <v>-1.1155293611864181</v>
      </c>
      <c r="O889">
        <v>150.16041161572878</v>
      </c>
      <c r="P889" s="1">
        <f t="shared" si="65"/>
        <v>6.071617619257891</v>
      </c>
      <c r="Q889" s="1">
        <f t="shared" si="66"/>
        <v>0.8095490159010521</v>
      </c>
      <c r="R889" s="1">
        <f t="shared" si="67"/>
        <v>0.89974941839439504</v>
      </c>
      <c r="S889" s="1">
        <f t="shared" si="68"/>
        <v>1.2275229767566984</v>
      </c>
      <c r="T889" s="56">
        <f t="shared" si="69"/>
        <v>0.88507672610286914</v>
      </c>
    </row>
    <row r="890" spans="1:20" x14ac:dyDescent="0.25">
      <c r="A890">
        <v>0.88812900345099632</v>
      </c>
      <c r="B890">
        <v>0.51259576139273122</v>
      </c>
      <c r="D890">
        <v>0.88635809400168186</v>
      </c>
      <c r="E890">
        <v>-1.4835056879292097</v>
      </c>
      <c r="I890">
        <v>0.54943690917350529</v>
      </c>
      <c r="J890">
        <v>15</v>
      </c>
      <c r="K890">
        <v>0.28156826677635155</v>
      </c>
      <c r="L890">
        <v>13.487824634961285</v>
      </c>
      <c r="M890">
        <v>15</v>
      </c>
      <c r="N890">
        <v>-0.79960341622609121</v>
      </c>
      <c r="O890">
        <v>146.9743120839521</v>
      </c>
      <c r="P890" s="1">
        <f t="shared" si="65"/>
        <v>5.7307905971040487</v>
      </c>
      <c r="Q890" s="1">
        <f t="shared" si="66"/>
        <v>0.76410541294720646</v>
      </c>
      <c r="R890" s="1">
        <f t="shared" si="67"/>
        <v>0.87413123325231123</v>
      </c>
      <c r="S890" s="1">
        <f t="shared" si="68"/>
        <v>1.2368528224072401</v>
      </c>
      <c r="T890" s="56">
        <f t="shared" si="69"/>
        <v>0.88679217742728789</v>
      </c>
    </row>
    <row r="891" spans="1:20" x14ac:dyDescent="0.25">
      <c r="A891">
        <v>0.88872960214921526</v>
      </c>
      <c r="B891">
        <v>0.59191052059759386</v>
      </c>
      <c r="D891">
        <v>0.88662545423647821</v>
      </c>
      <c r="E891">
        <v>-0.76549145319404488</v>
      </c>
      <c r="I891">
        <v>0.99403923224736668</v>
      </c>
      <c r="J891">
        <v>15</v>
      </c>
      <c r="K891">
        <v>-0.32293428375851363</v>
      </c>
      <c r="L891">
        <v>22.49147358911571</v>
      </c>
      <c r="M891">
        <v>15</v>
      </c>
      <c r="N891">
        <v>-1.2279156214844988</v>
      </c>
      <c r="O891">
        <v>89.371660059751918</v>
      </c>
      <c r="P891" s="1">
        <f t="shared" si="65"/>
        <v>3.9951119160309867</v>
      </c>
      <c r="Q891" s="1">
        <f t="shared" si="66"/>
        <v>0.53268158880413152</v>
      </c>
      <c r="R891" s="1">
        <f t="shared" si="67"/>
        <v>0.72985038795915669</v>
      </c>
      <c r="S891" s="1">
        <f t="shared" si="68"/>
        <v>1.2399545888528445</v>
      </c>
      <c r="T891" s="56">
        <f t="shared" si="69"/>
        <v>0.88735820417184941</v>
      </c>
    </row>
    <row r="892" spans="1:20" x14ac:dyDescent="0.25">
      <c r="A892">
        <v>0.89026673113829857</v>
      </c>
      <c r="B892">
        <v>0.23158690964919515</v>
      </c>
      <c r="D892">
        <v>0.88693478001347315</v>
      </c>
      <c r="E892">
        <v>0.35642710486172291</v>
      </c>
      <c r="I892">
        <v>7.9268468848177176E-2</v>
      </c>
      <c r="J892">
        <v>15</v>
      </c>
      <c r="K892">
        <v>-2.359153465173828E-3</v>
      </c>
      <c r="L892">
        <v>8.0727917408618186</v>
      </c>
      <c r="M892">
        <v>15</v>
      </c>
      <c r="N892">
        <v>-1.1613133244736673</v>
      </c>
      <c r="O892">
        <v>175.10399324284117</v>
      </c>
      <c r="P892" s="1">
        <f t="shared" si="65"/>
        <v>6.5420280351322493</v>
      </c>
      <c r="Q892" s="1">
        <f t="shared" si="66"/>
        <v>0.87227040468429984</v>
      </c>
      <c r="R892" s="1">
        <f t="shared" si="67"/>
        <v>0.9339541769724572</v>
      </c>
      <c r="S892" s="1">
        <f t="shared" si="68"/>
        <v>1.2409111705730629</v>
      </c>
      <c r="T892" s="56">
        <f t="shared" si="69"/>
        <v>0.88753233570352597</v>
      </c>
    </row>
    <row r="893" spans="1:20" x14ac:dyDescent="0.25">
      <c r="A893">
        <v>0.89185019515962538</v>
      </c>
      <c r="B893">
        <v>1.3714588931179605</v>
      </c>
      <c r="D893">
        <v>0.88787901556940063</v>
      </c>
      <c r="E893">
        <v>3.8548143913885724</v>
      </c>
      <c r="I893">
        <v>6.1142521348691026E-2</v>
      </c>
      <c r="J893">
        <v>15</v>
      </c>
      <c r="K893">
        <v>-0.35063021641690284</v>
      </c>
      <c r="L893">
        <v>11.493878211454822</v>
      </c>
      <c r="M893">
        <v>15</v>
      </c>
      <c r="N893">
        <v>-1.6076685403731972</v>
      </c>
      <c r="O893">
        <v>202.59070712352883</v>
      </c>
      <c r="P893" s="1">
        <f t="shared" si="65"/>
        <v>7.6458780476779875</v>
      </c>
      <c r="Q893" s="1">
        <f t="shared" si="66"/>
        <v>1.0194504063570651</v>
      </c>
      <c r="R893" s="1">
        <f t="shared" si="67"/>
        <v>1.0096783677771179</v>
      </c>
      <c r="S893" s="1">
        <f t="shared" si="68"/>
        <v>1.2449888638535038</v>
      </c>
      <c r="T893" s="56">
        <f t="shared" si="69"/>
        <v>0.88827234568103242</v>
      </c>
    </row>
    <row r="894" spans="1:20" x14ac:dyDescent="0.25">
      <c r="A894">
        <v>0.89272045487721763</v>
      </c>
      <c r="B894">
        <v>1.7822458175942302</v>
      </c>
      <c r="D894">
        <v>0.88827112980173439</v>
      </c>
      <c r="E894">
        <v>1.1779463841321558</v>
      </c>
      <c r="I894">
        <v>0.41350095124533981</v>
      </c>
      <c r="J894">
        <v>15</v>
      </c>
      <c r="K894">
        <v>0.2063644994147277</v>
      </c>
      <c r="L894">
        <v>12.11720065650705</v>
      </c>
      <c r="M894">
        <v>15</v>
      </c>
      <c r="N894">
        <v>-1.0904161661073886</v>
      </c>
      <c r="O894">
        <v>215.25369269869938</v>
      </c>
      <c r="P894" s="1">
        <f t="shared" si="65"/>
        <v>8.120389048400229</v>
      </c>
      <c r="Q894" s="1">
        <f t="shared" si="66"/>
        <v>1.0827185397866972</v>
      </c>
      <c r="R894" s="1">
        <f t="shared" si="67"/>
        <v>1.0405376205532875</v>
      </c>
      <c r="S894" s="1">
        <f t="shared" si="68"/>
        <v>1.2462602407710892</v>
      </c>
      <c r="T894" s="56">
        <f t="shared" si="69"/>
        <v>0.8885023196651054</v>
      </c>
    </row>
    <row r="895" spans="1:20" x14ac:dyDescent="0.25">
      <c r="A895">
        <v>0.89339571872495793</v>
      </c>
      <c r="B895">
        <v>-0.12629016055143438</v>
      </c>
      <c r="D895">
        <v>0.88866568815201985</v>
      </c>
      <c r="E895">
        <v>1.6431256392479554</v>
      </c>
      <c r="I895">
        <v>0.13149880018580606</v>
      </c>
      <c r="J895">
        <v>15</v>
      </c>
      <c r="K895">
        <v>0.38026155380066484</v>
      </c>
      <c r="L895">
        <v>10.278840931006657</v>
      </c>
      <c r="M895">
        <v>15</v>
      </c>
      <c r="N895">
        <v>-0.69077600869604794</v>
      </c>
      <c r="O895">
        <v>141.65313483817931</v>
      </c>
      <c r="P895" s="1">
        <f t="shared" si="65"/>
        <v>5.4261419917566425</v>
      </c>
      <c r="Q895" s="1">
        <f t="shared" si="66"/>
        <v>0.72348559890088571</v>
      </c>
      <c r="R895" s="1">
        <f t="shared" si="67"/>
        <v>0.85057956647269961</v>
      </c>
      <c r="S895" s="1">
        <f t="shared" si="68"/>
        <v>1.2591856243834292</v>
      </c>
      <c r="T895" s="56">
        <f t="shared" si="69"/>
        <v>0.89082009745701496</v>
      </c>
    </row>
    <row r="896" spans="1:20" x14ac:dyDescent="0.25">
      <c r="A896">
        <v>0.89354647986893254</v>
      </c>
      <c r="B896">
        <v>-1.2125838111387566E-2</v>
      </c>
      <c r="D896">
        <v>0.88872572466305833</v>
      </c>
      <c r="E896">
        <v>1.0500282280645479</v>
      </c>
      <c r="I896">
        <v>0.81401011330709772</v>
      </c>
      <c r="J896">
        <v>15</v>
      </c>
      <c r="K896">
        <v>0.3040018630902826</v>
      </c>
      <c r="L896">
        <v>21.939048933411712</v>
      </c>
      <c r="M896">
        <v>15</v>
      </c>
      <c r="N896">
        <v>-0.70038800345173513</v>
      </c>
      <c r="O896">
        <v>109.40797570946557</v>
      </c>
      <c r="P896" s="1">
        <f t="shared" si="65"/>
        <v>4.6909651658170457</v>
      </c>
      <c r="Q896" s="1">
        <f t="shared" si="66"/>
        <v>0.62546202210893942</v>
      </c>
      <c r="R896" s="1">
        <f t="shared" si="67"/>
        <v>0.79086156949806297</v>
      </c>
      <c r="S896" s="1">
        <f t="shared" si="68"/>
        <v>1.2699945291051062</v>
      </c>
      <c r="T896" s="56">
        <f t="shared" si="69"/>
        <v>0.89273017381350894</v>
      </c>
    </row>
    <row r="897" spans="1:20" x14ac:dyDescent="0.25">
      <c r="A897">
        <v>0.89487107186100434</v>
      </c>
      <c r="B897">
        <v>-0.8930373951443471</v>
      </c>
      <c r="D897">
        <v>0.8888569130087004</v>
      </c>
      <c r="E897">
        <v>-5.9917936175679642</v>
      </c>
      <c r="I897">
        <v>0.71466338483433334</v>
      </c>
      <c r="J897">
        <v>15</v>
      </c>
      <c r="K897">
        <v>0.52779887482756749</v>
      </c>
      <c r="L897">
        <v>7.5386282311759567</v>
      </c>
      <c r="M897">
        <v>15</v>
      </c>
      <c r="N897">
        <v>-0.39960650951798016</v>
      </c>
      <c r="O897">
        <v>104.0539642543602</v>
      </c>
      <c r="P897" s="1">
        <f t="shared" si="65"/>
        <v>3.9854497316262916</v>
      </c>
      <c r="Q897" s="1">
        <f t="shared" si="66"/>
        <v>0.53139329755017217</v>
      </c>
      <c r="R897" s="1">
        <f t="shared" si="67"/>
        <v>0.72896728153612778</v>
      </c>
      <c r="S897" s="1">
        <f t="shared" si="68"/>
        <v>1.2722181198465561</v>
      </c>
      <c r="T897" s="56">
        <f t="shared" si="69"/>
        <v>0.89311994362634572</v>
      </c>
    </row>
    <row r="898" spans="1:20" x14ac:dyDescent="0.25">
      <c r="A898">
        <v>0.89601552205922497</v>
      </c>
      <c r="B898">
        <v>-8.9585228124633431E-2</v>
      </c>
      <c r="D898">
        <v>0.89036152894364573</v>
      </c>
      <c r="E898">
        <v>0.30942896614760684</v>
      </c>
      <c r="I898">
        <v>0.59407210442990699</v>
      </c>
      <c r="J898">
        <v>15</v>
      </c>
      <c r="K898">
        <v>0.36498947035094415</v>
      </c>
      <c r="L898">
        <v>16.089368790112125</v>
      </c>
      <c r="M898">
        <v>15</v>
      </c>
      <c r="N898">
        <v>-0.90301591967545392</v>
      </c>
      <c r="O898">
        <v>187.58139593372519</v>
      </c>
      <c r="P898" s="1">
        <f t="shared" ref="P898:P961" si="70">(L898+O898)/(J898+M898-2)</f>
        <v>7.2739558829941897</v>
      </c>
      <c r="Q898" s="1">
        <f t="shared" ref="Q898:Q961" si="71">P898*(2/15)</f>
        <v>0.9698607843992253</v>
      </c>
      <c r="R898" s="1">
        <f t="shared" ref="R898:R961" si="72">SQRT(Q898)</f>
        <v>0.98481510163036456</v>
      </c>
      <c r="S898" s="1">
        <f t="shared" ref="S898:S961" si="73">(K898-N898)/R898</f>
        <v>1.2875568093210707</v>
      </c>
      <c r="T898" s="56">
        <f t="shared" ref="T898:T961" si="74">_xlfn.T.DIST(S898,28,TRUE)</f>
        <v>0.89577934079627908</v>
      </c>
    </row>
    <row r="899" spans="1:20" x14ac:dyDescent="0.25">
      <c r="A899">
        <v>0.89682958228076814</v>
      </c>
      <c r="B899">
        <v>0.45081947064318229</v>
      </c>
      <c r="D899">
        <v>0.89039741004542805</v>
      </c>
      <c r="E899">
        <v>-6.3419126979624707</v>
      </c>
      <c r="I899">
        <v>0.44828043450883104</v>
      </c>
      <c r="J899">
        <v>15</v>
      </c>
      <c r="K899">
        <v>6.7168684836360626E-2</v>
      </c>
      <c r="L899">
        <v>9.6382527304171575</v>
      </c>
      <c r="M899">
        <v>15</v>
      </c>
      <c r="N899">
        <v>-1.0026935831319861</v>
      </c>
      <c r="O899">
        <v>133.84488403361252</v>
      </c>
      <c r="P899" s="1">
        <f t="shared" si="70"/>
        <v>5.124397741572488</v>
      </c>
      <c r="Q899" s="1">
        <f t="shared" si="71"/>
        <v>0.68325303220966505</v>
      </c>
      <c r="R899" s="1">
        <f t="shared" si="72"/>
        <v>0.82659121227464372</v>
      </c>
      <c r="S899" s="1">
        <f t="shared" si="73"/>
        <v>1.2943063658083913</v>
      </c>
      <c r="T899" s="56">
        <f t="shared" si="74"/>
        <v>0.8969334265941481</v>
      </c>
    </row>
    <row r="900" spans="1:20" x14ac:dyDescent="0.25">
      <c r="A900">
        <v>0.89754740613400164</v>
      </c>
      <c r="B900">
        <v>-3.179025043209549E-2</v>
      </c>
      <c r="D900">
        <v>0.89321789145263153</v>
      </c>
      <c r="E900">
        <v>1.8883345057929546</v>
      </c>
      <c r="I900">
        <v>0.23979347085153324</v>
      </c>
      <c r="J900">
        <v>15</v>
      </c>
      <c r="K900">
        <v>0.42752844819915481</v>
      </c>
      <c r="L900">
        <v>17.590597272025057</v>
      </c>
      <c r="M900">
        <v>15</v>
      </c>
      <c r="N900">
        <v>-0.46423724938904343</v>
      </c>
      <c r="O900">
        <v>81.439905354361557</v>
      </c>
      <c r="P900" s="1">
        <f t="shared" si="70"/>
        <v>3.536803665228093</v>
      </c>
      <c r="Q900" s="1">
        <f t="shared" si="71"/>
        <v>0.47157382203041237</v>
      </c>
      <c r="R900" s="1">
        <f t="shared" si="72"/>
        <v>0.68671232843921792</v>
      </c>
      <c r="S900" s="1">
        <f t="shared" si="73"/>
        <v>1.2986015550573153</v>
      </c>
      <c r="T900" s="56">
        <f t="shared" si="74"/>
        <v>0.89766273721897749</v>
      </c>
    </row>
    <row r="901" spans="1:20" x14ac:dyDescent="0.25">
      <c r="A901">
        <v>0.8994522762523226</v>
      </c>
      <c r="B901">
        <v>-1.734510988171678</v>
      </c>
      <c r="D901">
        <v>0.89369980207828426</v>
      </c>
      <c r="E901">
        <v>1.3249980349883117</v>
      </c>
      <c r="I901">
        <v>0.22441151291907757</v>
      </c>
      <c r="J901">
        <v>15</v>
      </c>
      <c r="K901">
        <v>-0.21978219895875858</v>
      </c>
      <c r="L901">
        <v>8.2418905150965074</v>
      </c>
      <c r="M901">
        <v>15</v>
      </c>
      <c r="N901">
        <v>-1.2829493732624542</v>
      </c>
      <c r="O901">
        <v>132.30115798579718</v>
      </c>
      <c r="P901" s="1">
        <f t="shared" si="70"/>
        <v>5.0193945893176322</v>
      </c>
      <c r="Q901" s="1">
        <f t="shared" si="71"/>
        <v>0.66925261190901764</v>
      </c>
      <c r="R901" s="1">
        <f t="shared" si="72"/>
        <v>0.81807860985911229</v>
      </c>
      <c r="S901" s="1">
        <f t="shared" si="73"/>
        <v>1.2995904812702437</v>
      </c>
      <c r="T901" s="56">
        <f t="shared" si="74"/>
        <v>0.89783009237946765</v>
      </c>
    </row>
    <row r="902" spans="1:20" x14ac:dyDescent="0.25">
      <c r="A902">
        <v>0.89975499481967847</v>
      </c>
      <c r="B902">
        <v>-0.34057848097290844</v>
      </c>
      <c r="D902">
        <v>0.8939267751554697</v>
      </c>
      <c r="E902">
        <v>16.029365039003096</v>
      </c>
      <c r="I902">
        <v>0.16816542929967448</v>
      </c>
      <c r="J902">
        <v>15</v>
      </c>
      <c r="K902">
        <v>0.24986904160565851</v>
      </c>
      <c r="L902">
        <v>20.578595541984928</v>
      </c>
      <c r="M902">
        <v>15</v>
      </c>
      <c r="N902">
        <v>-0.55481314461758302</v>
      </c>
      <c r="O902">
        <v>59.469540982882393</v>
      </c>
      <c r="P902" s="1">
        <f t="shared" si="70"/>
        <v>2.8588620187452611</v>
      </c>
      <c r="Q902" s="1">
        <f t="shared" si="71"/>
        <v>0.38118160249936817</v>
      </c>
      <c r="R902" s="1">
        <f t="shared" si="72"/>
        <v>0.61739906260000765</v>
      </c>
      <c r="S902" s="1">
        <f t="shared" si="73"/>
        <v>1.3033420926078865</v>
      </c>
      <c r="T902" s="56">
        <f t="shared" si="74"/>
        <v>0.89846306638385065</v>
      </c>
    </row>
    <row r="903" spans="1:20" x14ac:dyDescent="0.25">
      <c r="A903">
        <v>0.89989992244123129</v>
      </c>
      <c r="B903">
        <v>0.37286326914909296</v>
      </c>
      <c r="D903">
        <v>0.89423946912647989</v>
      </c>
      <c r="E903">
        <v>3.6546527974223864</v>
      </c>
      <c r="I903">
        <v>0.34444343122061416</v>
      </c>
      <c r="J903">
        <v>15</v>
      </c>
      <c r="K903">
        <v>0.1139733285526745</v>
      </c>
      <c r="L903">
        <v>9.5932103304889438</v>
      </c>
      <c r="M903">
        <v>15</v>
      </c>
      <c r="N903">
        <v>-0.74581703643161745</v>
      </c>
      <c r="O903">
        <v>81.157918734822786</v>
      </c>
      <c r="P903" s="1">
        <f t="shared" si="70"/>
        <v>3.2411117523325617</v>
      </c>
      <c r="Q903" s="1">
        <f t="shared" si="71"/>
        <v>0.43214823364434157</v>
      </c>
      <c r="R903" s="1">
        <f t="shared" si="72"/>
        <v>0.65737982448835586</v>
      </c>
      <c r="S903" s="1">
        <f t="shared" si="73"/>
        <v>1.3079050085747215</v>
      </c>
      <c r="T903" s="56">
        <f t="shared" si="74"/>
        <v>0.89922886132249835</v>
      </c>
    </row>
    <row r="904" spans="1:20" x14ac:dyDescent="0.25">
      <c r="A904">
        <v>0.90016647657602067</v>
      </c>
      <c r="B904">
        <v>1.1325755622237921</v>
      </c>
      <c r="D904">
        <v>0.8945043051846624</v>
      </c>
      <c r="E904">
        <v>-3.6575277169959008</v>
      </c>
      <c r="I904">
        <v>0.39479217553762325</v>
      </c>
      <c r="J904">
        <v>15</v>
      </c>
      <c r="K904">
        <v>0.52529117056110408</v>
      </c>
      <c r="L904">
        <v>6.8126402281891192</v>
      </c>
      <c r="M904">
        <v>15</v>
      </c>
      <c r="N904">
        <v>-0.34421828218000883</v>
      </c>
      <c r="O904">
        <v>81.849161949667661</v>
      </c>
      <c r="P904" s="1">
        <f t="shared" si="70"/>
        <v>3.1664929349234567</v>
      </c>
      <c r="Q904" s="1">
        <f t="shared" si="71"/>
        <v>0.42219905798979424</v>
      </c>
      <c r="R904" s="1">
        <f t="shared" si="72"/>
        <v>0.649768464908689</v>
      </c>
      <c r="S904" s="1">
        <f t="shared" si="73"/>
        <v>1.3381835218231217</v>
      </c>
      <c r="T904" s="56">
        <f t="shared" si="74"/>
        <v>0.90419841156406056</v>
      </c>
    </row>
    <row r="905" spans="1:20" x14ac:dyDescent="0.25">
      <c r="A905">
        <v>0.90058970441676012</v>
      </c>
      <c r="B905">
        <v>-1.5348496162914671</v>
      </c>
      <c r="D905">
        <v>0.89982207241531276</v>
      </c>
      <c r="E905">
        <v>-3.6693079471206147</v>
      </c>
      <c r="I905">
        <v>0.73865512489574892</v>
      </c>
      <c r="J905">
        <v>15</v>
      </c>
      <c r="K905">
        <v>0.4901366234359254</v>
      </c>
      <c r="L905">
        <v>9.7943325408431861</v>
      </c>
      <c r="M905">
        <v>15</v>
      </c>
      <c r="N905">
        <v>-0.73977867373287154</v>
      </c>
      <c r="O905">
        <v>164.8386648743776</v>
      </c>
      <c r="P905" s="1">
        <f t="shared" si="70"/>
        <v>6.2368927648293138</v>
      </c>
      <c r="Q905" s="1">
        <f t="shared" si="71"/>
        <v>0.8315857019772418</v>
      </c>
      <c r="R905" s="1">
        <f t="shared" si="72"/>
        <v>0.911913209673619</v>
      </c>
      <c r="S905" s="1">
        <f t="shared" si="73"/>
        <v>1.3487196852965793</v>
      </c>
      <c r="T905" s="56">
        <f t="shared" si="74"/>
        <v>0.90588242561943488</v>
      </c>
    </row>
    <row r="906" spans="1:20" x14ac:dyDescent="0.25">
      <c r="A906">
        <v>0.90143178681548886</v>
      </c>
      <c r="B906">
        <v>2.1696905605494976</v>
      </c>
      <c r="D906">
        <v>0.9002006862870171</v>
      </c>
      <c r="E906">
        <v>-1.7113341107233282</v>
      </c>
      <c r="I906">
        <v>0.65098171926435622</v>
      </c>
      <c r="J906">
        <v>15</v>
      </c>
      <c r="K906">
        <v>-4.4858704010645546E-2</v>
      </c>
      <c r="L906">
        <v>11.763568339043989</v>
      </c>
      <c r="M906">
        <v>15</v>
      </c>
      <c r="N906">
        <v>-1.1951615340421995</v>
      </c>
      <c r="O906">
        <v>138.92081470681583</v>
      </c>
      <c r="P906" s="1">
        <f t="shared" si="70"/>
        <v>5.3815851087807074</v>
      </c>
      <c r="Q906" s="1">
        <f t="shared" si="71"/>
        <v>0.71754468117076098</v>
      </c>
      <c r="R906" s="1">
        <f t="shared" si="72"/>
        <v>0.84708009135545204</v>
      </c>
      <c r="S906" s="1">
        <f t="shared" si="73"/>
        <v>1.3579623010510153</v>
      </c>
      <c r="T906" s="56">
        <f t="shared" si="74"/>
        <v>0.90734065358932636</v>
      </c>
    </row>
    <row r="907" spans="1:20" x14ac:dyDescent="0.25">
      <c r="A907">
        <v>0.90242282329726131</v>
      </c>
      <c r="B907">
        <v>-0.83460008681868203</v>
      </c>
      <c r="D907">
        <v>0.90047089376264555</v>
      </c>
      <c r="E907">
        <v>3.7407773982067738</v>
      </c>
      <c r="I907">
        <v>0.28033193688073033</v>
      </c>
      <c r="J907">
        <v>15</v>
      </c>
      <c r="K907">
        <v>0.21859826423072568</v>
      </c>
      <c r="L907">
        <v>14.360661036848203</v>
      </c>
      <c r="M907">
        <v>15</v>
      </c>
      <c r="N907">
        <v>-0.97483303193257598</v>
      </c>
      <c r="O907">
        <v>147.31028353366605</v>
      </c>
      <c r="P907" s="1">
        <f t="shared" si="70"/>
        <v>5.7739623060897944</v>
      </c>
      <c r="Q907" s="1">
        <f t="shared" si="71"/>
        <v>0.76986164081197261</v>
      </c>
      <c r="R907" s="1">
        <f t="shared" si="72"/>
        <v>0.87741759773324157</v>
      </c>
      <c r="S907" s="1">
        <f t="shared" si="73"/>
        <v>1.3601633922620922</v>
      </c>
      <c r="T907" s="56">
        <f t="shared" si="74"/>
        <v>0.90768531444150824</v>
      </c>
    </row>
    <row r="908" spans="1:20" x14ac:dyDescent="0.25">
      <c r="A908">
        <v>0.90263061019179192</v>
      </c>
      <c r="B908">
        <v>0.37171503208810464</v>
      </c>
      <c r="D908">
        <v>0.90187860801069075</v>
      </c>
      <c r="E908">
        <v>-1.4589084037197608</v>
      </c>
      <c r="I908">
        <v>0.76920619854454242</v>
      </c>
      <c r="J908">
        <v>15</v>
      </c>
      <c r="K908">
        <v>0.26325346880184952</v>
      </c>
      <c r="L908">
        <v>7.1302876432600772</v>
      </c>
      <c r="M908">
        <v>15</v>
      </c>
      <c r="N908">
        <v>-0.32792718570817669</v>
      </c>
      <c r="O908">
        <v>32.536911551909803</v>
      </c>
      <c r="P908" s="1">
        <f t="shared" si="70"/>
        <v>1.4166856855417813</v>
      </c>
      <c r="Q908" s="1">
        <f t="shared" si="71"/>
        <v>0.18889142473890416</v>
      </c>
      <c r="R908" s="1">
        <f t="shared" si="72"/>
        <v>0.43461641103265319</v>
      </c>
      <c r="S908" s="1">
        <f t="shared" si="73"/>
        <v>1.3602354616692331</v>
      </c>
      <c r="T908" s="56">
        <f t="shared" si="74"/>
        <v>0.90769658259465924</v>
      </c>
    </row>
    <row r="909" spans="1:20" x14ac:dyDescent="0.25">
      <c r="A909">
        <v>0.90455394184832827</v>
      </c>
      <c r="B909">
        <v>0.23009533833828755</v>
      </c>
      <c r="D909">
        <v>0.90596814761626576</v>
      </c>
      <c r="E909">
        <v>2.4870355412076606</v>
      </c>
      <c r="I909">
        <v>0.47192125401508167</v>
      </c>
      <c r="J909">
        <v>15</v>
      </c>
      <c r="K909">
        <v>4.5697788664256223E-2</v>
      </c>
      <c r="L909">
        <v>11.802964958278329</v>
      </c>
      <c r="M909">
        <v>15</v>
      </c>
      <c r="N909">
        <v>-0.95450241474281938</v>
      </c>
      <c r="O909">
        <v>101.25266294178141</v>
      </c>
      <c r="P909" s="1">
        <f t="shared" si="70"/>
        <v>4.0377009964307051</v>
      </c>
      <c r="Q909" s="1">
        <f t="shared" si="71"/>
        <v>0.53836013285742734</v>
      </c>
      <c r="R909" s="1">
        <f t="shared" si="72"/>
        <v>0.73373028617975644</v>
      </c>
      <c r="S909" s="1">
        <f t="shared" si="73"/>
        <v>1.363171484462939</v>
      </c>
      <c r="T909" s="56">
        <f t="shared" si="74"/>
        <v>0.90815472211843451</v>
      </c>
    </row>
    <row r="910" spans="1:20" x14ac:dyDescent="0.25">
      <c r="A910">
        <v>0.9050750611601287</v>
      </c>
      <c r="B910">
        <v>2.9274087864905596</v>
      </c>
      <c r="D910">
        <v>0.90628376006686484</v>
      </c>
      <c r="E910">
        <v>0.50743505767059105</v>
      </c>
      <c r="I910">
        <v>0.6357518957038466</v>
      </c>
      <c r="J910">
        <v>15</v>
      </c>
      <c r="K910">
        <v>-0.11814828818993799</v>
      </c>
      <c r="L910">
        <v>14.261496441023816</v>
      </c>
      <c r="M910">
        <v>15</v>
      </c>
      <c r="N910">
        <v>-1.4264053368151508</v>
      </c>
      <c r="O910">
        <v>175.75613794489533</v>
      </c>
      <c r="P910" s="1">
        <f t="shared" si="70"/>
        <v>6.7863440852113976</v>
      </c>
      <c r="Q910" s="1">
        <f t="shared" si="71"/>
        <v>0.90484587802818639</v>
      </c>
      <c r="R910" s="1">
        <f t="shared" si="72"/>
        <v>0.95123387136297155</v>
      </c>
      <c r="S910" s="1">
        <f t="shared" si="73"/>
        <v>1.3753263923946295</v>
      </c>
      <c r="T910" s="56">
        <f t="shared" si="74"/>
        <v>0.91003251312705546</v>
      </c>
    </row>
    <row r="911" spans="1:20" x14ac:dyDescent="0.25">
      <c r="A911">
        <v>0.90620234568262303</v>
      </c>
      <c r="B911">
        <v>0.12875716492999345</v>
      </c>
      <c r="D911">
        <v>0.90660988739395043</v>
      </c>
      <c r="E911">
        <v>-0.9850116418874677</v>
      </c>
      <c r="I911">
        <v>0.12164841181662167</v>
      </c>
      <c r="J911">
        <v>15</v>
      </c>
      <c r="K911">
        <v>0.31197259886539541</v>
      </c>
      <c r="L911">
        <v>12.077522636928068</v>
      </c>
      <c r="M911">
        <v>15</v>
      </c>
      <c r="N911">
        <v>-1.060747084693503</v>
      </c>
      <c r="O911">
        <v>195.300165765728</v>
      </c>
      <c r="P911" s="1">
        <f t="shared" si="70"/>
        <v>7.4063460143805742</v>
      </c>
      <c r="Q911" s="1">
        <f t="shared" si="71"/>
        <v>0.98751280191740987</v>
      </c>
      <c r="R911" s="1">
        <f t="shared" si="72"/>
        <v>0.99373678704041635</v>
      </c>
      <c r="S911" s="1">
        <f t="shared" si="73"/>
        <v>1.381371507486588</v>
      </c>
      <c r="T911" s="56">
        <f t="shared" si="74"/>
        <v>0.91095514860299864</v>
      </c>
    </row>
    <row r="912" spans="1:20" x14ac:dyDescent="0.25">
      <c r="A912">
        <v>0.90842618935884623</v>
      </c>
      <c r="B912">
        <v>1.0621761248330586</v>
      </c>
      <c r="D912">
        <v>0.91008679715067031</v>
      </c>
      <c r="E912">
        <v>3.2103328032917489</v>
      </c>
      <c r="I912">
        <v>2.7944640423184341E-2</v>
      </c>
      <c r="J912">
        <v>15</v>
      </c>
      <c r="K912">
        <v>-0.10202976833776727</v>
      </c>
      <c r="L912">
        <v>13.107213124830185</v>
      </c>
      <c r="M912">
        <v>15</v>
      </c>
      <c r="N912">
        <v>-1.0766636967218801</v>
      </c>
      <c r="O912">
        <v>90.367981434491725</v>
      </c>
      <c r="P912" s="1">
        <f t="shared" si="70"/>
        <v>3.6955426628329251</v>
      </c>
      <c r="Q912" s="1">
        <f t="shared" si="71"/>
        <v>0.49273902171105666</v>
      </c>
      <c r="R912" s="1">
        <f t="shared" si="72"/>
        <v>0.70195371764173786</v>
      </c>
      <c r="S912" s="1">
        <f t="shared" si="73"/>
        <v>1.388458959457417</v>
      </c>
      <c r="T912" s="56">
        <f t="shared" si="74"/>
        <v>0.912027397692311</v>
      </c>
    </row>
    <row r="913" spans="1:20" x14ac:dyDescent="0.25">
      <c r="A913">
        <v>0.90898306350368807</v>
      </c>
      <c r="B913">
        <v>2.3680149752181023</v>
      </c>
      <c r="D913">
        <v>0.91074481254199446</v>
      </c>
      <c r="E913">
        <v>-5.3728506406969245</v>
      </c>
      <c r="I913">
        <v>0.74495577371384458</v>
      </c>
      <c r="J913">
        <v>15</v>
      </c>
      <c r="K913">
        <v>-9.9240272296204548E-3</v>
      </c>
      <c r="L913">
        <v>14.459173829283611</v>
      </c>
      <c r="M913">
        <v>15</v>
      </c>
      <c r="N913">
        <v>-0.96766484944055264</v>
      </c>
      <c r="O913">
        <v>83.85373595029732</v>
      </c>
      <c r="P913" s="1">
        <f t="shared" si="70"/>
        <v>3.5111753492707476</v>
      </c>
      <c r="Q913" s="1">
        <f t="shared" si="71"/>
        <v>0.4681567132360997</v>
      </c>
      <c r="R913" s="1">
        <f t="shared" si="72"/>
        <v>0.68421978430625618</v>
      </c>
      <c r="S913" s="1">
        <f t="shared" si="73"/>
        <v>1.3997561078740282</v>
      </c>
      <c r="T913" s="56">
        <f t="shared" si="74"/>
        <v>0.91371550918707189</v>
      </c>
    </row>
    <row r="914" spans="1:20" x14ac:dyDescent="0.25">
      <c r="A914">
        <v>0.90977558130795599</v>
      </c>
      <c r="B914">
        <v>-1.2217333278385922</v>
      </c>
      <c r="D914">
        <v>0.9107699739884112</v>
      </c>
      <c r="E914">
        <v>-2.3474392526168231</v>
      </c>
      <c r="I914">
        <v>0.39231804105916124</v>
      </c>
      <c r="J914">
        <v>15</v>
      </c>
      <c r="K914">
        <v>-5.6909433017911702E-2</v>
      </c>
      <c r="L914">
        <v>11.834992457038075</v>
      </c>
      <c r="M914">
        <v>15</v>
      </c>
      <c r="N914">
        <v>-0.89839045699591225</v>
      </c>
      <c r="O914">
        <v>64.007126010829893</v>
      </c>
      <c r="P914" s="1">
        <f t="shared" si="70"/>
        <v>2.7086470881381417</v>
      </c>
      <c r="Q914" s="1">
        <f t="shared" si="71"/>
        <v>0.36115294508508555</v>
      </c>
      <c r="R914" s="1">
        <f t="shared" si="72"/>
        <v>0.60096001953964084</v>
      </c>
      <c r="S914" s="1">
        <f t="shared" si="73"/>
        <v>1.4002279629560188</v>
      </c>
      <c r="T914" s="56">
        <f t="shared" si="74"/>
        <v>0.91378545823559476</v>
      </c>
    </row>
    <row r="915" spans="1:20" x14ac:dyDescent="0.25">
      <c r="A915">
        <v>0.91199775406511263</v>
      </c>
      <c r="B915">
        <v>0.46969944378361106</v>
      </c>
      <c r="D915">
        <v>0.91269434856407028</v>
      </c>
      <c r="E915">
        <v>-3.3581652621705871</v>
      </c>
      <c r="I915">
        <v>0.40183072518267882</v>
      </c>
      <c r="J915">
        <v>15</v>
      </c>
      <c r="K915">
        <v>0.55057201583016047</v>
      </c>
      <c r="L915">
        <v>11.904207165995919</v>
      </c>
      <c r="M915">
        <v>15</v>
      </c>
      <c r="N915">
        <v>-0.55046871580088919</v>
      </c>
      <c r="O915">
        <v>117.2453057120823</v>
      </c>
      <c r="P915" s="1">
        <f t="shared" si="70"/>
        <v>4.612482602788508</v>
      </c>
      <c r="Q915" s="1">
        <f t="shared" si="71"/>
        <v>0.61499768037180103</v>
      </c>
      <c r="R915" s="1">
        <f t="shared" si="72"/>
        <v>0.78421787812558896</v>
      </c>
      <c r="S915" s="1">
        <f t="shared" si="73"/>
        <v>1.4039985090147653</v>
      </c>
      <c r="T915" s="56">
        <f t="shared" si="74"/>
        <v>0.91434280883499341</v>
      </c>
    </row>
    <row r="916" spans="1:20" x14ac:dyDescent="0.25">
      <c r="A916">
        <v>0.91206655895757793</v>
      </c>
      <c r="B916">
        <v>-1.3343969840207137</v>
      </c>
      <c r="D916">
        <v>0.91319465917519471</v>
      </c>
      <c r="E916">
        <v>1.2568882505092915</v>
      </c>
      <c r="I916">
        <v>0.89800701565682828</v>
      </c>
      <c r="J916">
        <v>15</v>
      </c>
      <c r="K916">
        <v>8.6533570235284671E-2</v>
      </c>
      <c r="L916">
        <v>5.3466364071215482</v>
      </c>
      <c r="M916">
        <v>15</v>
      </c>
      <c r="N916">
        <v>-1.015983574461643</v>
      </c>
      <c r="O916">
        <v>123.05855362788775</v>
      </c>
      <c r="P916" s="1">
        <f t="shared" si="70"/>
        <v>4.5858996441074753</v>
      </c>
      <c r="Q916" s="1">
        <f t="shared" si="71"/>
        <v>0.61145328588099668</v>
      </c>
      <c r="R916" s="1">
        <f t="shared" si="72"/>
        <v>0.78195478506176852</v>
      </c>
      <c r="S916" s="1">
        <f t="shared" si="73"/>
        <v>1.4099499942440243</v>
      </c>
      <c r="T916" s="56">
        <f t="shared" si="74"/>
        <v>0.91521674770702155</v>
      </c>
    </row>
    <row r="917" spans="1:20" x14ac:dyDescent="0.25">
      <c r="A917">
        <v>0.91307069731135748</v>
      </c>
      <c r="B917">
        <v>-0.57522129282006063</v>
      </c>
      <c r="D917">
        <v>0.91335271715116206</v>
      </c>
      <c r="E917">
        <v>-0.93821131827098725</v>
      </c>
      <c r="I917">
        <v>0.47685699868988096</v>
      </c>
      <c r="J917">
        <v>15</v>
      </c>
      <c r="K917">
        <v>0.23846678232075647</v>
      </c>
      <c r="L917">
        <v>19.188386695497591</v>
      </c>
      <c r="M917">
        <v>15</v>
      </c>
      <c r="N917">
        <v>-0.90521325887493731</v>
      </c>
      <c r="O917">
        <v>116.74979840292544</v>
      </c>
      <c r="P917" s="1">
        <f t="shared" si="70"/>
        <v>4.8549351820865363</v>
      </c>
      <c r="Q917" s="1">
        <f t="shared" si="71"/>
        <v>0.64732469094487155</v>
      </c>
      <c r="R917" s="1">
        <f t="shared" si="72"/>
        <v>0.80456490785074108</v>
      </c>
      <c r="S917" s="1">
        <f t="shared" si="73"/>
        <v>1.4214888445120497</v>
      </c>
      <c r="T917" s="56">
        <f t="shared" si="74"/>
        <v>0.91689106242014484</v>
      </c>
    </row>
    <row r="918" spans="1:20" x14ac:dyDescent="0.25">
      <c r="A918">
        <v>0.91336321008102483</v>
      </c>
      <c r="B918">
        <v>-1.2183522812847514</v>
      </c>
      <c r="D918">
        <v>0.91337118943170048</v>
      </c>
      <c r="E918">
        <v>0.1335031322469149</v>
      </c>
      <c r="I918">
        <v>0.92595488729367648</v>
      </c>
      <c r="J918">
        <v>15</v>
      </c>
      <c r="K918">
        <v>-0.16061259581571599</v>
      </c>
      <c r="L918">
        <v>7.7961765158181935</v>
      </c>
      <c r="M918">
        <v>15</v>
      </c>
      <c r="N918">
        <v>-1.4352056075495057</v>
      </c>
      <c r="O918">
        <v>158.85057658615389</v>
      </c>
      <c r="P918" s="1">
        <f t="shared" si="70"/>
        <v>5.9516697536418599</v>
      </c>
      <c r="Q918" s="1">
        <f t="shared" si="71"/>
        <v>0.79355596715224797</v>
      </c>
      <c r="R918" s="1">
        <f t="shared" si="72"/>
        <v>0.89081758354460427</v>
      </c>
      <c r="S918" s="1">
        <f t="shared" si="73"/>
        <v>1.4308125875357389</v>
      </c>
      <c r="T918" s="56">
        <f t="shared" si="74"/>
        <v>0.91822472313440173</v>
      </c>
    </row>
    <row r="919" spans="1:20" x14ac:dyDescent="0.25">
      <c r="A919">
        <v>0.91495300304492932</v>
      </c>
      <c r="B919">
        <v>-0.96500116342213005</v>
      </c>
      <c r="D919">
        <v>0.91541889661470244</v>
      </c>
      <c r="E919">
        <v>2.2129217961719405</v>
      </c>
      <c r="I919">
        <v>0.8278658031959929</v>
      </c>
      <c r="J919">
        <v>15</v>
      </c>
      <c r="K919">
        <v>0.15020941646071151</v>
      </c>
      <c r="L919">
        <v>9.4653565258377856</v>
      </c>
      <c r="M919">
        <v>15</v>
      </c>
      <c r="N919">
        <v>-0.79953838735491445</v>
      </c>
      <c r="O919">
        <v>82.535392433960382</v>
      </c>
      <c r="P919" s="1">
        <f t="shared" si="70"/>
        <v>3.2857410342785061</v>
      </c>
      <c r="Q919" s="1">
        <f t="shared" si="71"/>
        <v>0.43809880457046746</v>
      </c>
      <c r="R919" s="1">
        <f t="shared" si="72"/>
        <v>0.66189032669352965</v>
      </c>
      <c r="S919" s="1">
        <f t="shared" si="73"/>
        <v>1.4349020759376967</v>
      </c>
      <c r="T919" s="56">
        <f t="shared" si="74"/>
        <v>0.91880429016965559</v>
      </c>
    </row>
    <row r="920" spans="1:20" x14ac:dyDescent="0.25">
      <c r="A920">
        <v>0.91613743925214797</v>
      </c>
      <c r="B920">
        <v>0.72002194428932853</v>
      </c>
      <c r="D920">
        <v>0.9157419285817453</v>
      </c>
      <c r="E920">
        <v>0.7136538863505848</v>
      </c>
      <c r="I920">
        <v>0.69923685840816197</v>
      </c>
      <c r="J920">
        <v>15</v>
      </c>
      <c r="K920">
        <v>-0.23864860546988589</v>
      </c>
      <c r="L920">
        <v>5.8984753585735383</v>
      </c>
      <c r="M920">
        <v>15</v>
      </c>
      <c r="N920">
        <v>-1.3304259061897028</v>
      </c>
      <c r="O920">
        <v>115.29648127146618</v>
      </c>
      <c r="P920" s="1">
        <f t="shared" si="70"/>
        <v>4.3283913082157044</v>
      </c>
      <c r="Q920" s="1">
        <f t="shared" si="71"/>
        <v>0.57711884109542722</v>
      </c>
      <c r="R920" s="1">
        <f t="shared" si="72"/>
        <v>0.75968338213720799</v>
      </c>
      <c r="S920" s="1">
        <f t="shared" si="73"/>
        <v>1.4371477991901482</v>
      </c>
      <c r="T920" s="56">
        <f t="shared" si="74"/>
        <v>0.91912116432182112</v>
      </c>
    </row>
    <row r="921" spans="1:20" x14ac:dyDescent="0.25">
      <c r="A921">
        <v>0.91723987077093083</v>
      </c>
      <c r="B921">
        <v>-1.4033003026270308</v>
      </c>
      <c r="D921">
        <v>0.9178005320612681</v>
      </c>
      <c r="E921">
        <v>-5.7638287705685798</v>
      </c>
      <c r="I921">
        <v>0.6262102096219021</v>
      </c>
      <c r="J921">
        <v>15</v>
      </c>
      <c r="K921">
        <v>7.2111561166821048E-3</v>
      </c>
      <c r="L921">
        <v>13.740785889587542</v>
      </c>
      <c r="M921">
        <v>15</v>
      </c>
      <c r="N921">
        <v>-1.2468046895719453</v>
      </c>
      <c r="O921">
        <v>146.01852754560608</v>
      </c>
      <c r="P921" s="1">
        <f t="shared" si="70"/>
        <v>5.7056897655426297</v>
      </c>
      <c r="Q921" s="1">
        <f t="shared" si="71"/>
        <v>0.760758635405684</v>
      </c>
      <c r="R921" s="1">
        <f t="shared" si="72"/>
        <v>0.8722147874266315</v>
      </c>
      <c r="S921" s="1">
        <f t="shared" si="73"/>
        <v>1.4377374286309175</v>
      </c>
      <c r="T921" s="56">
        <f t="shared" si="74"/>
        <v>0.91920419840173917</v>
      </c>
    </row>
    <row r="922" spans="1:20" x14ac:dyDescent="0.25">
      <c r="A922">
        <v>0.91916727137380749</v>
      </c>
      <c r="B922">
        <v>-0.25080453269765712</v>
      </c>
      <c r="D922">
        <v>0.91911608022318791</v>
      </c>
      <c r="E922">
        <v>-0.95282917186523264</v>
      </c>
      <c r="I922">
        <v>0.56406427487812916</v>
      </c>
      <c r="J922">
        <v>15</v>
      </c>
      <c r="K922">
        <v>-0.11722469632028758</v>
      </c>
      <c r="L922">
        <v>11.342800500965204</v>
      </c>
      <c r="M922">
        <v>15</v>
      </c>
      <c r="N922">
        <v>-1.4284330552527535</v>
      </c>
      <c r="O922">
        <v>162.70225983939255</v>
      </c>
      <c r="P922" s="1">
        <f t="shared" si="70"/>
        <v>6.2158950121556344</v>
      </c>
      <c r="Q922" s="1">
        <f t="shared" si="71"/>
        <v>0.82878600162075122</v>
      </c>
      <c r="R922" s="1">
        <f t="shared" si="72"/>
        <v>0.91037684593840107</v>
      </c>
      <c r="S922" s="1">
        <f t="shared" si="73"/>
        <v>1.4402918580172088</v>
      </c>
      <c r="T922" s="56">
        <f t="shared" si="74"/>
        <v>0.91956314035494191</v>
      </c>
    </row>
    <row r="923" spans="1:20" x14ac:dyDescent="0.25">
      <c r="A923">
        <v>0.91982934434883257</v>
      </c>
      <c r="B923">
        <v>6.0822458181064576E-3</v>
      </c>
      <c r="D923">
        <v>0.9224525098454337</v>
      </c>
      <c r="E923">
        <v>0.97172073424189875</v>
      </c>
      <c r="I923">
        <v>0.23299567991683823</v>
      </c>
      <c r="J923">
        <v>15</v>
      </c>
      <c r="K923">
        <v>0.25650463915856864</v>
      </c>
      <c r="L923">
        <v>12.221346250823897</v>
      </c>
      <c r="M923">
        <v>15</v>
      </c>
      <c r="N923">
        <v>-1.107467145402552</v>
      </c>
      <c r="O923">
        <v>172.32142381686165</v>
      </c>
      <c r="P923" s="1">
        <f t="shared" si="70"/>
        <v>6.5908132167030553</v>
      </c>
      <c r="Q923" s="1">
        <f t="shared" si="71"/>
        <v>0.87877509556040734</v>
      </c>
      <c r="R923" s="1">
        <f t="shared" si="72"/>
        <v>0.93743004835582655</v>
      </c>
      <c r="S923" s="1">
        <f t="shared" si="73"/>
        <v>1.4550118026976118</v>
      </c>
      <c r="T923" s="56">
        <f t="shared" si="74"/>
        <v>0.92160686146945225</v>
      </c>
    </row>
    <row r="924" spans="1:20" x14ac:dyDescent="0.25">
      <c r="A924">
        <v>0.92105416044365385</v>
      </c>
      <c r="B924">
        <v>1.2345799405011348</v>
      </c>
      <c r="D924">
        <v>0.92260462968568235</v>
      </c>
      <c r="E924">
        <v>-0.6799125492307212</v>
      </c>
      <c r="I924">
        <v>0.14997166215338675</v>
      </c>
      <c r="J924">
        <v>15</v>
      </c>
      <c r="K924">
        <v>0.23700969601729108</v>
      </c>
      <c r="L924">
        <v>6.6784732349082621</v>
      </c>
      <c r="M924">
        <v>15</v>
      </c>
      <c r="N924">
        <v>-0.95826658593978209</v>
      </c>
      <c r="O924">
        <v>131.71029853478609</v>
      </c>
      <c r="P924" s="1">
        <f t="shared" si="70"/>
        <v>4.9424561346319411</v>
      </c>
      <c r="Q924" s="1">
        <f t="shared" si="71"/>
        <v>0.65899415128425876</v>
      </c>
      <c r="R924" s="1">
        <f t="shared" si="72"/>
        <v>0.81178454733029914</v>
      </c>
      <c r="S924" s="1">
        <f t="shared" si="73"/>
        <v>1.4724058075359481</v>
      </c>
      <c r="T924" s="56">
        <f t="shared" si="74"/>
        <v>0.92396811728765726</v>
      </c>
    </row>
    <row r="925" spans="1:20" x14ac:dyDescent="0.25">
      <c r="A925">
        <v>0.92376739458623403</v>
      </c>
      <c r="B925">
        <v>0.13114913599565625</v>
      </c>
      <c r="D925">
        <v>0.92298155464576226</v>
      </c>
      <c r="E925">
        <v>6.8569654524708312</v>
      </c>
      <c r="I925">
        <v>0.83648283826687087</v>
      </c>
      <c r="J925">
        <v>15</v>
      </c>
      <c r="K925">
        <v>-0.42244929924587876</v>
      </c>
      <c r="L925">
        <v>9.4485535354793573</v>
      </c>
      <c r="M925">
        <v>15</v>
      </c>
      <c r="N925">
        <v>-1.4487138776075881</v>
      </c>
      <c r="O925">
        <v>92.335366993293576</v>
      </c>
      <c r="P925" s="1">
        <f t="shared" si="70"/>
        <v>3.6351400188847478</v>
      </c>
      <c r="Q925" s="1">
        <f t="shared" si="71"/>
        <v>0.48468533585129969</v>
      </c>
      <c r="R925" s="1">
        <f t="shared" si="72"/>
        <v>0.69619346151145356</v>
      </c>
      <c r="S925" s="1">
        <f t="shared" si="73"/>
        <v>1.4741083263460462</v>
      </c>
      <c r="T925" s="56">
        <f t="shared" si="74"/>
        <v>0.92419613741131323</v>
      </c>
    </row>
    <row r="926" spans="1:20" x14ac:dyDescent="0.25">
      <c r="A926">
        <v>0.92482499059189505</v>
      </c>
      <c r="B926">
        <v>1.1230372365389485</v>
      </c>
      <c r="D926">
        <v>0.92307804016363304</v>
      </c>
      <c r="E926">
        <v>-0.51040888479292335</v>
      </c>
      <c r="I926">
        <v>0.91864430315458578</v>
      </c>
      <c r="J926">
        <v>15</v>
      </c>
      <c r="K926">
        <v>0.18947033216439499</v>
      </c>
      <c r="L926">
        <v>12.013635319272453</v>
      </c>
      <c r="M926">
        <v>15</v>
      </c>
      <c r="N926">
        <v>-0.95994323942250048</v>
      </c>
      <c r="O926">
        <v>115.08298632366323</v>
      </c>
      <c r="P926" s="1">
        <f t="shared" si="70"/>
        <v>4.5391650586762742</v>
      </c>
      <c r="Q926" s="1">
        <f t="shared" si="71"/>
        <v>0.60522200782350322</v>
      </c>
      <c r="R926" s="1">
        <f t="shared" si="72"/>
        <v>0.77796015824944609</v>
      </c>
      <c r="S926" s="1">
        <f t="shared" si="73"/>
        <v>1.4774709982234668</v>
      </c>
      <c r="T926" s="56">
        <f t="shared" si="74"/>
        <v>0.92464489026863816</v>
      </c>
    </row>
    <row r="927" spans="1:20" x14ac:dyDescent="0.25">
      <c r="A927">
        <v>0.92585471727858004</v>
      </c>
      <c r="B927">
        <v>-0.1142689143307507</v>
      </c>
      <c r="D927">
        <v>0.92360956068788502</v>
      </c>
      <c r="E927">
        <v>5.3009109672075283</v>
      </c>
      <c r="I927">
        <v>0.37440113679379339</v>
      </c>
      <c r="J927">
        <v>15</v>
      </c>
      <c r="K927">
        <v>-9.3415640852375262E-2</v>
      </c>
      <c r="L927">
        <v>11.345215175256637</v>
      </c>
      <c r="M927">
        <v>15</v>
      </c>
      <c r="N927">
        <v>-1.3394658287779748</v>
      </c>
      <c r="O927">
        <v>137.91607661228292</v>
      </c>
      <c r="P927" s="1">
        <f t="shared" si="70"/>
        <v>5.3307604209835562</v>
      </c>
      <c r="Q927" s="1">
        <f t="shared" si="71"/>
        <v>0.7107680561311408</v>
      </c>
      <c r="R927" s="1">
        <f t="shared" si="72"/>
        <v>0.84307061159261198</v>
      </c>
      <c r="S927" s="1">
        <f t="shared" si="73"/>
        <v>1.4779903021073579</v>
      </c>
      <c r="T927" s="56">
        <f t="shared" si="74"/>
        <v>0.92471400138729931</v>
      </c>
    </row>
    <row r="928" spans="1:20" x14ac:dyDescent="0.25">
      <c r="A928">
        <v>0.9266016539111549</v>
      </c>
      <c r="B928">
        <v>0.11095835361629725</v>
      </c>
      <c r="D928">
        <v>0.92478884398651673</v>
      </c>
      <c r="E928">
        <v>6.545372567643426</v>
      </c>
      <c r="I928">
        <v>0.87689894442532867</v>
      </c>
      <c r="J928">
        <v>15</v>
      </c>
      <c r="K928">
        <v>0.38442052148942213</v>
      </c>
      <c r="L928">
        <v>14.44648730045061</v>
      </c>
      <c r="M928">
        <v>15</v>
      </c>
      <c r="N928">
        <v>-0.49767345785767247</v>
      </c>
      <c r="O928">
        <v>57.897546089909312</v>
      </c>
      <c r="P928" s="1">
        <f t="shared" si="70"/>
        <v>2.5837154782271403</v>
      </c>
      <c r="Q928" s="1">
        <f t="shared" si="71"/>
        <v>0.34449539709695204</v>
      </c>
      <c r="R928" s="1">
        <f t="shared" si="72"/>
        <v>0.58693730252638743</v>
      </c>
      <c r="S928" s="1">
        <f t="shared" si="73"/>
        <v>1.5028759895652355</v>
      </c>
      <c r="T928" s="56">
        <f t="shared" si="74"/>
        <v>0.92796658591981918</v>
      </c>
    </row>
    <row r="929" spans="1:20" x14ac:dyDescent="0.25">
      <c r="A929">
        <v>0.92743787492988072</v>
      </c>
      <c r="B929">
        <v>-1.0010921869252343</v>
      </c>
      <c r="D929">
        <v>0.92631140801954093</v>
      </c>
      <c r="E929">
        <v>-3.0284006732017588</v>
      </c>
      <c r="I929">
        <v>0.13450602529560285</v>
      </c>
      <c r="J929">
        <v>15</v>
      </c>
      <c r="K929">
        <v>0.2256138789865266</v>
      </c>
      <c r="L929">
        <v>12.813779364861702</v>
      </c>
      <c r="M929">
        <v>15</v>
      </c>
      <c r="N929">
        <v>-0.90323715426166018</v>
      </c>
      <c r="O929">
        <v>105.64951227769076</v>
      </c>
      <c r="P929" s="1">
        <f t="shared" si="70"/>
        <v>4.2308318443768735</v>
      </c>
      <c r="Q929" s="1">
        <f t="shared" si="71"/>
        <v>0.56411091258358315</v>
      </c>
      <c r="R929" s="1">
        <f t="shared" si="72"/>
        <v>0.75107317392087913</v>
      </c>
      <c r="S929" s="1">
        <f t="shared" si="73"/>
        <v>1.5029840932211276</v>
      </c>
      <c r="T929" s="56">
        <f t="shared" si="74"/>
        <v>0.92798046356253494</v>
      </c>
    </row>
    <row r="930" spans="1:20" x14ac:dyDescent="0.25">
      <c r="A930">
        <v>0.92922574202595154</v>
      </c>
      <c r="B930">
        <v>-1.253656591870822</v>
      </c>
      <c r="D930">
        <v>0.92631239967830603</v>
      </c>
      <c r="E930">
        <v>0.65210610614485631</v>
      </c>
      <c r="I930">
        <v>0.89196478416802349</v>
      </c>
      <c r="J930">
        <v>15</v>
      </c>
      <c r="K930">
        <v>6.1248177492719456E-2</v>
      </c>
      <c r="L930">
        <v>8.732436853067572</v>
      </c>
      <c r="M930">
        <v>15</v>
      </c>
      <c r="N930">
        <v>-1.3295948554059578</v>
      </c>
      <c r="O930">
        <v>168.85400340057322</v>
      </c>
      <c r="P930" s="1">
        <f t="shared" si="70"/>
        <v>6.3423728662014573</v>
      </c>
      <c r="Q930" s="1">
        <f t="shared" si="71"/>
        <v>0.84564971549352763</v>
      </c>
      <c r="R930" s="1">
        <f t="shared" si="72"/>
        <v>0.91959214627655861</v>
      </c>
      <c r="S930" s="1">
        <f t="shared" si="73"/>
        <v>1.5124564063864834</v>
      </c>
      <c r="T930" s="56">
        <f t="shared" si="74"/>
        <v>0.92918809054374352</v>
      </c>
    </row>
    <row r="931" spans="1:20" x14ac:dyDescent="0.25">
      <c r="A931">
        <v>0.92937107303837441</v>
      </c>
      <c r="B931">
        <v>1.2461373444239143</v>
      </c>
      <c r="D931">
        <v>0.92810231890164885</v>
      </c>
      <c r="E931">
        <v>1.1637071077075234</v>
      </c>
      <c r="I931">
        <v>0.48243238058404969</v>
      </c>
      <c r="J931">
        <v>15</v>
      </c>
      <c r="K931">
        <v>-0.27781993594544474</v>
      </c>
      <c r="L931">
        <v>14.325554541915068</v>
      </c>
      <c r="M931">
        <v>15</v>
      </c>
      <c r="N931">
        <v>-1.5744401514439232</v>
      </c>
      <c r="O931">
        <v>139.98977063454035</v>
      </c>
      <c r="P931" s="1">
        <f t="shared" si="70"/>
        <v>5.5112616134448364</v>
      </c>
      <c r="Q931" s="1">
        <f t="shared" si="71"/>
        <v>0.73483488179264489</v>
      </c>
      <c r="R931" s="1">
        <f t="shared" si="72"/>
        <v>0.85722510567099286</v>
      </c>
      <c r="S931" s="1">
        <f t="shared" si="73"/>
        <v>1.512578442839176</v>
      </c>
      <c r="T931" s="56">
        <f t="shared" si="74"/>
        <v>0.92920354135011507</v>
      </c>
    </row>
    <row r="932" spans="1:20" x14ac:dyDescent="0.25">
      <c r="A932">
        <v>0.92984218392313545</v>
      </c>
      <c r="B932">
        <v>3.7455265555763617E-2</v>
      </c>
      <c r="D932">
        <v>0.9284474077064806</v>
      </c>
      <c r="E932">
        <v>1.1298500305656489</v>
      </c>
      <c r="I932">
        <v>0.45620783991581204</v>
      </c>
      <c r="J932">
        <v>15</v>
      </c>
      <c r="K932">
        <v>0.39701346092139528</v>
      </c>
      <c r="L932">
        <v>14.518331220954916</v>
      </c>
      <c r="M932">
        <v>15</v>
      </c>
      <c r="N932">
        <v>-1.2749465020078787</v>
      </c>
      <c r="O932">
        <v>238.8434553248934</v>
      </c>
      <c r="P932" s="1">
        <f t="shared" si="70"/>
        <v>9.0486352337802973</v>
      </c>
      <c r="Q932" s="1">
        <f t="shared" si="71"/>
        <v>1.2064846978373729</v>
      </c>
      <c r="R932" s="1">
        <f t="shared" si="72"/>
        <v>1.0984009731593345</v>
      </c>
      <c r="S932" s="1">
        <f t="shared" si="73"/>
        <v>1.52217633067113</v>
      </c>
      <c r="T932" s="56">
        <f t="shared" si="74"/>
        <v>0.93041018370560336</v>
      </c>
    </row>
    <row r="933" spans="1:20" x14ac:dyDescent="0.25">
      <c r="A933">
        <v>0.92991105937491658</v>
      </c>
      <c r="B933">
        <v>-0.16906028577068355</v>
      </c>
      <c r="D933">
        <v>0.93031149109103561</v>
      </c>
      <c r="E933">
        <v>4.6518591682342958</v>
      </c>
      <c r="I933">
        <v>0.16708528908803622</v>
      </c>
      <c r="J933">
        <v>15</v>
      </c>
      <c r="K933">
        <v>-0.25910912881954573</v>
      </c>
      <c r="L933">
        <v>13.644417834384296</v>
      </c>
      <c r="M933">
        <v>15</v>
      </c>
      <c r="N933">
        <v>-1.0224091545296687</v>
      </c>
      <c r="O933">
        <v>37.659089123995187</v>
      </c>
      <c r="P933" s="1">
        <f t="shared" si="70"/>
        <v>1.8322681056564103</v>
      </c>
      <c r="Q933" s="1">
        <f t="shared" si="71"/>
        <v>0.24430241408752137</v>
      </c>
      <c r="R933" s="1">
        <f t="shared" si="72"/>
        <v>0.49426957633210783</v>
      </c>
      <c r="S933" s="1">
        <f t="shared" si="73"/>
        <v>1.5442990268072847</v>
      </c>
      <c r="T933" s="56">
        <f t="shared" si="74"/>
        <v>0.93312789840350441</v>
      </c>
    </row>
    <row r="934" spans="1:20" x14ac:dyDescent="0.25">
      <c r="A934">
        <v>0.93223513424872995</v>
      </c>
      <c r="B934">
        <v>-1.413404788763728</v>
      </c>
      <c r="D934">
        <v>0.93167802602215266</v>
      </c>
      <c r="E934">
        <v>-7.1232414063615579</v>
      </c>
      <c r="I934">
        <v>0.89657778304668501</v>
      </c>
      <c r="J934">
        <v>15</v>
      </c>
      <c r="K934">
        <v>0.38620055420324206</v>
      </c>
      <c r="L934">
        <v>7.6815892092666909</v>
      </c>
      <c r="M934">
        <v>15</v>
      </c>
      <c r="N934">
        <v>-0.88885281343209499</v>
      </c>
      <c r="O934">
        <v>133.10487298636144</v>
      </c>
      <c r="P934" s="1">
        <f t="shared" si="70"/>
        <v>5.0280879355581476</v>
      </c>
      <c r="Q934" s="1">
        <f t="shared" si="71"/>
        <v>0.67041172474108635</v>
      </c>
      <c r="R934" s="1">
        <f t="shared" si="72"/>
        <v>0.81878673947560143</v>
      </c>
      <c r="S934" s="1">
        <f t="shared" si="73"/>
        <v>1.5572472124450321</v>
      </c>
      <c r="T934" s="56">
        <f t="shared" si="74"/>
        <v>0.93467798691469561</v>
      </c>
    </row>
    <row r="935" spans="1:20" x14ac:dyDescent="0.25">
      <c r="A935">
        <v>0.93308037555157242</v>
      </c>
      <c r="B935">
        <v>0.98356849775882438</v>
      </c>
      <c r="D935">
        <v>0.93246894570056293</v>
      </c>
      <c r="E935">
        <v>-2.5915021558375884</v>
      </c>
      <c r="I935">
        <v>0.50024128393596778</v>
      </c>
      <c r="J935">
        <v>15</v>
      </c>
      <c r="K935">
        <v>0.1943747823437055</v>
      </c>
      <c r="L935">
        <v>38.628618472516926</v>
      </c>
      <c r="M935">
        <v>15</v>
      </c>
      <c r="N935">
        <v>-1.1398067306345183</v>
      </c>
      <c r="O935">
        <v>113.63818748232808</v>
      </c>
      <c r="P935" s="1">
        <f t="shared" si="70"/>
        <v>5.438100212673036</v>
      </c>
      <c r="Q935" s="1">
        <f t="shared" si="71"/>
        <v>0.72508002835640484</v>
      </c>
      <c r="R935" s="1">
        <f t="shared" si="72"/>
        <v>0.85151631126855398</v>
      </c>
      <c r="S935" s="1">
        <f t="shared" si="73"/>
        <v>1.5668302477854064</v>
      </c>
      <c r="T935" s="56">
        <f t="shared" si="74"/>
        <v>0.93580619705530377</v>
      </c>
    </row>
    <row r="936" spans="1:20" x14ac:dyDescent="0.25">
      <c r="A936">
        <v>0.93466739628558637</v>
      </c>
      <c r="B936">
        <v>-0.51242182053101715</v>
      </c>
      <c r="D936">
        <v>0.93249183648690348</v>
      </c>
      <c r="E936">
        <v>1.8502039404211246</v>
      </c>
      <c r="I936">
        <v>0.2119460960765972</v>
      </c>
      <c r="J936">
        <v>15</v>
      </c>
      <c r="K936">
        <v>-0.17476069539649566</v>
      </c>
      <c r="L936">
        <v>17.459419109155249</v>
      </c>
      <c r="M936">
        <v>15</v>
      </c>
      <c r="N936">
        <v>-1.4863317153412936</v>
      </c>
      <c r="O936">
        <v>124.91405519736892</v>
      </c>
      <c r="P936" s="1">
        <f t="shared" si="70"/>
        <v>5.0847669395187207</v>
      </c>
      <c r="Q936" s="1">
        <f t="shared" si="71"/>
        <v>0.67796892526916275</v>
      </c>
      <c r="R936" s="1">
        <f t="shared" si="72"/>
        <v>0.82338868420033728</v>
      </c>
      <c r="S936" s="1">
        <f t="shared" si="73"/>
        <v>1.5928941520717836</v>
      </c>
      <c r="T936" s="56">
        <f t="shared" si="74"/>
        <v>0.93879410852980627</v>
      </c>
    </row>
    <row r="937" spans="1:20" x14ac:dyDescent="0.25">
      <c r="A937">
        <v>0.9364649229162898</v>
      </c>
      <c r="B937">
        <v>0.24551809474360198</v>
      </c>
      <c r="D937">
        <v>0.93379498344755296</v>
      </c>
      <c r="E937">
        <v>-1.728441706063677</v>
      </c>
      <c r="I937">
        <v>0.72772213414156839</v>
      </c>
      <c r="J937">
        <v>15</v>
      </c>
      <c r="K937">
        <v>-2.2254122692781191E-2</v>
      </c>
      <c r="L937">
        <v>12.394573534048467</v>
      </c>
      <c r="M937">
        <v>15</v>
      </c>
      <c r="N937">
        <v>-1.6238364003129391</v>
      </c>
      <c r="O937">
        <v>199.7626984103274</v>
      </c>
      <c r="P937" s="1">
        <f t="shared" si="70"/>
        <v>7.5770454265848528</v>
      </c>
      <c r="Q937" s="1">
        <f t="shared" si="71"/>
        <v>1.0102727235446469</v>
      </c>
      <c r="R937" s="1">
        <f t="shared" si="72"/>
        <v>1.0051232379885797</v>
      </c>
      <c r="S937" s="1">
        <f t="shared" si="73"/>
        <v>1.59341881382147</v>
      </c>
      <c r="T937" s="56">
        <f t="shared" si="74"/>
        <v>0.93885305870855895</v>
      </c>
    </row>
    <row r="938" spans="1:20" x14ac:dyDescent="0.25">
      <c r="A938">
        <v>0.93707520869355054</v>
      </c>
      <c r="B938">
        <v>-0.68680947151733562</v>
      </c>
      <c r="D938">
        <v>0.9350235877639077</v>
      </c>
      <c r="E938">
        <v>-0.65274707935714105</v>
      </c>
      <c r="I938">
        <v>0.15777367345000115</v>
      </c>
      <c r="J938">
        <v>15</v>
      </c>
      <c r="K938">
        <v>1.5508779445857121E-2</v>
      </c>
      <c r="L938">
        <v>5.5340578509247358</v>
      </c>
      <c r="M938">
        <v>15</v>
      </c>
      <c r="N938">
        <v>-1.2279706459139561</v>
      </c>
      <c r="O938">
        <v>122.05625812697922</v>
      </c>
      <c r="P938" s="1">
        <f t="shared" si="70"/>
        <v>4.5567969992108557</v>
      </c>
      <c r="Q938" s="1">
        <f t="shared" si="71"/>
        <v>0.60757293322811412</v>
      </c>
      <c r="R938" s="1">
        <f t="shared" si="72"/>
        <v>0.7794696486894882</v>
      </c>
      <c r="S938" s="1">
        <f t="shared" si="73"/>
        <v>1.5952890884853033</v>
      </c>
      <c r="T938" s="56">
        <f t="shared" si="74"/>
        <v>0.93906281942557812</v>
      </c>
    </row>
    <row r="939" spans="1:20" x14ac:dyDescent="0.25">
      <c r="A939">
        <v>0.93984613545076356</v>
      </c>
      <c r="B939">
        <v>0.94472625278285705</v>
      </c>
      <c r="D939">
        <v>0.93596749063735329</v>
      </c>
      <c r="E939">
        <v>0.10407643117105181</v>
      </c>
      <c r="I939">
        <v>0.391993486151896</v>
      </c>
      <c r="J939">
        <v>15</v>
      </c>
      <c r="K939">
        <v>-0.33772630558814853</v>
      </c>
      <c r="L939">
        <v>12.979271590077241</v>
      </c>
      <c r="M939">
        <v>15</v>
      </c>
      <c r="N939">
        <v>-1.7425577459562192</v>
      </c>
      <c r="O939">
        <v>146.24830194942953</v>
      </c>
      <c r="P939" s="1">
        <f t="shared" si="70"/>
        <v>5.6866990549823848</v>
      </c>
      <c r="Q939" s="1">
        <f t="shared" si="71"/>
        <v>0.75822654066431794</v>
      </c>
      <c r="R939" s="1">
        <f t="shared" si="72"/>
        <v>0.87076204594844275</v>
      </c>
      <c r="S939" s="1">
        <f t="shared" si="73"/>
        <v>1.6133356373358168</v>
      </c>
      <c r="T939" s="56">
        <f t="shared" si="74"/>
        <v>0.94105650900657256</v>
      </c>
    </row>
    <row r="940" spans="1:20" x14ac:dyDescent="0.25">
      <c r="A940">
        <v>0.94316045608263077</v>
      </c>
      <c r="B940">
        <v>0.64404275690321811</v>
      </c>
      <c r="D940">
        <v>0.93652482068410092</v>
      </c>
      <c r="E940">
        <v>-3.7819397709881741</v>
      </c>
      <c r="I940">
        <v>0.16683174597010075</v>
      </c>
      <c r="J940">
        <v>15</v>
      </c>
      <c r="K940">
        <v>-0.17586224506279299</v>
      </c>
      <c r="L940">
        <v>9.2476639023896965</v>
      </c>
      <c r="M940">
        <v>15</v>
      </c>
      <c r="N940">
        <v>-1.2458438084195222</v>
      </c>
      <c r="O940">
        <v>81.936579599278872</v>
      </c>
      <c r="P940" s="1">
        <f t="shared" si="70"/>
        <v>3.2565801250595916</v>
      </c>
      <c r="Q940" s="1">
        <f t="shared" si="71"/>
        <v>0.43421068334127888</v>
      </c>
      <c r="R940" s="1">
        <f t="shared" si="72"/>
        <v>0.65894664680934445</v>
      </c>
      <c r="S940" s="1">
        <f t="shared" si="73"/>
        <v>1.6237757161943813</v>
      </c>
      <c r="T940" s="56">
        <f t="shared" si="74"/>
        <v>0.94218503989963498</v>
      </c>
    </row>
    <row r="941" spans="1:20" x14ac:dyDescent="0.25">
      <c r="A941">
        <v>0.94380781587739893</v>
      </c>
      <c r="B941">
        <v>-3.2066600397229195</v>
      </c>
      <c r="D941">
        <v>0.93747536097199968</v>
      </c>
      <c r="E941">
        <v>3.3737962860413973</v>
      </c>
      <c r="I941">
        <v>0.25860932560519789</v>
      </c>
      <c r="J941">
        <v>15</v>
      </c>
      <c r="K941">
        <v>0.37891125733343262</v>
      </c>
      <c r="L941">
        <v>7.3439619466543089</v>
      </c>
      <c r="M941">
        <v>15</v>
      </c>
      <c r="N941">
        <v>-1.2927014302022144</v>
      </c>
      <c r="O941">
        <v>214.28936380621994</v>
      </c>
      <c r="P941" s="1">
        <f t="shared" si="70"/>
        <v>7.9154759197455089</v>
      </c>
      <c r="Q941" s="1">
        <f t="shared" si="71"/>
        <v>1.0553967892994012</v>
      </c>
      <c r="R941" s="1">
        <f t="shared" si="72"/>
        <v>1.027325065059449</v>
      </c>
      <c r="S941" s="1">
        <f t="shared" si="73"/>
        <v>1.6271506890946095</v>
      </c>
      <c r="T941" s="56">
        <f t="shared" si="74"/>
        <v>0.94254600932363353</v>
      </c>
    </row>
    <row r="942" spans="1:20" x14ac:dyDescent="0.25">
      <c r="A942">
        <v>0.94490748640556965</v>
      </c>
      <c r="B942">
        <v>1.6524018064956181</v>
      </c>
      <c r="D942">
        <v>0.93773468745963673</v>
      </c>
      <c r="E942">
        <v>-4.8793087933063362</v>
      </c>
      <c r="I942">
        <v>0.47881179643483907</v>
      </c>
      <c r="J942">
        <v>15</v>
      </c>
      <c r="K942">
        <v>0.14199781617207918</v>
      </c>
      <c r="L942">
        <v>22.531474734553377</v>
      </c>
      <c r="M942">
        <v>15</v>
      </c>
      <c r="N942">
        <v>-0.94522716040046362</v>
      </c>
      <c r="O942">
        <v>70.551663648758193</v>
      </c>
      <c r="P942" s="1">
        <f t="shared" si="70"/>
        <v>3.3243977994039846</v>
      </c>
      <c r="Q942" s="1">
        <f t="shared" si="71"/>
        <v>0.44325303992053128</v>
      </c>
      <c r="R942" s="1">
        <f t="shared" si="72"/>
        <v>0.66577251364150747</v>
      </c>
      <c r="S942" s="1">
        <f t="shared" si="73"/>
        <v>1.633027729886084</v>
      </c>
      <c r="T942" s="56">
        <f t="shared" si="74"/>
        <v>0.94317012520921539</v>
      </c>
    </row>
    <row r="943" spans="1:20" x14ac:dyDescent="0.25">
      <c r="A943">
        <v>0.94685708772118815</v>
      </c>
      <c r="B943">
        <v>4.7408548198291101E-2</v>
      </c>
      <c r="D943">
        <v>0.93840076277726037</v>
      </c>
      <c r="E943">
        <v>1.1592153407491423</v>
      </c>
      <c r="I943">
        <v>0.44951493518646979</v>
      </c>
      <c r="J943">
        <v>15</v>
      </c>
      <c r="K943">
        <v>0.3550600619443382</v>
      </c>
      <c r="L943">
        <v>23.478651722633256</v>
      </c>
      <c r="M943">
        <v>15</v>
      </c>
      <c r="N943">
        <v>-1.1501852020501246</v>
      </c>
      <c r="O943">
        <v>154.64442747200246</v>
      </c>
      <c r="P943" s="1">
        <f t="shared" si="70"/>
        <v>6.3615385426655617</v>
      </c>
      <c r="Q943" s="1">
        <f t="shared" si="71"/>
        <v>0.84820513902207484</v>
      </c>
      <c r="R943" s="1">
        <f t="shared" si="72"/>
        <v>0.92098053129372659</v>
      </c>
      <c r="S943" s="1">
        <f t="shared" si="73"/>
        <v>1.6343942275088092</v>
      </c>
      <c r="T943" s="56">
        <f t="shared" si="74"/>
        <v>0.94331443202699261</v>
      </c>
    </row>
    <row r="944" spans="1:20" x14ac:dyDescent="0.25">
      <c r="A944">
        <v>0.94741708254426604</v>
      </c>
      <c r="B944">
        <v>0.11842757885460742</v>
      </c>
      <c r="D944">
        <v>0.94166259232888383</v>
      </c>
      <c r="E944">
        <v>-1.2481943974762544</v>
      </c>
      <c r="I944">
        <v>0.23528698625761024</v>
      </c>
      <c r="J944">
        <v>15</v>
      </c>
      <c r="K944">
        <v>-0.20316891398882339</v>
      </c>
      <c r="L944">
        <v>15.735841606117397</v>
      </c>
      <c r="M944">
        <v>15</v>
      </c>
      <c r="N944">
        <v>-1.3740539122863993</v>
      </c>
      <c r="O944">
        <v>90.314632768565147</v>
      </c>
      <c r="P944" s="1">
        <f t="shared" si="70"/>
        <v>3.7875169419529482</v>
      </c>
      <c r="Q944" s="1">
        <f t="shared" si="71"/>
        <v>0.50500225892705974</v>
      </c>
      <c r="R944" s="1">
        <f t="shared" si="72"/>
        <v>0.71063510955135034</v>
      </c>
      <c r="S944" s="1">
        <f t="shared" si="73"/>
        <v>1.6476599348388485</v>
      </c>
      <c r="T944" s="56">
        <f t="shared" si="74"/>
        <v>0.94469957964279194</v>
      </c>
    </row>
    <row r="945" spans="1:20" x14ac:dyDescent="0.25">
      <c r="A945">
        <v>0.94830988091786272</v>
      </c>
      <c r="B945">
        <v>-1.0922394722001627</v>
      </c>
      <c r="D945">
        <v>0.94178609657544055</v>
      </c>
      <c r="E945">
        <v>-0.35546168305700121</v>
      </c>
      <c r="I945">
        <v>0.92399144192555405</v>
      </c>
      <c r="J945">
        <v>15</v>
      </c>
      <c r="K945">
        <v>-0.24459139543372052</v>
      </c>
      <c r="L945">
        <v>9.5274826731686471</v>
      </c>
      <c r="M945">
        <v>15</v>
      </c>
      <c r="N945">
        <v>-1.7565589621426625</v>
      </c>
      <c r="O945">
        <v>166.51958588365656</v>
      </c>
      <c r="P945" s="1">
        <f t="shared" si="70"/>
        <v>6.2873953056009002</v>
      </c>
      <c r="Q945" s="1">
        <f t="shared" si="71"/>
        <v>0.83831937408012003</v>
      </c>
      <c r="R945" s="1">
        <f t="shared" si="72"/>
        <v>0.91559782332644279</v>
      </c>
      <c r="S945" s="1">
        <f t="shared" si="73"/>
        <v>1.6513446495709641</v>
      </c>
      <c r="T945" s="56">
        <f t="shared" si="74"/>
        <v>0.94507928400377506</v>
      </c>
    </row>
    <row r="946" spans="1:20" x14ac:dyDescent="0.25">
      <c r="A946">
        <v>0.9491066118662741</v>
      </c>
      <c r="B946">
        <v>0.12752366274071392</v>
      </c>
      <c r="D946">
        <v>0.94738488986251479</v>
      </c>
      <c r="E946">
        <v>-5.6875403549838666</v>
      </c>
      <c r="I946">
        <v>0.96769583528154401</v>
      </c>
      <c r="J946">
        <v>15</v>
      </c>
      <c r="K946">
        <v>2.6267874394155417E-2</v>
      </c>
      <c r="L946">
        <v>18.361559012133981</v>
      </c>
      <c r="M946">
        <v>15</v>
      </c>
      <c r="N946">
        <v>-1.5489524719214387</v>
      </c>
      <c r="O946">
        <v>170.63969718197814</v>
      </c>
      <c r="P946" s="1">
        <f t="shared" si="70"/>
        <v>6.7500448640754325</v>
      </c>
      <c r="Q946" s="1">
        <f t="shared" si="71"/>
        <v>0.90000598187672431</v>
      </c>
      <c r="R946" s="1">
        <f t="shared" si="72"/>
        <v>0.94868645077113034</v>
      </c>
      <c r="S946" s="1">
        <f t="shared" si="73"/>
        <v>1.6604225189842143</v>
      </c>
      <c r="T946" s="56">
        <f t="shared" si="74"/>
        <v>0.94600548568423082</v>
      </c>
    </row>
    <row r="947" spans="1:20" x14ac:dyDescent="0.25">
      <c r="A947">
        <v>0.94927034865713356</v>
      </c>
      <c r="B947">
        <v>1.4986062524258159</v>
      </c>
      <c r="D947">
        <v>0.9477149865125799</v>
      </c>
      <c r="E947">
        <v>-3.2303153182056121</v>
      </c>
      <c r="I947">
        <v>9.6692250448339956E-2</v>
      </c>
      <c r="J947">
        <v>15</v>
      </c>
      <c r="K947">
        <v>8.2726576996113479E-2</v>
      </c>
      <c r="L947">
        <v>11.191041078673594</v>
      </c>
      <c r="M947">
        <v>15</v>
      </c>
      <c r="N947">
        <v>-1.48894355675111</v>
      </c>
      <c r="O947">
        <v>175.85378287410725</v>
      </c>
      <c r="P947" s="1">
        <f t="shared" si="70"/>
        <v>6.6801722840278881</v>
      </c>
      <c r="Q947" s="1">
        <f t="shared" si="71"/>
        <v>0.89068963787038502</v>
      </c>
      <c r="R947" s="1">
        <f t="shared" si="72"/>
        <v>0.94376354976783516</v>
      </c>
      <c r="S947" s="1">
        <f t="shared" si="73"/>
        <v>1.6653219274402498</v>
      </c>
      <c r="T947" s="56">
        <f t="shared" si="74"/>
        <v>0.94649992646061998</v>
      </c>
    </row>
    <row r="948" spans="1:20" x14ac:dyDescent="0.25">
      <c r="A948">
        <v>0.94947532096878684</v>
      </c>
      <c r="B948">
        <v>0.55824330047471449</v>
      </c>
      <c r="D948">
        <v>0.94824755556171347</v>
      </c>
      <c r="E948">
        <v>-0.28267595894249098</v>
      </c>
      <c r="I948">
        <v>0.18997410371269907</v>
      </c>
      <c r="J948">
        <v>15</v>
      </c>
      <c r="K948">
        <v>0.26397378860565368</v>
      </c>
      <c r="L948">
        <v>24.211873301792973</v>
      </c>
      <c r="M948">
        <v>15</v>
      </c>
      <c r="N948">
        <v>-1.2518844448550226</v>
      </c>
      <c r="O948">
        <v>148.74540867845153</v>
      </c>
      <c r="P948" s="1">
        <f t="shared" si="70"/>
        <v>6.1770457850087315</v>
      </c>
      <c r="Q948" s="1">
        <f t="shared" si="71"/>
        <v>0.8236061046678308</v>
      </c>
      <c r="R948" s="1">
        <f t="shared" si="72"/>
        <v>0.9075274677208568</v>
      </c>
      <c r="S948" s="1">
        <f t="shared" si="73"/>
        <v>1.6703166431618506</v>
      </c>
      <c r="T948" s="56">
        <f t="shared" si="74"/>
        <v>0.94700008727669893</v>
      </c>
    </row>
    <row r="949" spans="1:20" x14ac:dyDescent="0.25">
      <c r="A949">
        <v>0.95017015224905621</v>
      </c>
      <c r="B949">
        <v>-2.3113534552976489</v>
      </c>
      <c r="D949">
        <v>0.94942026676453628</v>
      </c>
      <c r="E949">
        <v>-2.6098784962869104</v>
      </c>
      <c r="I949">
        <v>0.5305252428956988</v>
      </c>
      <c r="J949">
        <v>15</v>
      </c>
      <c r="K949">
        <v>-9.7002612164942548E-2</v>
      </c>
      <c r="L949">
        <v>12.563940619220459</v>
      </c>
      <c r="M949">
        <v>15</v>
      </c>
      <c r="N949">
        <v>-1.5433706755629828</v>
      </c>
      <c r="O949">
        <v>144.41460514988219</v>
      </c>
      <c r="P949" s="1">
        <f t="shared" si="70"/>
        <v>5.6063766346108093</v>
      </c>
      <c r="Q949" s="1">
        <f t="shared" si="71"/>
        <v>0.74751688461477461</v>
      </c>
      <c r="R949" s="1">
        <f t="shared" si="72"/>
        <v>0.86459058785923326</v>
      </c>
      <c r="S949" s="1">
        <f t="shared" si="73"/>
        <v>1.6728936027158419</v>
      </c>
      <c r="T949" s="56">
        <f t="shared" si="74"/>
        <v>0.94725660659063815</v>
      </c>
    </row>
    <row r="950" spans="1:20" x14ac:dyDescent="0.25">
      <c r="A950">
        <v>0.95022921082935652</v>
      </c>
      <c r="B950">
        <v>4.1435441744397394E-2</v>
      </c>
      <c r="D950">
        <v>0.94965231313100218</v>
      </c>
      <c r="E950">
        <v>2.7918788384795334</v>
      </c>
      <c r="I950">
        <v>0.59587559989977956</v>
      </c>
      <c r="J950">
        <v>15</v>
      </c>
      <c r="K950">
        <v>-1.8598863486355793E-2</v>
      </c>
      <c r="L950">
        <v>9.1175561236793659</v>
      </c>
      <c r="M950">
        <v>15</v>
      </c>
      <c r="N950">
        <v>-1.1283327728506265</v>
      </c>
      <c r="O950">
        <v>81.436493361526203</v>
      </c>
      <c r="P950" s="1">
        <f t="shared" si="70"/>
        <v>3.2340731959001987</v>
      </c>
      <c r="Q950" s="1">
        <f t="shared" si="71"/>
        <v>0.43120975945335982</v>
      </c>
      <c r="R950" s="1">
        <f t="shared" si="72"/>
        <v>0.65666563748483131</v>
      </c>
      <c r="S950" s="1">
        <f t="shared" si="73"/>
        <v>1.6899527644156727</v>
      </c>
      <c r="T950" s="56">
        <f t="shared" si="74"/>
        <v>0.948928661955868</v>
      </c>
    </row>
    <row r="951" spans="1:20" x14ac:dyDescent="0.25">
      <c r="A951">
        <v>0.95397823135818949</v>
      </c>
      <c r="B951">
        <v>-2.4119071895256639</v>
      </c>
      <c r="D951">
        <v>0.94970916809384032</v>
      </c>
      <c r="E951">
        <v>-1.9965834815138805</v>
      </c>
      <c r="I951">
        <v>0.34726220493149385</v>
      </c>
      <c r="J951">
        <v>15</v>
      </c>
      <c r="K951">
        <v>2.1245796233415604E-3</v>
      </c>
      <c r="L951">
        <v>9.796962873462709</v>
      </c>
      <c r="M951">
        <v>15</v>
      </c>
      <c r="N951">
        <v>-1.2079594887381973</v>
      </c>
      <c r="O951">
        <v>97.293295489392264</v>
      </c>
      <c r="P951" s="1">
        <f t="shared" si="70"/>
        <v>3.8246520843876772</v>
      </c>
      <c r="Q951" s="1">
        <f t="shared" si="71"/>
        <v>0.50995361125169025</v>
      </c>
      <c r="R951" s="1">
        <f t="shared" si="72"/>
        <v>0.7141103634955106</v>
      </c>
      <c r="S951" s="1">
        <f t="shared" si="73"/>
        <v>1.6945336886560201</v>
      </c>
      <c r="T951" s="56">
        <f t="shared" si="74"/>
        <v>0.94937001413796018</v>
      </c>
    </row>
    <row r="952" spans="1:20" x14ac:dyDescent="0.25">
      <c r="A952">
        <v>0.95604697561519181</v>
      </c>
      <c r="B952">
        <v>1.860125848907046</v>
      </c>
      <c r="D952">
        <v>0.95018693227828532</v>
      </c>
      <c r="E952">
        <v>0.78771176617919991</v>
      </c>
      <c r="I952">
        <v>0.3642173131631522</v>
      </c>
      <c r="J952">
        <v>15</v>
      </c>
      <c r="K952">
        <v>-0.2799891566003983</v>
      </c>
      <c r="L952">
        <v>9.596264592649554</v>
      </c>
      <c r="M952">
        <v>15</v>
      </c>
      <c r="N952">
        <v>-1.9524404740423051</v>
      </c>
      <c r="O952">
        <v>193.62981738654145</v>
      </c>
      <c r="P952" s="1">
        <f t="shared" si="70"/>
        <v>7.2580743563996792</v>
      </c>
      <c r="Q952" s="1">
        <f t="shared" si="71"/>
        <v>0.96774324751995722</v>
      </c>
      <c r="R952" s="1">
        <f t="shared" si="72"/>
        <v>0.98373942053775465</v>
      </c>
      <c r="S952" s="1">
        <f t="shared" si="73"/>
        <v>1.7000958612878119</v>
      </c>
      <c r="T952" s="56">
        <f t="shared" si="74"/>
        <v>0.94990159643696426</v>
      </c>
    </row>
    <row r="953" spans="1:20" x14ac:dyDescent="0.25">
      <c r="A953">
        <v>0.95673461558331452</v>
      </c>
      <c r="B953">
        <v>1.8311402527615428</v>
      </c>
      <c r="D953">
        <v>0.95145067759318713</v>
      </c>
      <c r="E953">
        <v>0.80540598560219223</v>
      </c>
      <c r="I953">
        <v>0.72008292951707442</v>
      </c>
      <c r="J953">
        <v>15</v>
      </c>
      <c r="K953">
        <v>-0.13475179609182911</v>
      </c>
      <c r="L953">
        <v>14.250775458504902</v>
      </c>
      <c r="M953">
        <v>15</v>
      </c>
      <c r="N953">
        <v>-1.4937211324195232</v>
      </c>
      <c r="O953">
        <v>119.12423878641094</v>
      </c>
      <c r="P953" s="1">
        <f t="shared" si="70"/>
        <v>4.7633933658898515</v>
      </c>
      <c r="Q953" s="1">
        <f t="shared" si="71"/>
        <v>0.63511911545198019</v>
      </c>
      <c r="R953" s="1">
        <f t="shared" si="72"/>
        <v>0.79694360870263603</v>
      </c>
      <c r="S953" s="1">
        <f t="shared" si="73"/>
        <v>1.705226469586717</v>
      </c>
      <c r="T953" s="56">
        <f t="shared" si="74"/>
        <v>0.95038776744316456</v>
      </c>
    </row>
    <row r="954" spans="1:20" x14ac:dyDescent="0.25">
      <c r="A954">
        <v>0.9612718182129929</v>
      </c>
      <c r="B954">
        <v>-0.49808022595243528</v>
      </c>
      <c r="D954">
        <v>0.95200967580219886</v>
      </c>
      <c r="E954">
        <v>-0.37022278206677584</v>
      </c>
      <c r="I954">
        <v>4.1729046670216929E-2</v>
      </c>
      <c r="J954">
        <v>15</v>
      </c>
      <c r="K954">
        <v>0.42008476460371941</v>
      </c>
      <c r="L954">
        <v>12.584549599191849</v>
      </c>
      <c r="M954">
        <v>15</v>
      </c>
      <c r="N954">
        <v>-0.99373119496704021</v>
      </c>
      <c r="O954">
        <v>130.63623977525688</v>
      </c>
      <c r="P954" s="1">
        <f t="shared" si="70"/>
        <v>5.1150281919445977</v>
      </c>
      <c r="Q954" s="1">
        <f t="shared" si="71"/>
        <v>0.68200375892594634</v>
      </c>
      <c r="R954" s="1">
        <f t="shared" si="72"/>
        <v>0.8258351887186367</v>
      </c>
      <c r="S954" s="1">
        <f t="shared" si="73"/>
        <v>1.7119831885154131</v>
      </c>
      <c r="T954" s="56">
        <f t="shared" si="74"/>
        <v>0.95102196692969188</v>
      </c>
    </row>
    <row r="955" spans="1:20" x14ac:dyDescent="0.25">
      <c r="A955">
        <v>0.96408982890950157</v>
      </c>
      <c r="B955">
        <v>1.1774363883887418</v>
      </c>
      <c r="D955">
        <v>0.95373826987771626</v>
      </c>
      <c r="E955">
        <v>-5.7334334576353285</v>
      </c>
      <c r="I955">
        <v>0.1614164385409752</v>
      </c>
      <c r="J955">
        <v>15</v>
      </c>
      <c r="K955">
        <v>1.7682623365544714E-2</v>
      </c>
      <c r="L955">
        <v>16.516305837984461</v>
      </c>
      <c r="M955">
        <v>15</v>
      </c>
      <c r="N955">
        <v>-1.4599584153529577</v>
      </c>
      <c r="O955">
        <v>137.50294220571078</v>
      </c>
      <c r="P955" s="1">
        <f t="shared" si="70"/>
        <v>5.5006874301319737</v>
      </c>
      <c r="Q955" s="1">
        <f t="shared" si="71"/>
        <v>0.73342499068426315</v>
      </c>
      <c r="R955" s="1">
        <f t="shared" si="72"/>
        <v>0.85640235326875602</v>
      </c>
      <c r="S955" s="1">
        <f t="shared" si="73"/>
        <v>1.7254051592438693</v>
      </c>
      <c r="T955" s="56">
        <f t="shared" si="74"/>
        <v>0.95226153983723794</v>
      </c>
    </row>
    <row r="956" spans="1:20" x14ac:dyDescent="0.25">
      <c r="A956">
        <v>0.96632220037345862</v>
      </c>
      <c r="B956">
        <v>2.1689174900529906E-2</v>
      </c>
      <c r="D956">
        <v>0.95477365634784839</v>
      </c>
      <c r="E956">
        <v>2.3588922852013638</v>
      </c>
      <c r="I956">
        <v>0.99217483219926739</v>
      </c>
      <c r="J956">
        <v>15</v>
      </c>
      <c r="K956">
        <v>-3.8650417385118395E-2</v>
      </c>
      <c r="L956">
        <v>15.295466545606793</v>
      </c>
      <c r="M956">
        <v>15</v>
      </c>
      <c r="N956">
        <v>-1.389068987691644</v>
      </c>
      <c r="O956">
        <v>112.98720741974276</v>
      </c>
      <c r="P956" s="1">
        <f t="shared" si="70"/>
        <v>4.5815240701910556</v>
      </c>
      <c r="Q956" s="1">
        <f t="shared" si="71"/>
        <v>0.61086987602547405</v>
      </c>
      <c r="R956" s="1">
        <f t="shared" si="72"/>
        <v>0.78158165026148996</v>
      </c>
      <c r="S956" s="1">
        <f t="shared" si="73"/>
        <v>1.7278022966055084</v>
      </c>
      <c r="T956" s="56">
        <f t="shared" si="74"/>
        <v>0.95248011532575405</v>
      </c>
    </row>
    <row r="957" spans="1:20" x14ac:dyDescent="0.25">
      <c r="A957">
        <v>0.9667829477769101</v>
      </c>
      <c r="B957">
        <v>0.30055161914788187</v>
      </c>
      <c r="D957">
        <v>0.95489034403549311</v>
      </c>
      <c r="E957">
        <v>-8.5805598928345717E-2</v>
      </c>
      <c r="I957">
        <v>0.8645769152996835</v>
      </c>
      <c r="J957">
        <v>15</v>
      </c>
      <c r="K957">
        <v>-0.41979349892547663</v>
      </c>
      <c r="L957">
        <v>20.186182367882488</v>
      </c>
      <c r="M957">
        <v>15</v>
      </c>
      <c r="N957">
        <v>-1.6381088732941862</v>
      </c>
      <c r="O957">
        <v>84.219793692257085</v>
      </c>
      <c r="P957" s="1">
        <f t="shared" si="70"/>
        <v>3.7287848592906991</v>
      </c>
      <c r="Q957" s="1">
        <f t="shared" si="71"/>
        <v>0.49717131457209324</v>
      </c>
      <c r="R957" s="1">
        <f t="shared" si="72"/>
        <v>0.70510376156427734</v>
      </c>
      <c r="S957" s="1">
        <f t="shared" si="73"/>
        <v>1.7278526094739148</v>
      </c>
      <c r="T957" s="56">
        <f t="shared" si="74"/>
        <v>0.9524846938786844</v>
      </c>
    </row>
    <row r="958" spans="1:20" x14ac:dyDescent="0.25">
      <c r="A958">
        <v>0.96727601146476905</v>
      </c>
      <c r="B958">
        <v>1.5908790373941883</v>
      </c>
      <c r="D958">
        <v>0.95741949147570615</v>
      </c>
      <c r="E958">
        <v>-1.7668553516614338</v>
      </c>
      <c r="I958">
        <v>3.450645915393491E-2</v>
      </c>
      <c r="J958">
        <v>15</v>
      </c>
      <c r="K958">
        <v>0.47982985051930882</v>
      </c>
      <c r="L958">
        <v>15.789675551035781</v>
      </c>
      <c r="M958">
        <v>15</v>
      </c>
      <c r="N958">
        <v>-1.1262823170454794</v>
      </c>
      <c r="O958">
        <v>165.36728019176783</v>
      </c>
      <c r="P958" s="1">
        <f t="shared" si="70"/>
        <v>6.4698912765287</v>
      </c>
      <c r="Q958" s="1">
        <f t="shared" si="71"/>
        <v>0.86265217020382667</v>
      </c>
      <c r="R958" s="1">
        <f t="shared" si="72"/>
        <v>0.92879070312090584</v>
      </c>
      <c r="S958" s="1">
        <f t="shared" si="73"/>
        <v>1.7292509089162489</v>
      </c>
      <c r="T958" s="56">
        <f t="shared" si="74"/>
        <v>0.95261179244209671</v>
      </c>
    </row>
    <row r="959" spans="1:20" x14ac:dyDescent="0.25">
      <c r="A959">
        <v>0.96925541391132808</v>
      </c>
      <c r="B959">
        <v>4.1359271563123912E-2</v>
      </c>
      <c r="D959">
        <v>0.95746140651436551</v>
      </c>
      <c r="E959">
        <v>-4.2701065046912845</v>
      </c>
      <c r="I959">
        <v>0.91490283235176051</v>
      </c>
      <c r="J959">
        <v>15</v>
      </c>
      <c r="K959">
        <v>0.39322731026913971</v>
      </c>
      <c r="L959">
        <v>22.730178653664353</v>
      </c>
      <c r="M959">
        <v>15</v>
      </c>
      <c r="N959">
        <v>-0.80052064163282921</v>
      </c>
      <c r="O959">
        <v>77.208950178525811</v>
      </c>
      <c r="P959" s="1">
        <f t="shared" si="70"/>
        <v>3.5692546011496487</v>
      </c>
      <c r="Q959" s="1">
        <f t="shared" si="71"/>
        <v>0.47590061348661983</v>
      </c>
      <c r="R959" s="1">
        <f t="shared" si="72"/>
        <v>0.68985550188906941</v>
      </c>
      <c r="S959" s="1">
        <f t="shared" si="73"/>
        <v>1.730431878318087</v>
      </c>
      <c r="T959" s="56">
        <f t="shared" si="74"/>
        <v>0.9527189129906769</v>
      </c>
    </row>
    <row r="960" spans="1:20" x14ac:dyDescent="0.25">
      <c r="A960">
        <v>0.97026792434282794</v>
      </c>
      <c r="B960">
        <v>0.1425769369234331</v>
      </c>
      <c r="D960">
        <v>0.95747413587791075</v>
      </c>
      <c r="E960">
        <v>-4.7545352151701081</v>
      </c>
      <c r="I960">
        <v>0.77126273815627366</v>
      </c>
      <c r="J960">
        <v>15</v>
      </c>
      <c r="K960">
        <v>4.3615727918222547E-2</v>
      </c>
      <c r="L960">
        <v>11.667608639965586</v>
      </c>
      <c r="M960">
        <v>15</v>
      </c>
      <c r="N960">
        <v>-1.4616462101457728</v>
      </c>
      <c r="O960">
        <v>145.70034997115707</v>
      </c>
      <c r="P960" s="1">
        <f t="shared" si="70"/>
        <v>5.6202842361115231</v>
      </c>
      <c r="Q960" s="1">
        <f t="shared" si="71"/>
        <v>0.74937123148153639</v>
      </c>
      <c r="R960" s="1">
        <f t="shared" si="72"/>
        <v>0.86566230799402166</v>
      </c>
      <c r="S960" s="1">
        <f t="shared" si="73"/>
        <v>1.7388558149795184</v>
      </c>
      <c r="T960" s="56">
        <f t="shared" si="74"/>
        <v>0.95347709218333521</v>
      </c>
    </row>
    <row r="961" spans="1:20" x14ac:dyDescent="0.25">
      <c r="A961">
        <v>0.9709840939308565</v>
      </c>
      <c r="B961">
        <v>0.8589040589868091</v>
      </c>
      <c r="D961">
        <v>0.95768767315772485</v>
      </c>
      <c r="E961">
        <v>-6.2107271821787435</v>
      </c>
      <c r="I961">
        <v>0.82149702211916242</v>
      </c>
      <c r="J961">
        <v>15</v>
      </c>
      <c r="K961">
        <v>0.43761034855075803</v>
      </c>
      <c r="L961">
        <v>9.384344454582962</v>
      </c>
      <c r="M961">
        <v>15</v>
      </c>
      <c r="N961">
        <v>-1.1019087685326667</v>
      </c>
      <c r="O961">
        <v>150.91639469677872</v>
      </c>
      <c r="P961" s="1">
        <f t="shared" si="70"/>
        <v>5.7250263982629175</v>
      </c>
      <c r="Q961" s="1">
        <f t="shared" si="71"/>
        <v>0.76333685310172228</v>
      </c>
      <c r="R961" s="1">
        <f t="shared" si="72"/>
        <v>0.8736915091161882</v>
      </c>
      <c r="S961" s="1">
        <f t="shared" si="73"/>
        <v>1.7620854741289369</v>
      </c>
      <c r="T961" s="56">
        <f t="shared" si="74"/>
        <v>0.95551471802008614</v>
      </c>
    </row>
    <row r="962" spans="1:20" x14ac:dyDescent="0.25">
      <c r="A962">
        <v>0.97312892077662871</v>
      </c>
      <c r="B962">
        <v>-0.14203692444425542</v>
      </c>
      <c r="D962">
        <v>0.95793351460565512</v>
      </c>
      <c r="E962">
        <v>-5.425278462780625</v>
      </c>
      <c r="I962">
        <v>0.43740294063454443</v>
      </c>
      <c r="J962">
        <v>15</v>
      </c>
      <c r="K962">
        <v>0.27086214989443153</v>
      </c>
      <c r="L962">
        <v>11.925308117613865</v>
      </c>
      <c r="M962">
        <v>15</v>
      </c>
      <c r="N962">
        <v>-0.88735010081109067</v>
      </c>
      <c r="O962">
        <v>78.048921783696798</v>
      </c>
      <c r="P962" s="1">
        <f t="shared" ref="P962:P1001" si="75">(L962+O962)/(J962+M962-2)</f>
        <v>3.2133653536182378</v>
      </c>
      <c r="Q962" s="1">
        <f t="shared" ref="Q962:Q1001" si="76">P962*(2/15)</f>
        <v>0.42844871381576505</v>
      </c>
      <c r="R962" s="1">
        <f t="shared" ref="R962:R1001" si="77">SQRT(Q962)</f>
        <v>0.65455993905506094</v>
      </c>
      <c r="S962" s="1">
        <f t="shared" ref="S962:S1001" si="78">(K962-N962)/R962</f>
        <v>1.769451782181394</v>
      </c>
      <c r="T962" s="56">
        <f t="shared" ref="T962:T1001" si="79">_xlfn.T.DIST(S962,28,TRUE)</f>
        <v>0.95614483268093342</v>
      </c>
    </row>
    <row r="963" spans="1:20" x14ac:dyDescent="0.25">
      <c r="A963">
        <v>0.97391823365547647</v>
      </c>
      <c r="B963">
        <v>-0.76046944741392508</v>
      </c>
      <c r="D963">
        <v>0.95808040116625903</v>
      </c>
      <c r="E963">
        <v>-0.10186954909841006</v>
      </c>
      <c r="I963">
        <v>0.59727280650981796</v>
      </c>
      <c r="J963">
        <v>15</v>
      </c>
      <c r="K963">
        <v>0.22036768617302491</v>
      </c>
      <c r="L963">
        <v>10.980126860812895</v>
      </c>
      <c r="M963">
        <v>15</v>
      </c>
      <c r="N963">
        <v>-1.3752096526786772</v>
      </c>
      <c r="O963">
        <v>159.30018882227586</v>
      </c>
      <c r="P963" s="1">
        <f t="shared" si="75"/>
        <v>6.0814398458245984</v>
      </c>
      <c r="Q963" s="1">
        <f t="shared" si="76"/>
        <v>0.8108586461099464</v>
      </c>
      <c r="R963" s="1">
        <f t="shared" si="77"/>
        <v>0.90047689926502084</v>
      </c>
      <c r="S963" s="1">
        <f t="shared" si="78"/>
        <v>1.7719247880251341</v>
      </c>
      <c r="T963" s="56">
        <f t="shared" si="79"/>
        <v>0.95635466544364289</v>
      </c>
    </row>
    <row r="964" spans="1:20" x14ac:dyDescent="0.25">
      <c r="A964">
        <v>0.97619783080370148</v>
      </c>
      <c r="B964">
        <v>-0.50120092964789364</v>
      </c>
      <c r="D964">
        <v>0.95924728171094831</v>
      </c>
      <c r="E964">
        <v>-4.9333600634327013</v>
      </c>
      <c r="I964">
        <v>2.9735734314885409E-2</v>
      </c>
      <c r="J964">
        <v>15</v>
      </c>
      <c r="K964">
        <v>-0.14678933742591957</v>
      </c>
      <c r="L964">
        <v>13.041358596545523</v>
      </c>
      <c r="M964">
        <v>15</v>
      </c>
      <c r="N964">
        <v>-1.4094478081005946</v>
      </c>
      <c r="O964">
        <v>92.871770182590751</v>
      </c>
      <c r="P964" s="1">
        <f t="shared" si="75"/>
        <v>3.7826117421120098</v>
      </c>
      <c r="Q964" s="1">
        <f t="shared" si="76"/>
        <v>0.50434823228160131</v>
      </c>
      <c r="R964" s="1">
        <f t="shared" si="77"/>
        <v>0.71017478995075667</v>
      </c>
      <c r="S964" s="1">
        <f t="shared" si="78"/>
        <v>1.777954509990741</v>
      </c>
      <c r="T964" s="56">
        <f t="shared" si="79"/>
        <v>0.95686270617363944</v>
      </c>
    </row>
    <row r="965" spans="1:20" x14ac:dyDescent="0.25">
      <c r="A965">
        <v>0.97692454677279716</v>
      </c>
      <c r="B965">
        <v>-0.78002358350204304</v>
      </c>
      <c r="D965">
        <v>0.96043803489114543</v>
      </c>
      <c r="E965">
        <v>1.1889558174971171</v>
      </c>
      <c r="I965">
        <v>0.44341441170373019</v>
      </c>
      <c r="J965">
        <v>15</v>
      </c>
      <c r="K965">
        <v>-0.12050486475345679</v>
      </c>
      <c r="L965">
        <v>6.0464934201226601</v>
      </c>
      <c r="M965">
        <v>15</v>
      </c>
      <c r="N965">
        <v>-1.7555560168602824</v>
      </c>
      <c r="O965">
        <v>166.81448536173249</v>
      </c>
      <c r="P965" s="1">
        <f t="shared" si="75"/>
        <v>6.1736063850662557</v>
      </c>
      <c r="Q965" s="1">
        <f t="shared" si="76"/>
        <v>0.82314751800883412</v>
      </c>
      <c r="R965" s="1">
        <f t="shared" si="77"/>
        <v>0.90727477536236734</v>
      </c>
      <c r="S965" s="1">
        <f t="shared" si="78"/>
        <v>1.8021565202821637</v>
      </c>
      <c r="T965" s="56">
        <f t="shared" si="79"/>
        <v>0.9588514940673819</v>
      </c>
    </row>
    <row r="966" spans="1:20" x14ac:dyDescent="0.25">
      <c r="A966">
        <v>0.97712054224068401</v>
      </c>
      <c r="B966">
        <v>0.64206801653199363</v>
      </c>
      <c r="D966">
        <v>0.96094744051295522</v>
      </c>
      <c r="E966">
        <v>-1.9412736980939371</v>
      </c>
      <c r="I966">
        <v>0.68006877254950404</v>
      </c>
      <c r="J966">
        <v>15</v>
      </c>
      <c r="K966">
        <v>0.68264906379530055</v>
      </c>
      <c r="L966">
        <v>9.8671929918580403</v>
      </c>
      <c r="M966">
        <v>15</v>
      </c>
      <c r="N966">
        <v>-0.56652448051863757</v>
      </c>
      <c r="O966">
        <v>89.967868330821446</v>
      </c>
      <c r="P966" s="1">
        <f t="shared" si="75"/>
        <v>3.5655379043814102</v>
      </c>
      <c r="Q966" s="1">
        <f t="shared" si="76"/>
        <v>0.47540505391752136</v>
      </c>
      <c r="R966" s="1">
        <f t="shared" si="77"/>
        <v>0.68949623198210541</v>
      </c>
      <c r="S966" s="1">
        <f t="shared" si="78"/>
        <v>1.8117191746253927</v>
      </c>
      <c r="T966" s="56">
        <f t="shared" si="79"/>
        <v>0.95961542556309809</v>
      </c>
    </row>
    <row r="967" spans="1:20" x14ac:dyDescent="0.25">
      <c r="A967">
        <v>0.97775756230992339</v>
      </c>
      <c r="B967">
        <v>0.32046045816969126</v>
      </c>
      <c r="D967">
        <v>0.96147241178193021</v>
      </c>
      <c r="E967">
        <v>3.2535519915199984</v>
      </c>
      <c r="I967">
        <v>0.76218501058710886</v>
      </c>
      <c r="J967">
        <v>15</v>
      </c>
      <c r="K967">
        <v>-4.7176702840564154E-2</v>
      </c>
      <c r="L967">
        <v>6.1697601834073703</v>
      </c>
      <c r="M967">
        <v>15</v>
      </c>
      <c r="N967">
        <v>-1.7133338621988514</v>
      </c>
      <c r="O967">
        <v>167.73419401620046</v>
      </c>
      <c r="P967" s="1">
        <f t="shared" si="75"/>
        <v>6.2108555071288505</v>
      </c>
      <c r="Q967" s="1">
        <f t="shared" si="76"/>
        <v>0.82811406761718009</v>
      </c>
      <c r="R967" s="1">
        <f t="shared" si="77"/>
        <v>0.91000772942716268</v>
      </c>
      <c r="S967" s="1">
        <f t="shared" si="78"/>
        <v>1.8309263816990986</v>
      </c>
      <c r="T967" s="56">
        <f t="shared" si="79"/>
        <v>0.96111320296607017</v>
      </c>
    </row>
    <row r="968" spans="1:20" x14ac:dyDescent="0.25">
      <c r="A968">
        <v>0.97783583679815489</v>
      </c>
      <c r="B968">
        <v>-0.16146032066899352</v>
      </c>
      <c r="D968">
        <v>0.96169068109766354</v>
      </c>
      <c r="E968">
        <v>1.1867014075050974</v>
      </c>
      <c r="I968">
        <v>0.47427804078542735</v>
      </c>
      <c r="J968">
        <v>15</v>
      </c>
      <c r="K968">
        <v>0.51338656703592278</v>
      </c>
      <c r="L968">
        <v>20.009152303158633</v>
      </c>
      <c r="M968">
        <v>15</v>
      </c>
      <c r="N968">
        <v>-1.1366853448180336</v>
      </c>
      <c r="O968">
        <v>149.14616868398488</v>
      </c>
      <c r="P968" s="1">
        <f t="shared" si="75"/>
        <v>6.0412614638265536</v>
      </c>
      <c r="Q968" s="1">
        <f t="shared" si="76"/>
        <v>0.80550152851020718</v>
      </c>
      <c r="R968" s="1">
        <f t="shared" si="77"/>
        <v>0.89749736963971494</v>
      </c>
      <c r="S968" s="1">
        <f t="shared" si="78"/>
        <v>1.8385256243328598</v>
      </c>
      <c r="T968" s="56">
        <f t="shared" si="79"/>
        <v>0.96169249252532052</v>
      </c>
    </row>
    <row r="969" spans="1:20" x14ac:dyDescent="0.25">
      <c r="A969">
        <v>0.97951359864534193</v>
      </c>
      <c r="B969">
        <v>-0.16277795111818705</v>
      </c>
      <c r="D969">
        <v>0.96322916657076929</v>
      </c>
      <c r="E969">
        <v>-0.2093308955863904</v>
      </c>
      <c r="I969">
        <v>0.5086903390753279</v>
      </c>
      <c r="J969">
        <v>15</v>
      </c>
      <c r="K969">
        <v>-0.18406808521831408</v>
      </c>
      <c r="L969">
        <v>8.0238362978132542</v>
      </c>
      <c r="M969">
        <v>15</v>
      </c>
      <c r="N969">
        <v>-1.3929184240168979</v>
      </c>
      <c r="O969">
        <v>79.397410669066574</v>
      </c>
      <c r="P969" s="1">
        <f t="shared" si="75"/>
        <v>3.1221873916742799</v>
      </c>
      <c r="Q969" s="1">
        <f t="shared" si="76"/>
        <v>0.41629165222323733</v>
      </c>
      <c r="R969" s="1">
        <f t="shared" si="77"/>
        <v>0.64520667403804599</v>
      </c>
      <c r="S969" s="1">
        <f t="shared" si="78"/>
        <v>1.8735862281661726</v>
      </c>
      <c r="T969" s="56">
        <f t="shared" si="79"/>
        <v>0.96427003817716994</v>
      </c>
    </row>
    <row r="970" spans="1:20" x14ac:dyDescent="0.25">
      <c r="A970">
        <v>0.98028997085671921</v>
      </c>
      <c r="B970">
        <v>0.11403813005017582</v>
      </c>
      <c r="D970">
        <v>0.96432333157319383</v>
      </c>
      <c r="E970">
        <v>-2.2263354856022488</v>
      </c>
      <c r="I970">
        <v>0.1000394301211277</v>
      </c>
      <c r="J970">
        <v>15</v>
      </c>
      <c r="K970">
        <v>0.14322434556864513</v>
      </c>
      <c r="L970">
        <v>16.934082395842211</v>
      </c>
      <c r="M970">
        <v>15</v>
      </c>
      <c r="N970">
        <v>-1.2861569337019318</v>
      </c>
      <c r="O970">
        <v>104.39115377251439</v>
      </c>
      <c r="P970" s="1">
        <f t="shared" si="75"/>
        <v>4.3330441488698783</v>
      </c>
      <c r="Q970" s="1">
        <f t="shared" si="76"/>
        <v>0.57773921984931709</v>
      </c>
      <c r="R970" s="1">
        <f t="shared" si="77"/>
        <v>0.76009158648765285</v>
      </c>
      <c r="S970" s="1">
        <f t="shared" si="78"/>
        <v>1.8805382202369585</v>
      </c>
      <c r="T970" s="56">
        <f t="shared" si="79"/>
        <v>0.9647629442540987</v>
      </c>
    </row>
    <row r="971" spans="1:20" x14ac:dyDescent="0.25">
      <c r="A971">
        <v>0.98030245827764684</v>
      </c>
      <c r="B971">
        <v>0.50319613364990801</v>
      </c>
      <c r="D971">
        <v>0.96624019286500185</v>
      </c>
      <c r="E971">
        <v>-1.2422394809163961</v>
      </c>
      <c r="I971">
        <v>0.90191885723844589</v>
      </c>
      <c r="J971">
        <v>15</v>
      </c>
      <c r="K971">
        <v>0.1147795956057962</v>
      </c>
      <c r="L971">
        <v>19.140699037877603</v>
      </c>
      <c r="M971">
        <v>15</v>
      </c>
      <c r="N971">
        <v>-1.0253213565647457</v>
      </c>
      <c r="O971">
        <v>56.347729969434589</v>
      </c>
      <c r="P971" s="1">
        <f t="shared" si="75"/>
        <v>2.6960153216897211</v>
      </c>
      <c r="Q971" s="1">
        <f t="shared" si="76"/>
        <v>0.35946870955862947</v>
      </c>
      <c r="R971" s="1">
        <f t="shared" si="77"/>
        <v>0.59955709449445216</v>
      </c>
      <c r="S971" s="1">
        <f t="shared" si="78"/>
        <v>1.901571948092579</v>
      </c>
      <c r="T971" s="56">
        <f t="shared" si="79"/>
        <v>0.96621861604423032</v>
      </c>
    </row>
    <row r="972" spans="1:20" x14ac:dyDescent="0.25">
      <c r="A972">
        <v>0.98117387610413076</v>
      </c>
      <c r="B972">
        <v>1.4564511729986407</v>
      </c>
      <c r="D972">
        <v>0.96637206540661902</v>
      </c>
      <c r="E972">
        <v>-2.1127145862465113</v>
      </c>
      <c r="I972">
        <v>0.64702097003300907</v>
      </c>
      <c r="J972">
        <v>15</v>
      </c>
      <c r="K972">
        <v>2.399375868359736E-2</v>
      </c>
      <c r="L972">
        <v>10.221203142424121</v>
      </c>
      <c r="M972">
        <v>15</v>
      </c>
      <c r="N972">
        <v>-1.2636739973004296</v>
      </c>
      <c r="O972">
        <v>84.70583223073038</v>
      </c>
      <c r="P972" s="1">
        <f t="shared" si="75"/>
        <v>3.3902512633269462</v>
      </c>
      <c r="Q972" s="1">
        <f t="shared" si="76"/>
        <v>0.45203350177692614</v>
      </c>
      <c r="R972" s="1">
        <f t="shared" si="77"/>
        <v>0.67233436754112619</v>
      </c>
      <c r="S972" s="1">
        <f t="shared" si="78"/>
        <v>1.915219298833867</v>
      </c>
      <c r="T972" s="56">
        <f t="shared" si="79"/>
        <v>0.96713496158956669</v>
      </c>
    </row>
    <row r="973" spans="1:20" x14ac:dyDescent="0.25">
      <c r="A973">
        <v>0.98180438542633774</v>
      </c>
      <c r="B973">
        <v>-0.94448751042364165</v>
      </c>
      <c r="D973">
        <v>0.96707585164920218</v>
      </c>
      <c r="E973">
        <v>3.7423189917262789</v>
      </c>
      <c r="I973">
        <v>0.9880068356777264</v>
      </c>
      <c r="J973">
        <v>15</v>
      </c>
      <c r="K973">
        <v>0.46266548755132436</v>
      </c>
      <c r="L973">
        <v>18.696526960243144</v>
      </c>
      <c r="M973">
        <v>15</v>
      </c>
      <c r="N973">
        <v>-0.89980426650981826</v>
      </c>
      <c r="O973">
        <v>85.38862396921408</v>
      </c>
      <c r="P973" s="1">
        <f t="shared" si="75"/>
        <v>3.7173268189091866</v>
      </c>
      <c r="Q973" s="1">
        <f t="shared" si="76"/>
        <v>0.4956435758545582</v>
      </c>
      <c r="R973" s="1">
        <f t="shared" si="77"/>
        <v>0.70401958485155669</v>
      </c>
      <c r="S973" s="1">
        <f t="shared" si="78"/>
        <v>1.9352725170968372</v>
      </c>
      <c r="T973" s="56">
        <f t="shared" si="79"/>
        <v>0.96844222043445427</v>
      </c>
    </row>
    <row r="974" spans="1:20" x14ac:dyDescent="0.25">
      <c r="A974">
        <v>0.98182443408361886</v>
      </c>
      <c r="B974">
        <v>0.49600430429563858</v>
      </c>
      <c r="D974">
        <v>0.96758301735256869</v>
      </c>
      <c r="E974">
        <v>-1.7795428027511662</v>
      </c>
      <c r="I974">
        <v>0.41489840095789399</v>
      </c>
      <c r="J974">
        <v>15</v>
      </c>
      <c r="K974">
        <v>0.25288841243309435</v>
      </c>
      <c r="L974">
        <v>7.1276899023335485</v>
      </c>
      <c r="M974">
        <v>15</v>
      </c>
      <c r="N974">
        <v>-1.2671096135363769</v>
      </c>
      <c r="O974">
        <v>119.0272008161119</v>
      </c>
      <c r="P974" s="1">
        <f t="shared" si="75"/>
        <v>4.5055318113730518</v>
      </c>
      <c r="Q974" s="1">
        <f t="shared" si="76"/>
        <v>0.60073757484974022</v>
      </c>
      <c r="R974" s="1">
        <f t="shared" si="77"/>
        <v>0.77507262553243372</v>
      </c>
      <c r="S974" s="1">
        <f t="shared" si="78"/>
        <v>1.9611039996739832</v>
      </c>
      <c r="T974" s="56">
        <f t="shared" si="79"/>
        <v>0.97005923567334784</v>
      </c>
    </row>
    <row r="975" spans="1:20" x14ac:dyDescent="0.25">
      <c r="A975">
        <v>0.98277720925211143</v>
      </c>
      <c r="B975">
        <v>-2.1348023437894881</v>
      </c>
      <c r="D975">
        <v>0.96816087516457938</v>
      </c>
      <c r="E975">
        <v>2.3665320406962564</v>
      </c>
      <c r="I975">
        <v>0.70709863295530484</v>
      </c>
      <c r="J975">
        <v>15</v>
      </c>
      <c r="K975">
        <v>0.27868016635087162</v>
      </c>
      <c r="L975">
        <v>14.331983845421826</v>
      </c>
      <c r="M975">
        <v>15</v>
      </c>
      <c r="N975">
        <v>-1.0293849788922671</v>
      </c>
      <c r="O975">
        <v>78.615556671337373</v>
      </c>
      <c r="P975" s="1">
        <f t="shared" si="75"/>
        <v>3.3195550184556857</v>
      </c>
      <c r="Q975" s="1">
        <f t="shared" si="76"/>
        <v>0.44260733579409139</v>
      </c>
      <c r="R975" s="1">
        <f t="shared" si="77"/>
        <v>0.66528740841390599</v>
      </c>
      <c r="S975" s="1">
        <f t="shared" si="78"/>
        <v>1.9661654928381433</v>
      </c>
      <c r="T975" s="56">
        <f t="shared" si="79"/>
        <v>0.97036745431803484</v>
      </c>
    </row>
    <row r="976" spans="1:20" x14ac:dyDescent="0.25">
      <c r="A976">
        <v>0.98280341467518095</v>
      </c>
      <c r="B976">
        <v>-0.73017190516111441</v>
      </c>
      <c r="D976">
        <v>0.96862939114549484</v>
      </c>
      <c r="E976">
        <v>-0.43419891312623804</v>
      </c>
      <c r="I976">
        <v>0.23394862391110849</v>
      </c>
      <c r="J976">
        <v>15</v>
      </c>
      <c r="K976">
        <v>0.37061052656402654</v>
      </c>
      <c r="L976">
        <v>6.1926844107320314</v>
      </c>
      <c r="M976">
        <v>15</v>
      </c>
      <c r="N976">
        <v>-0.90444132524680754</v>
      </c>
      <c r="O976">
        <v>80.855704298803715</v>
      </c>
      <c r="P976" s="1">
        <f t="shared" si="75"/>
        <v>3.1088710253405623</v>
      </c>
      <c r="Q976" s="1">
        <f t="shared" si="76"/>
        <v>0.41451613671207493</v>
      </c>
      <c r="R976" s="1">
        <f t="shared" si="77"/>
        <v>0.64382927606010187</v>
      </c>
      <c r="S976" s="1">
        <f t="shared" si="78"/>
        <v>1.9804191875422066</v>
      </c>
      <c r="T976" s="56">
        <f t="shared" si="79"/>
        <v>0.97122056285942593</v>
      </c>
    </row>
    <row r="977" spans="1:20" x14ac:dyDescent="0.25">
      <c r="A977">
        <v>0.98344388131994254</v>
      </c>
      <c r="B977">
        <v>1.2651526049012318</v>
      </c>
      <c r="D977">
        <v>0.97195250287619384</v>
      </c>
      <c r="E977">
        <v>0.85314763623500767</v>
      </c>
      <c r="I977">
        <v>0.33458965263766383</v>
      </c>
      <c r="J977">
        <v>15</v>
      </c>
      <c r="K977">
        <v>0.18864094878760321</v>
      </c>
      <c r="L977">
        <v>10.479509938172285</v>
      </c>
      <c r="M977">
        <v>15</v>
      </c>
      <c r="N977">
        <v>-1.4377608329141367</v>
      </c>
      <c r="O977">
        <v>129.65876918716293</v>
      </c>
      <c r="P977" s="1">
        <f t="shared" si="75"/>
        <v>5.0049385401905431</v>
      </c>
      <c r="Q977" s="1">
        <f t="shared" si="76"/>
        <v>0.66732513869207244</v>
      </c>
      <c r="R977" s="1">
        <f t="shared" si="77"/>
        <v>0.81689971152649599</v>
      </c>
      <c r="S977" s="1">
        <f t="shared" si="78"/>
        <v>1.9909442478105073</v>
      </c>
      <c r="T977" s="56">
        <f t="shared" si="79"/>
        <v>0.97183661888029516</v>
      </c>
    </row>
    <row r="978" spans="1:20" x14ac:dyDescent="0.25">
      <c r="A978">
        <v>0.98361246183081019</v>
      </c>
      <c r="B978">
        <v>0.34009190130745992</v>
      </c>
      <c r="D978">
        <v>0.97241216175675149</v>
      </c>
      <c r="E978">
        <v>1.7373333741943497</v>
      </c>
      <c r="I978">
        <v>0.54900496086811623</v>
      </c>
      <c r="J978">
        <v>15</v>
      </c>
      <c r="K978">
        <v>2.515412234060932E-2</v>
      </c>
      <c r="L978">
        <v>4.8073297697740287</v>
      </c>
      <c r="M978">
        <v>15</v>
      </c>
      <c r="N978">
        <v>-1.3508090466984868</v>
      </c>
      <c r="O978">
        <v>91.224958877793625</v>
      </c>
      <c r="P978" s="1">
        <f t="shared" si="75"/>
        <v>3.4297245945559878</v>
      </c>
      <c r="Q978" s="1">
        <f t="shared" si="76"/>
        <v>0.45729661260746501</v>
      </c>
      <c r="R978" s="1">
        <f t="shared" si="77"/>
        <v>0.67623709792310638</v>
      </c>
      <c r="S978" s="1">
        <f t="shared" si="78"/>
        <v>2.0347348189932553</v>
      </c>
      <c r="T978" s="56">
        <f t="shared" si="79"/>
        <v>0.97427718861754953</v>
      </c>
    </row>
    <row r="979" spans="1:20" x14ac:dyDescent="0.25">
      <c r="A979">
        <v>0.98411824881355203</v>
      </c>
      <c r="B979">
        <v>-0.63531388150295243</v>
      </c>
      <c r="D979">
        <v>0.97261402594589752</v>
      </c>
      <c r="E979">
        <v>0.33395803825442272</v>
      </c>
      <c r="I979">
        <v>0.80423288125533232</v>
      </c>
      <c r="J979">
        <v>15</v>
      </c>
      <c r="K979">
        <v>9.7841166279977188E-3</v>
      </c>
      <c r="L979">
        <v>24.109011141382759</v>
      </c>
      <c r="M979">
        <v>15</v>
      </c>
      <c r="N979">
        <v>-1.7373577099988324</v>
      </c>
      <c r="O979">
        <v>124.39434105240413</v>
      </c>
      <c r="P979" s="1">
        <f t="shared" si="75"/>
        <v>5.3036911497781034</v>
      </c>
      <c r="Q979" s="1">
        <f t="shared" si="76"/>
        <v>0.70715881997041374</v>
      </c>
      <c r="R979" s="1">
        <f t="shared" si="77"/>
        <v>0.84092735713045619</v>
      </c>
      <c r="S979" s="1">
        <f t="shared" si="78"/>
        <v>2.0776370417876531</v>
      </c>
      <c r="T979" s="56">
        <f t="shared" si="79"/>
        <v>0.97648535701645101</v>
      </c>
    </row>
    <row r="980" spans="1:20" x14ac:dyDescent="0.25">
      <c r="A980">
        <v>0.98598197829320755</v>
      </c>
      <c r="B980">
        <v>-0.33062406146200374</v>
      </c>
      <c r="D980">
        <v>0.97310857449391652</v>
      </c>
      <c r="E980">
        <v>-1.004520303240497</v>
      </c>
      <c r="I980">
        <v>0.16537335293675004</v>
      </c>
      <c r="J980">
        <v>15</v>
      </c>
      <c r="K980">
        <v>0.12481048846287497</v>
      </c>
      <c r="L980">
        <v>22.339366324337746</v>
      </c>
      <c r="M980">
        <v>15</v>
      </c>
      <c r="N980">
        <v>-1.1902727726464946</v>
      </c>
      <c r="O980">
        <v>59.105559408562428</v>
      </c>
      <c r="P980" s="1">
        <f t="shared" si="75"/>
        <v>2.9087473476035774</v>
      </c>
      <c r="Q980" s="1">
        <f t="shared" si="76"/>
        <v>0.38783297968047697</v>
      </c>
      <c r="R980" s="1">
        <f t="shared" si="77"/>
        <v>0.62276237818326585</v>
      </c>
      <c r="S980" s="1">
        <f t="shared" si="78"/>
        <v>2.1116934920599331</v>
      </c>
      <c r="T980" s="56">
        <f t="shared" si="79"/>
        <v>0.97811685938121606</v>
      </c>
    </row>
    <row r="981" spans="1:20" x14ac:dyDescent="0.25">
      <c r="A981">
        <v>0.98673993032269447</v>
      </c>
      <c r="B981">
        <v>0.43773297875304706</v>
      </c>
      <c r="D981">
        <v>0.9741753373335359</v>
      </c>
      <c r="E981">
        <v>-0.42356464632575808</v>
      </c>
      <c r="I981">
        <v>0.71495992975977674</v>
      </c>
      <c r="J981">
        <v>15</v>
      </c>
      <c r="K981">
        <v>0.275787594243108</v>
      </c>
      <c r="L981">
        <v>6.6976002915045614</v>
      </c>
      <c r="M981">
        <v>15</v>
      </c>
      <c r="N981">
        <v>-1.5408929846216779</v>
      </c>
      <c r="O981">
        <v>144.52888158250451</v>
      </c>
      <c r="P981" s="1">
        <f t="shared" si="75"/>
        <v>5.4009457812146096</v>
      </c>
      <c r="Q981" s="1">
        <f t="shared" si="76"/>
        <v>0.72012610416194789</v>
      </c>
      <c r="R981" s="1">
        <f t="shared" si="77"/>
        <v>0.84860244176053834</v>
      </c>
      <c r="S981" s="1">
        <f t="shared" si="78"/>
        <v>2.140791128406184</v>
      </c>
      <c r="T981" s="56">
        <f t="shared" si="79"/>
        <v>0.97943017571251134</v>
      </c>
    </row>
    <row r="982" spans="1:20" x14ac:dyDescent="0.25">
      <c r="A982">
        <v>0.98681737261731572</v>
      </c>
      <c r="B982">
        <v>0.8247775440395344</v>
      </c>
      <c r="D982">
        <v>0.97421472884202576</v>
      </c>
      <c r="E982">
        <v>5.1942135962690372</v>
      </c>
      <c r="I982">
        <v>4.2680333263550585E-3</v>
      </c>
      <c r="J982">
        <v>15</v>
      </c>
      <c r="K982">
        <v>0.13754644593670187</v>
      </c>
      <c r="L982">
        <v>10.934629895556553</v>
      </c>
      <c r="M982">
        <v>15</v>
      </c>
      <c r="N982">
        <v>-1.1586557809550868</v>
      </c>
      <c r="O982">
        <v>63.30537285355247</v>
      </c>
      <c r="P982" s="1">
        <f t="shared" si="75"/>
        <v>2.6514286696110365</v>
      </c>
      <c r="Q982" s="1">
        <f t="shared" si="76"/>
        <v>0.35352382261480486</v>
      </c>
      <c r="R982" s="1">
        <f t="shared" si="77"/>
        <v>0.59457869337439673</v>
      </c>
      <c r="S982" s="1">
        <f t="shared" si="78"/>
        <v>2.1800347730852692</v>
      </c>
      <c r="T982" s="56">
        <f t="shared" si="79"/>
        <v>0.98108984160168589</v>
      </c>
    </row>
    <row r="983" spans="1:20" x14ac:dyDescent="0.25">
      <c r="A983">
        <v>0.98684421654411325</v>
      </c>
      <c r="B983">
        <v>0.74584022513590753</v>
      </c>
      <c r="D983">
        <v>0.97508737931832445</v>
      </c>
      <c r="E983">
        <v>10.397773845625125</v>
      </c>
      <c r="I983">
        <v>0.36840955141126297</v>
      </c>
      <c r="J983">
        <v>15</v>
      </c>
      <c r="K983">
        <v>-6.968821253394708E-2</v>
      </c>
      <c r="L983">
        <v>21.210588834731656</v>
      </c>
      <c r="M983">
        <v>15</v>
      </c>
      <c r="N983">
        <v>-1.3735750633259158</v>
      </c>
      <c r="O983">
        <v>51.335947568893943</v>
      </c>
      <c r="P983" s="1">
        <f t="shared" si="75"/>
        <v>2.5909477287009142</v>
      </c>
      <c r="Q983" s="1">
        <f t="shared" si="76"/>
        <v>0.34545969716012187</v>
      </c>
      <c r="R983" s="1">
        <f t="shared" si="77"/>
        <v>0.5877581961658398</v>
      </c>
      <c r="S983" s="1">
        <f t="shared" si="78"/>
        <v>2.2184069219241795</v>
      </c>
      <c r="T983" s="56">
        <f t="shared" si="79"/>
        <v>0.98259553448262726</v>
      </c>
    </row>
    <row r="984" spans="1:20" x14ac:dyDescent="0.25">
      <c r="A984">
        <v>0.98698235456684869</v>
      </c>
      <c r="B984">
        <v>-0.40296754377777688</v>
      </c>
      <c r="D984">
        <v>0.97975508589204452</v>
      </c>
      <c r="E984">
        <v>-0.42333272517680598</v>
      </c>
      <c r="I984">
        <v>1.9192551414493608E-2</v>
      </c>
      <c r="J984">
        <v>15</v>
      </c>
      <c r="K984">
        <v>0.20997617866669316</v>
      </c>
      <c r="L984">
        <v>9.5976537806424549</v>
      </c>
      <c r="M984">
        <v>15</v>
      </c>
      <c r="N984">
        <v>-1.4800975839079911</v>
      </c>
      <c r="O984">
        <v>107.12593505455898</v>
      </c>
      <c r="P984" s="1">
        <f t="shared" si="75"/>
        <v>4.1686996012571944</v>
      </c>
      <c r="Q984" s="1">
        <f t="shared" si="76"/>
        <v>0.5558266135009593</v>
      </c>
      <c r="R984" s="1">
        <f t="shared" si="77"/>
        <v>0.74553780152381222</v>
      </c>
      <c r="S984" s="1">
        <f t="shared" si="78"/>
        <v>2.2669189397510432</v>
      </c>
      <c r="T984" s="56">
        <f t="shared" si="79"/>
        <v>0.98434428193148682</v>
      </c>
    </row>
    <row r="985" spans="1:20" x14ac:dyDescent="0.25">
      <c r="A985">
        <v>0.98703932011881601</v>
      </c>
      <c r="B985">
        <v>1.4437546269618906</v>
      </c>
      <c r="D985">
        <v>0.9802993311131446</v>
      </c>
      <c r="E985">
        <v>2.9610584954298247</v>
      </c>
      <c r="I985">
        <v>0.11332682736549471</v>
      </c>
      <c r="J985">
        <v>15</v>
      </c>
      <c r="K985">
        <v>0.16128061967416821</v>
      </c>
      <c r="L985">
        <v>8.7705939212063395</v>
      </c>
      <c r="M985">
        <v>15</v>
      </c>
      <c r="N985">
        <v>-1.2152909255291888</v>
      </c>
      <c r="O985">
        <v>67.985677069611</v>
      </c>
      <c r="P985" s="1">
        <f t="shared" si="75"/>
        <v>2.741295392529191</v>
      </c>
      <c r="Q985" s="1">
        <f t="shared" si="76"/>
        <v>0.36550605233722544</v>
      </c>
      <c r="R985" s="1">
        <f t="shared" si="77"/>
        <v>0.60457096550961276</v>
      </c>
      <c r="S985" s="1">
        <f t="shared" si="78"/>
        <v>2.2769395550495872</v>
      </c>
      <c r="T985" s="56">
        <f t="shared" si="79"/>
        <v>0.98468508139569155</v>
      </c>
    </row>
    <row r="986" spans="1:20" x14ac:dyDescent="0.25">
      <c r="A986">
        <v>0.98705616800151263</v>
      </c>
      <c r="B986">
        <v>-0.25538611225783825</v>
      </c>
      <c r="D986">
        <v>0.98061260863206079</v>
      </c>
      <c r="E986">
        <v>1.5862231032315321</v>
      </c>
      <c r="I986">
        <v>0.2816107830696617</v>
      </c>
      <c r="J986">
        <v>15</v>
      </c>
      <c r="K986">
        <v>-0.13398099933207655</v>
      </c>
      <c r="L986">
        <v>20.168687898910552</v>
      </c>
      <c r="M986">
        <v>15</v>
      </c>
      <c r="N986">
        <v>-2.0875556890587177</v>
      </c>
      <c r="O986">
        <v>126.73684514207834</v>
      </c>
      <c r="P986" s="1">
        <f t="shared" si="75"/>
        <v>5.2466261800353182</v>
      </c>
      <c r="Q986" s="1">
        <f t="shared" si="76"/>
        <v>0.69955015733804238</v>
      </c>
      <c r="R986" s="1">
        <f t="shared" si="77"/>
        <v>0.83639115092045446</v>
      </c>
      <c r="S986" s="1">
        <f t="shared" si="78"/>
        <v>2.3357189845644806</v>
      </c>
      <c r="T986" s="56">
        <f t="shared" si="79"/>
        <v>0.98655233057824065</v>
      </c>
    </row>
    <row r="987" spans="1:20" x14ac:dyDescent="0.25">
      <c r="A987">
        <v>0.9872356921789982</v>
      </c>
      <c r="B987">
        <v>1.6387730283895507</v>
      </c>
      <c r="D987">
        <v>0.98258141316005321</v>
      </c>
      <c r="E987">
        <v>-1.2725461181162245</v>
      </c>
      <c r="I987">
        <v>0.271221732545881</v>
      </c>
      <c r="J987">
        <v>15</v>
      </c>
      <c r="K987">
        <v>6.4790583564899862E-2</v>
      </c>
      <c r="L987">
        <v>11.442695688593558</v>
      </c>
      <c r="M987">
        <v>15</v>
      </c>
      <c r="N987">
        <v>-1.4542297356001654</v>
      </c>
      <c r="O987">
        <v>76.034709981965904</v>
      </c>
      <c r="P987" s="1">
        <f t="shared" si="75"/>
        <v>3.1241930596628378</v>
      </c>
      <c r="Q987" s="1">
        <f t="shared" si="76"/>
        <v>0.41655907462171171</v>
      </c>
      <c r="R987" s="1">
        <f t="shared" si="77"/>
        <v>0.64541387854748811</v>
      </c>
      <c r="S987" s="1">
        <f t="shared" si="78"/>
        <v>2.3535600482958925</v>
      </c>
      <c r="T987" s="56">
        <f t="shared" si="79"/>
        <v>0.98707667568771917</v>
      </c>
    </row>
    <row r="988" spans="1:20" x14ac:dyDescent="0.25">
      <c r="A988">
        <v>0.98754014235057852</v>
      </c>
      <c r="B988">
        <v>-0.32497382562723942</v>
      </c>
      <c r="D988">
        <v>0.98303939736415114</v>
      </c>
      <c r="E988">
        <v>-0.20841003220084531</v>
      </c>
      <c r="I988">
        <v>0.79900399660054922</v>
      </c>
      <c r="J988">
        <v>15</v>
      </c>
      <c r="K988">
        <v>-0.10091647103157204</v>
      </c>
      <c r="L988">
        <v>6.8843363039414864</v>
      </c>
      <c r="M988">
        <v>15</v>
      </c>
      <c r="N988">
        <v>-1.4014999612754764</v>
      </c>
      <c r="O988">
        <v>56.924738169139388</v>
      </c>
      <c r="P988" s="1">
        <f t="shared" si="75"/>
        <v>2.2788955168957457</v>
      </c>
      <c r="Q988" s="1">
        <f t="shared" si="76"/>
        <v>0.30385273558609943</v>
      </c>
      <c r="R988" s="1">
        <f t="shared" si="77"/>
        <v>0.55122838786305217</v>
      </c>
      <c r="S988" s="1">
        <f t="shared" si="78"/>
        <v>2.3594276326839374</v>
      </c>
      <c r="T988" s="56">
        <f t="shared" si="79"/>
        <v>0.98724500887360034</v>
      </c>
    </row>
    <row r="989" spans="1:20" x14ac:dyDescent="0.25">
      <c r="A989">
        <v>0.98854151217037722</v>
      </c>
      <c r="B989">
        <v>-0.90841467681457289</v>
      </c>
      <c r="D989">
        <v>0.98486820569359701</v>
      </c>
      <c r="E989">
        <v>0.42025999050565588</v>
      </c>
      <c r="I989">
        <v>3.4848186094845635E-2</v>
      </c>
      <c r="J989">
        <v>15</v>
      </c>
      <c r="K989">
        <v>0.45817076473516255</v>
      </c>
      <c r="L989">
        <v>9.819115906591426</v>
      </c>
      <c r="M989">
        <v>15</v>
      </c>
      <c r="N989">
        <v>-1.6520991755442083</v>
      </c>
      <c r="O989">
        <v>144.53392891606848</v>
      </c>
      <c r="P989" s="1">
        <f t="shared" si="75"/>
        <v>5.5126087436664255</v>
      </c>
      <c r="Q989" s="1">
        <f t="shared" si="76"/>
        <v>0.73501449915552342</v>
      </c>
      <c r="R989" s="1">
        <f t="shared" si="77"/>
        <v>0.8573298660116323</v>
      </c>
      <c r="S989" s="1">
        <f t="shared" si="78"/>
        <v>2.4614445663680389</v>
      </c>
      <c r="T989" s="56">
        <f t="shared" si="79"/>
        <v>0.98986924464288417</v>
      </c>
    </row>
    <row r="990" spans="1:20" x14ac:dyDescent="0.25">
      <c r="A990">
        <v>0.99109199299194828</v>
      </c>
      <c r="B990">
        <v>-0.86767840912216343</v>
      </c>
      <c r="D990">
        <v>0.98504945770222185</v>
      </c>
      <c r="E990">
        <v>-4.1031505622868281</v>
      </c>
      <c r="I990">
        <v>0.17208818928632308</v>
      </c>
      <c r="J990">
        <v>15</v>
      </c>
      <c r="K990">
        <v>0.16253936034142194</v>
      </c>
      <c r="L990">
        <v>15.11818696201936</v>
      </c>
      <c r="M990">
        <v>15</v>
      </c>
      <c r="N990">
        <v>-2.4374346628519561</v>
      </c>
      <c r="O990">
        <v>216.69660359777581</v>
      </c>
      <c r="P990" s="1">
        <f t="shared" si="75"/>
        <v>8.279099662849827</v>
      </c>
      <c r="Q990" s="1">
        <f t="shared" si="76"/>
        <v>1.1038799550466436</v>
      </c>
      <c r="R990" s="1">
        <f t="shared" si="77"/>
        <v>1.0506569159562238</v>
      </c>
      <c r="S990" s="1">
        <f t="shared" si="78"/>
        <v>2.4746175309064515</v>
      </c>
      <c r="T990" s="56">
        <f t="shared" si="79"/>
        <v>0.99016930690420069</v>
      </c>
    </row>
    <row r="991" spans="1:20" x14ac:dyDescent="0.25">
      <c r="A991">
        <v>0.99149430195810084</v>
      </c>
      <c r="B991">
        <v>-0.62198523664847016</v>
      </c>
      <c r="D991">
        <v>0.98546838895934963</v>
      </c>
      <c r="E991">
        <v>4.8012982426826056</v>
      </c>
      <c r="I991">
        <v>2.1180543030072552E-2</v>
      </c>
      <c r="J991">
        <v>15</v>
      </c>
      <c r="K991">
        <v>8.991870951528351E-2</v>
      </c>
      <c r="L991">
        <v>11.606488221442742</v>
      </c>
      <c r="M991">
        <v>15</v>
      </c>
      <c r="N991">
        <v>-1.6160729535386054</v>
      </c>
      <c r="O991">
        <v>83.608223403063221</v>
      </c>
      <c r="P991" s="1">
        <f t="shared" si="75"/>
        <v>3.4005254151609274</v>
      </c>
      <c r="Q991" s="1">
        <f t="shared" si="76"/>
        <v>0.45340338868812363</v>
      </c>
      <c r="R991" s="1">
        <f t="shared" si="77"/>
        <v>0.67335235106749547</v>
      </c>
      <c r="S991" s="1">
        <f t="shared" si="78"/>
        <v>2.5335794259117153</v>
      </c>
      <c r="T991" s="56">
        <f t="shared" si="79"/>
        <v>0.99141467210166268</v>
      </c>
    </row>
    <row r="992" spans="1:20" x14ac:dyDescent="0.25">
      <c r="A992">
        <v>0.9918982775558115</v>
      </c>
      <c r="B992">
        <v>-0.82005726653733291</v>
      </c>
      <c r="D992">
        <v>0.9879693767307367</v>
      </c>
      <c r="E992">
        <v>3.5297496162911557</v>
      </c>
      <c r="I992">
        <v>0.3108943982186706</v>
      </c>
      <c r="J992">
        <v>15</v>
      </c>
      <c r="K992">
        <v>0.30258343031164259</v>
      </c>
      <c r="L992">
        <v>13.529098924269064</v>
      </c>
      <c r="M992">
        <v>15</v>
      </c>
      <c r="N992">
        <v>-1.2357061257262103</v>
      </c>
      <c r="O992">
        <v>63.863562948776419</v>
      </c>
      <c r="P992" s="1">
        <f t="shared" si="75"/>
        <v>2.764023638323053</v>
      </c>
      <c r="Q992" s="1">
        <f t="shared" si="76"/>
        <v>0.36853648510974041</v>
      </c>
      <c r="R992" s="1">
        <f t="shared" si="77"/>
        <v>0.6070720592398734</v>
      </c>
      <c r="S992" s="1">
        <f t="shared" si="78"/>
        <v>2.5339488659121865</v>
      </c>
      <c r="T992" s="56">
        <f t="shared" si="79"/>
        <v>0.99142199390845798</v>
      </c>
    </row>
    <row r="993" spans="1:20" x14ac:dyDescent="0.25">
      <c r="A993">
        <v>0.9920455222155723</v>
      </c>
      <c r="B993">
        <v>0.87236912804655731</v>
      </c>
      <c r="D993">
        <v>0.99007272700953752</v>
      </c>
      <c r="E993">
        <v>2.3946797648477514</v>
      </c>
      <c r="I993">
        <v>0.6815856328311819</v>
      </c>
      <c r="J993">
        <v>15</v>
      </c>
      <c r="K993">
        <v>0.72922701595719752</v>
      </c>
      <c r="L993">
        <v>15.159620133388154</v>
      </c>
      <c r="M993">
        <v>15</v>
      </c>
      <c r="N993">
        <v>-1.4136933293684706</v>
      </c>
      <c r="O993">
        <v>133.07470255824762</v>
      </c>
      <c r="P993" s="1">
        <f t="shared" si="75"/>
        <v>5.2940829532727065</v>
      </c>
      <c r="Q993" s="1">
        <f t="shared" si="76"/>
        <v>0.70587772710302754</v>
      </c>
      <c r="R993" s="1">
        <f t="shared" si="77"/>
        <v>0.84016529748795721</v>
      </c>
      <c r="S993" s="1">
        <f t="shared" si="78"/>
        <v>2.5505937364145708</v>
      </c>
      <c r="T993" s="56">
        <f t="shared" si="79"/>
        <v>0.99174594510176917</v>
      </c>
    </row>
    <row r="994" spans="1:20" x14ac:dyDescent="0.25">
      <c r="A994">
        <v>0.99330856619504404</v>
      </c>
      <c r="B994">
        <v>-0.97997599368682131</v>
      </c>
      <c r="D994">
        <v>0.99031956673091215</v>
      </c>
      <c r="E994">
        <v>0.51210758670094947</v>
      </c>
      <c r="I994">
        <v>0.83618210964120843</v>
      </c>
      <c r="J994">
        <v>15</v>
      </c>
      <c r="K994">
        <v>0.1760681698215194</v>
      </c>
      <c r="L994">
        <v>13.373902126629893</v>
      </c>
      <c r="M994">
        <v>15</v>
      </c>
      <c r="N994">
        <v>-1.947182230424005</v>
      </c>
      <c r="O994">
        <v>125.26342997201928</v>
      </c>
      <c r="P994" s="1">
        <f t="shared" si="75"/>
        <v>4.9513332892374704</v>
      </c>
      <c r="Q994" s="1">
        <f t="shared" si="76"/>
        <v>0.66017777189832938</v>
      </c>
      <c r="R994" s="1">
        <f t="shared" si="77"/>
        <v>0.81251324413718284</v>
      </c>
      <c r="S994" s="1">
        <f t="shared" si="78"/>
        <v>2.6131886656201258</v>
      </c>
      <c r="T994" s="56">
        <f t="shared" si="79"/>
        <v>0.99286544603788363</v>
      </c>
    </row>
    <row r="995" spans="1:20" x14ac:dyDescent="0.25">
      <c r="A995">
        <v>0.99398144162520763</v>
      </c>
      <c r="B995">
        <v>0.35113657759211492</v>
      </c>
      <c r="D995">
        <v>0.9918379419179425</v>
      </c>
      <c r="E995">
        <v>-3.6127805776686728</v>
      </c>
      <c r="I995">
        <v>0.38522173546560101</v>
      </c>
      <c r="J995">
        <v>15</v>
      </c>
      <c r="K995">
        <v>0.37942322705930565</v>
      </c>
      <c r="L995">
        <v>14.2046741105771</v>
      </c>
      <c r="M995">
        <v>15</v>
      </c>
      <c r="N995">
        <v>-1.8350640436892718</v>
      </c>
      <c r="O995">
        <v>135.99144856528318</v>
      </c>
      <c r="P995" s="1">
        <f t="shared" si="75"/>
        <v>5.3641472384235813</v>
      </c>
      <c r="Q995" s="1">
        <f t="shared" si="76"/>
        <v>0.71521963178981085</v>
      </c>
      <c r="R995" s="1">
        <f t="shared" si="77"/>
        <v>0.84570658729243142</v>
      </c>
      <c r="S995" s="1">
        <f t="shared" si="78"/>
        <v>2.6185054060396529</v>
      </c>
      <c r="T995" s="56">
        <f t="shared" si="79"/>
        <v>0.9929537254064138</v>
      </c>
    </row>
    <row r="996" spans="1:20" x14ac:dyDescent="0.25">
      <c r="A996">
        <v>0.99454169145131577</v>
      </c>
      <c r="B996">
        <v>-0.79514848039252684</v>
      </c>
      <c r="D996">
        <v>0.99459413097644589</v>
      </c>
      <c r="E996">
        <v>-4.3103516452447366</v>
      </c>
      <c r="I996">
        <v>0.73762800561146014</v>
      </c>
      <c r="J996">
        <v>15</v>
      </c>
      <c r="K996">
        <v>0.44868390129219432</v>
      </c>
      <c r="L996">
        <v>15.581623916488967</v>
      </c>
      <c r="M996">
        <v>15</v>
      </c>
      <c r="N996">
        <v>-1.86044076485814</v>
      </c>
      <c r="O996">
        <v>144.27955235734905</v>
      </c>
      <c r="P996" s="1">
        <f t="shared" si="75"/>
        <v>5.7093277240656439</v>
      </c>
      <c r="Q996" s="1">
        <f t="shared" si="76"/>
        <v>0.7612436965420859</v>
      </c>
      <c r="R996" s="1">
        <f t="shared" si="77"/>
        <v>0.8724928060116518</v>
      </c>
      <c r="S996" s="1">
        <f t="shared" si="78"/>
        <v>2.6465830437110753</v>
      </c>
      <c r="T996" s="56">
        <f t="shared" si="79"/>
        <v>0.99340331336097509</v>
      </c>
    </row>
    <row r="997" spans="1:20" x14ac:dyDescent="0.25">
      <c r="A997">
        <v>0.99528657183721447</v>
      </c>
      <c r="B997">
        <v>2.0299648895161226</v>
      </c>
      <c r="D997">
        <v>0.99487048515016341</v>
      </c>
      <c r="E997">
        <v>-0.64923756667667476</v>
      </c>
      <c r="I997">
        <v>0.52278301957753559</v>
      </c>
      <c r="J997">
        <v>15</v>
      </c>
      <c r="K997">
        <v>7.8573748396593146E-2</v>
      </c>
      <c r="L997">
        <v>8.9842898634516981</v>
      </c>
      <c r="M997">
        <v>15</v>
      </c>
      <c r="N997">
        <v>-1.5510772789184557</v>
      </c>
      <c r="O997">
        <v>65.091675144173195</v>
      </c>
      <c r="P997" s="1">
        <f t="shared" si="75"/>
        <v>2.6455701788437458</v>
      </c>
      <c r="Q997" s="1">
        <f t="shared" si="76"/>
        <v>0.35274269051249946</v>
      </c>
      <c r="R997" s="1">
        <f t="shared" si="77"/>
        <v>0.59392145146685804</v>
      </c>
      <c r="S997" s="1">
        <f t="shared" si="78"/>
        <v>2.7438830897421904</v>
      </c>
      <c r="T997" s="56">
        <f t="shared" si="79"/>
        <v>0.99476268438301629</v>
      </c>
    </row>
    <row r="998" spans="1:20" x14ac:dyDescent="0.25">
      <c r="A998">
        <v>0.99540378805125707</v>
      </c>
      <c r="B998">
        <v>0.76108221946924459</v>
      </c>
      <c r="D998">
        <v>0.9950213857232818</v>
      </c>
      <c r="E998">
        <v>0.8965271229044447</v>
      </c>
      <c r="I998">
        <v>0.25982001435405688</v>
      </c>
      <c r="J998">
        <v>15</v>
      </c>
      <c r="K998">
        <v>5.4151769290911034E-2</v>
      </c>
      <c r="L998">
        <v>16.662393153583299</v>
      </c>
      <c r="M998">
        <v>15</v>
      </c>
      <c r="N998">
        <v>-1.9831920815249759</v>
      </c>
      <c r="O998">
        <v>90.080972991096303</v>
      </c>
      <c r="P998" s="1">
        <f t="shared" si="75"/>
        <v>3.8122630765956997</v>
      </c>
      <c r="Q998" s="1">
        <f t="shared" si="76"/>
        <v>0.50830174354609325</v>
      </c>
      <c r="R998" s="1">
        <f t="shared" si="77"/>
        <v>0.71295283402627219</v>
      </c>
      <c r="S998" s="1">
        <f t="shared" si="78"/>
        <v>2.8576137909577497</v>
      </c>
      <c r="T998" s="56">
        <f t="shared" si="79"/>
        <v>0.99601791716850585</v>
      </c>
    </row>
    <row r="999" spans="1:20" x14ac:dyDescent="0.25">
      <c r="A999">
        <v>0.99714051372382106</v>
      </c>
      <c r="B999">
        <v>-1.1220322448934894</v>
      </c>
      <c r="D999">
        <v>0.99693686758357636</v>
      </c>
      <c r="E999">
        <v>2.5767992576675169</v>
      </c>
      <c r="I999">
        <v>0.67484723553087211</v>
      </c>
      <c r="J999">
        <v>15</v>
      </c>
      <c r="K999">
        <v>0.72084170218052657</v>
      </c>
      <c r="L999">
        <v>10.397181408762513</v>
      </c>
      <c r="M999">
        <v>15</v>
      </c>
      <c r="N999">
        <v>-0.9720236027987994</v>
      </c>
      <c r="O999">
        <v>57.618088029708424</v>
      </c>
      <c r="P999" s="1">
        <f t="shared" si="75"/>
        <v>2.4291167656596762</v>
      </c>
      <c r="Q999" s="1">
        <f t="shared" si="76"/>
        <v>0.32388223542129013</v>
      </c>
      <c r="R999" s="1">
        <f t="shared" si="77"/>
        <v>0.5691065237908367</v>
      </c>
      <c r="S999" s="1">
        <f t="shared" si="78"/>
        <v>2.9746018262154093</v>
      </c>
      <c r="T999" s="56">
        <f t="shared" si="79"/>
        <v>0.99700944948681736</v>
      </c>
    </row>
    <row r="1000" spans="1:20" x14ac:dyDescent="0.25">
      <c r="A1000">
        <v>0.99763287125162303</v>
      </c>
      <c r="B1000">
        <v>-2.9035618354100734E-2</v>
      </c>
      <c r="D1000">
        <v>0.99798557204992633</v>
      </c>
      <c r="E1000">
        <v>2.3792979357040167</v>
      </c>
      <c r="I1000">
        <v>0.45914543778227157</v>
      </c>
      <c r="J1000">
        <v>15</v>
      </c>
      <c r="K1000">
        <v>0.40980944504553918</v>
      </c>
      <c r="L1000">
        <v>19.965064854098806</v>
      </c>
      <c r="M1000">
        <v>15</v>
      </c>
      <c r="N1000">
        <v>-1.8961525290706049</v>
      </c>
      <c r="O1000">
        <v>104.44676480239974</v>
      </c>
      <c r="P1000" s="1">
        <f t="shared" si="75"/>
        <v>4.4432796305892337</v>
      </c>
      <c r="Q1000" s="1">
        <f t="shared" si="76"/>
        <v>0.59243728407856444</v>
      </c>
      <c r="R1000" s="1">
        <f t="shared" si="77"/>
        <v>0.76969947647024184</v>
      </c>
      <c r="S1000" s="1">
        <f t="shared" si="78"/>
        <v>2.9959250910381741</v>
      </c>
      <c r="T1000" s="56">
        <f t="shared" si="79"/>
        <v>0.9971628493375353</v>
      </c>
    </row>
    <row r="1001" spans="1:20" x14ac:dyDescent="0.25">
      <c r="A1001">
        <v>0.99924032911448268</v>
      </c>
      <c r="B1001">
        <v>-0.8701317710801959</v>
      </c>
      <c r="D1001">
        <v>0.99870567041992098</v>
      </c>
      <c r="E1001">
        <v>3.0682947419791162</v>
      </c>
      <c r="I1001">
        <v>0.82516045483028511</v>
      </c>
      <c r="J1001">
        <v>15</v>
      </c>
      <c r="K1001">
        <v>0.69793759394087829</v>
      </c>
      <c r="L1001">
        <v>14.740118366178816</v>
      </c>
      <c r="M1001">
        <v>15</v>
      </c>
      <c r="N1001">
        <v>-2.4894789055451838</v>
      </c>
      <c r="O1001">
        <v>129.39130078663078</v>
      </c>
      <c r="P1001" s="1">
        <f t="shared" si="75"/>
        <v>5.1475506840289142</v>
      </c>
      <c r="Q1001" s="1">
        <f t="shared" si="76"/>
        <v>0.6863400912038552</v>
      </c>
      <c r="R1001" s="1">
        <f t="shared" si="77"/>
        <v>0.82845645100020504</v>
      </c>
      <c r="S1001" s="1">
        <f t="shared" si="78"/>
        <v>3.8474158727810708</v>
      </c>
      <c r="T1001" s="56">
        <f t="shared" si="79"/>
        <v>0.9996841664802556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3"/>
  <sheetViews>
    <sheetView workbookViewId="0">
      <selection activeCell="E21" sqref="E21"/>
    </sheetView>
  </sheetViews>
  <sheetFormatPr defaultRowHeight="15" x14ac:dyDescent="0.25"/>
  <cols>
    <col min="3" max="3" width="3.42578125" customWidth="1"/>
    <col min="4" max="4" width="30.7109375" customWidth="1"/>
    <col min="5" max="5" width="9.7109375" bestFit="1" customWidth="1"/>
    <col min="6" max="6" width="9.5703125" bestFit="1" customWidth="1"/>
    <col min="9" max="9" width="6.5703125" bestFit="1" customWidth="1"/>
    <col min="10" max="10" width="5.85546875" bestFit="1" customWidth="1"/>
  </cols>
  <sheetData>
    <row r="1" spans="1:6" x14ac:dyDescent="0.25">
      <c r="A1" s="60" t="s">
        <v>79</v>
      </c>
      <c r="B1" s="60" t="s">
        <v>80</v>
      </c>
      <c r="D1" t="s">
        <v>53</v>
      </c>
    </row>
    <row r="2" spans="1:6" ht="15.75" thickBot="1" x14ac:dyDescent="0.3">
      <c r="A2">
        <v>132</v>
      </c>
      <c r="B2">
        <v>95</v>
      </c>
    </row>
    <row r="3" spans="1:6" x14ac:dyDescent="0.25">
      <c r="A3">
        <v>90</v>
      </c>
      <c r="B3">
        <v>116</v>
      </c>
      <c r="D3" s="33"/>
      <c r="E3" s="33" t="s">
        <v>79</v>
      </c>
      <c r="F3" s="33" t="s">
        <v>80</v>
      </c>
    </row>
    <row r="4" spans="1:6" x14ac:dyDescent="0.25">
      <c r="A4">
        <v>114</v>
      </c>
      <c r="B4">
        <v>111</v>
      </c>
      <c r="D4" s="32" t="s">
        <v>54</v>
      </c>
      <c r="E4" s="37">
        <v>107.94444444444444</v>
      </c>
      <c r="F4" s="37">
        <v>98.666666666666671</v>
      </c>
    </row>
    <row r="5" spans="1:6" x14ac:dyDescent="0.25">
      <c r="A5">
        <v>90</v>
      </c>
      <c r="B5">
        <v>105</v>
      </c>
      <c r="D5" s="32" t="s">
        <v>55</v>
      </c>
      <c r="E5" s="37">
        <v>262.17320261437868</v>
      </c>
      <c r="F5" s="37">
        <v>191.64705882352942</v>
      </c>
    </row>
    <row r="6" spans="1:6" x14ac:dyDescent="0.25">
      <c r="A6">
        <v>93</v>
      </c>
      <c r="B6">
        <v>103</v>
      </c>
      <c r="D6" s="32" t="s">
        <v>25</v>
      </c>
      <c r="E6" s="32">
        <v>18</v>
      </c>
      <c r="F6" s="32">
        <v>18</v>
      </c>
    </row>
    <row r="7" spans="1:6" x14ac:dyDescent="0.25">
      <c r="A7">
        <v>124</v>
      </c>
      <c r="B7">
        <v>89</v>
      </c>
      <c r="D7" s="32" t="s">
        <v>56</v>
      </c>
      <c r="E7" s="37">
        <v>226.91013071895406</v>
      </c>
      <c r="F7" s="32"/>
    </row>
    <row r="8" spans="1:6" x14ac:dyDescent="0.25">
      <c r="A8">
        <v>99</v>
      </c>
      <c r="B8">
        <v>117</v>
      </c>
      <c r="D8" s="32" t="s">
        <v>57</v>
      </c>
      <c r="E8" s="32">
        <v>0</v>
      </c>
      <c r="F8" s="32"/>
    </row>
    <row r="9" spans="1:6" x14ac:dyDescent="0.25">
      <c r="A9">
        <v>109</v>
      </c>
      <c r="B9">
        <v>103</v>
      </c>
      <c r="D9" s="32" t="s">
        <v>10</v>
      </c>
      <c r="E9" s="32">
        <v>34</v>
      </c>
      <c r="F9" s="32"/>
    </row>
    <row r="10" spans="1:6" x14ac:dyDescent="0.25">
      <c r="A10">
        <v>123</v>
      </c>
      <c r="B10">
        <v>80</v>
      </c>
      <c r="D10" s="32" t="s">
        <v>35</v>
      </c>
      <c r="E10" s="37">
        <v>1.8477290113752949</v>
      </c>
      <c r="F10" s="32"/>
    </row>
    <row r="11" spans="1:6" x14ac:dyDescent="0.25">
      <c r="A11">
        <v>84</v>
      </c>
      <c r="B11">
        <v>86</v>
      </c>
      <c r="D11" s="32" t="s">
        <v>58</v>
      </c>
      <c r="E11" s="37">
        <v>3.6678522047275994E-2</v>
      </c>
      <c r="F11" s="32"/>
    </row>
    <row r="12" spans="1:6" x14ac:dyDescent="0.25">
      <c r="A12">
        <v>112</v>
      </c>
      <c r="B12">
        <v>76</v>
      </c>
      <c r="D12" s="32" t="s">
        <v>59</v>
      </c>
      <c r="E12" s="37">
        <v>1.6909242551868542</v>
      </c>
      <c r="F12" s="32"/>
    </row>
    <row r="13" spans="1:6" x14ac:dyDescent="0.25">
      <c r="A13">
        <v>119</v>
      </c>
      <c r="B13">
        <v>105</v>
      </c>
      <c r="D13" s="32" t="s">
        <v>60</v>
      </c>
      <c r="E13" s="37">
        <v>7.3357044094551987E-2</v>
      </c>
      <c r="F13" s="32"/>
    </row>
    <row r="14" spans="1:6" ht="15.75" thickBot="1" x14ac:dyDescent="0.3">
      <c r="A14">
        <v>101</v>
      </c>
      <c r="B14">
        <v>104</v>
      </c>
      <c r="D14" s="31" t="s">
        <v>61</v>
      </c>
      <c r="E14" s="38">
        <v>2.0322445093177191</v>
      </c>
      <c r="F14" s="31"/>
    </row>
    <row r="15" spans="1:6" ht="15.75" thickBot="1" x14ac:dyDescent="0.3">
      <c r="A15">
        <v>105</v>
      </c>
      <c r="B15">
        <v>86</v>
      </c>
    </row>
    <row r="16" spans="1:6" x14ac:dyDescent="0.25">
      <c r="A16">
        <v>118</v>
      </c>
      <c r="B16">
        <v>102</v>
      </c>
      <c r="D16" s="61" t="s">
        <v>62</v>
      </c>
      <c r="E16" s="8">
        <f>E4-F4</f>
        <v>9.2777777777777715</v>
      </c>
      <c r="F16" s="1" t="s">
        <v>144</v>
      </c>
    </row>
    <row r="17" spans="1:6" x14ac:dyDescent="0.25">
      <c r="A17">
        <v>79</v>
      </c>
      <c r="B17">
        <v>97</v>
      </c>
      <c r="D17" s="62" t="s">
        <v>56</v>
      </c>
      <c r="E17" s="9">
        <f>(DEVSQ(A2:A19)+DEVSQ(B2:B19))/((18-1)+(18-1))</f>
        <v>226.91013071895426</v>
      </c>
      <c r="F17" s="1" t="s">
        <v>145</v>
      </c>
    </row>
    <row r="18" spans="1:6" x14ac:dyDescent="0.25">
      <c r="A18">
        <v>132</v>
      </c>
      <c r="B18">
        <v>123</v>
      </c>
      <c r="D18" s="62" t="s">
        <v>65</v>
      </c>
      <c r="E18" s="9">
        <f>E17*(1/18+1/18)</f>
        <v>25.212236746550474</v>
      </c>
      <c r="F18" s="1" t="s">
        <v>146</v>
      </c>
    </row>
    <row r="19" spans="1:6" x14ac:dyDescent="0.25">
      <c r="A19">
        <v>119</v>
      </c>
      <c r="B19">
        <v>78</v>
      </c>
      <c r="D19" s="62" t="s">
        <v>67</v>
      </c>
      <c r="E19" s="9">
        <f>SQRT(E18)</f>
        <v>5.0211788204116443</v>
      </c>
      <c r="F19" s="63" t="s">
        <v>68</v>
      </c>
    </row>
    <row r="20" spans="1:6" x14ac:dyDescent="0.25">
      <c r="D20" s="62" t="s">
        <v>69</v>
      </c>
      <c r="E20" s="9">
        <f>E16/E19</f>
        <v>1.8477290113752938</v>
      </c>
      <c r="F20" s="63" t="s">
        <v>70</v>
      </c>
    </row>
    <row r="21" spans="1:6" ht="15.75" thickBot="1" x14ac:dyDescent="0.3">
      <c r="D21" s="64" t="s">
        <v>147</v>
      </c>
      <c r="E21" s="40">
        <f>_xlfn.T.DIST.RT(E20,E9)</f>
        <v>3.6678522047276202E-2</v>
      </c>
      <c r="F21" s="63" t="s">
        <v>148</v>
      </c>
    </row>
    <row r="23" spans="1:6" x14ac:dyDescent="0.25">
      <c r="F23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19"/>
  <sheetViews>
    <sheetView workbookViewId="0">
      <selection activeCell="C22" sqref="C22"/>
    </sheetView>
  </sheetViews>
  <sheetFormatPr defaultRowHeight="15" x14ac:dyDescent="0.25"/>
  <sheetData>
    <row r="1" spans="1:12" x14ac:dyDescent="0.25">
      <c r="A1" s="60" t="s">
        <v>79</v>
      </c>
      <c r="B1" s="60" t="s">
        <v>80</v>
      </c>
      <c r="L1" s="55" t="s">
        <v>149</v>
      </c>
    </row>
    <row r="2" spans="1:12" x14ac:dyDescent="0.25">
      <c r="A2">
        <v>132</v>
      </c>
      <c r="B2">
        <v>95</v>
      </c>
    </row>
    <row r="3" spans="1:12" x14ac:dyDescent="0.25">
      <c r="A3">
        <v>90</v>
      </c>
      <c r="B3">
        <v>116</v>
      </c>
    </row>
    <row r="4" spans="1:12" x14ac:dyDescent="0.25">
      <c r="A4">
        <v>114</v>
      </c>
      <c r="B4">
        <v>111</v>
      </c>
    </row>
    <row r="5" spans="1:12" x14ac:dyDescent="0.25">
      <c r="A5">
        <v>90</v>
      </c>
      <c r="B5">
        <v>105</v>
      </c>
    </row>
    <row r="6" spans="1:12" x14ac:dyDescent="0.25">
      <c r="A6">
        <v>93</v>
      </c>
      <c r="B6">
        <v>103</v>
      </c>
    </row>
    <row r="7" spans="1:12" x14ac:dyDescent="0.25">
      <c r="A7">
        <v>124</v>
      </c>
      <c r="B7">
        <v>89</v>
      </c>
    </row>
    <row r="8" spans="1:12" x14ac:dyDescent="0.25">
      <c r="A8">
        <v>99</v>
      </c>
      <c r="B8">
        <v>117</v>
      </c>
    </row>
    <row r="9" spans="1:12" x14ac:dyDescent="0.25">
      <c r="A9">
        <v>109</v>
      </c>
      <c r="B9">
        <v>103</v>
      </c>
    </row>
    <row r="10" spans="1:12" x14ac:dyDescent="0.25">
      <c r="A10">
        <v>123</v>
      </c>
      <c r="B10">
        <v>80</v>
      </c>
    </row>
    <row r="11" spans="1:12" x14ac:dyDescent="0.25">
      <c r="A11">
        <v>84</v>
      </c>
      <c r="B11">
        <v>86</v>
      </c>
    </row>
    <row r="12" spans="1:12" x14ac:dyDescent="0.25">
      <c r="A12">
        <v>112</v>
      </c>
      <c r="B12">
        <v>76</v>
      </c>
    </row>
    <row r="13" spans="1:12" x14ac:dyDescent="0.25">
      <c r="A13">
        <v>119</v>
      </c>
      <c r="B13">
        <v>105</v>
      </c>
    </row>
    <row r="14" spans="1:12" x14ac:dyDescent="0.25">
      <c r="A14">
        <v>101</v>
      </c>
      <c r="B14">
        <v>104</v>
      </c>
    </row>
    <row r="15" spans="1:12" x14ac:dyDescent="0.25">
      <c r="A15">
        <v>105</v>
      </c>
      <c r="B15">
        <v>86</v>
      </c>
    </row>
    <row r="16" spans="1:12" x14ac:dyDescent="0.25">
      <c r="A16">
        <v>118</v>
      </c>
      <c r="B16">
        <v>102</v>
      </c>
    </row>
    <row r="17" spans="1:2" x14ac:dyDescent="0.25">
      <c r="A17">
        <v>79</v>
      </c>
      <c r="B17">
        <v>97</v>
      </c>
    </row>
    <row r="18" spans="1:2" x14ac:dyDescent="0.25">
      <c r="A18">
        <v>132</v>
      </c>
      <c r="B18">
        <v>123</v>
      </c>
    </row>
    <row r="19" spans="1:2" x14ac:dyDescent="0.25">
      <c r="A19">
        <v>119</v>
      </c>
      <c r="B19">
        <v>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7"/>
  <sheetViews>
    <sheetView workbookViewId="0">
      <selection activeCell="F12" sqref="F12"/>
    </sheetView>
  </sheetViews>
  <sheetFormatPr defaultRowHeight="15" x14ac:dyDescent="0.25"/>
  <cols>
    <col min="1" max="1" width="6.5703125" style="51" bestFit="1" customWidth="1"/>
    <col min="2" max="2" width="5.85546875" style="51" bestFit="1" customWidth="1"/>
    <col min="3" max="3" width="2.85546875" style="51" customWidth="1"/>
    <col min="4" max="4" width="20.7109375" customWidth="1"/>
    <col min="5" max="5" width="17.28515625" customWidth="1"/>
    <col min="6" max="6" width="10" customWidth="1"/>
    <col min="7" max="7" width="17.42578125" bestFit="1" customWidth="1"/>
  </cols>
  <sheetData>
    <row r="1" spans="1:7" ht="15.75" thickBot="1" x14ac:dyDescent="0.3">
      <c r="A1" s="65" t="s">
        <v>81</v>
      </c>
      <c r="B1" s="65" t="s">
        <v>82</v>
      </c>
      <c r="C1" s="66"/>
    </row>
    <row r="2" spans="1:7" ht="15.75" thickBot="1" x14ac:dyDescent="0.3">
      <c r="A2" s="51">
        <v>1</v>
      </c>
      <c r="B2">
        <v>132</v>
      </c>
      <c r="E2" s="41" t="s">
        <v>71</v>
      </c>
    </row>
    <row r="3" spans="1:7" x14ac:dyDescent="0.25">
      <c r="A3" s="51">
        <v>1</v>
      </c>
      <c r="B3">
        <v>90</v>
      </c>
      <c r="E3" s="6">
        <f t="array" ref="E3:F7">LINEST(B2:B37,A2:A37,,TRUE)</f>
        <v>9.277777777777775</v>
      </c>
      <c r="F3" s="8">
        <v>98.666666666666671</v>
      </c>
    </row>
    <row r="4" spans="1:7" x14ac:dyDescent="0.25">
      <c r="A4" s="51">
        <v>1</v>
      </c>
      <c r="B4">
        <v>114</v>
      </c>
      <c r="E4" s="67">
        <v>5.0211788204116443</v>
      </c>
      <c r="F4" s="9">
        <v>3.5505095934633437</v>
      </c>
    </row>
    <row r="5" spans="1:7" x14ac:dyDescent="0.25">
      <c r="A5" s="51">
        <v>1</v>
      </c>
      <c r="B5">
        <v>90</v>
      </c>
      <c r="E5" s="7">
        <v>9.1251754589744494E-2</v>
      </c>
      <c r="F5" s="9">
        <v>15.063536461234936</v>
      </c>
    </row>
    <row r="6" spans="1:7" x14ac:dyDescent="0.25">
      <c r="A6" s="51">
        <v>1</v>
      </c>
      <c r="B6">
        <v>93</v>
      </c>
      <c r="E6" s="7">
        <v>3.4141024994779037</v>
      </c>
      <c r="F6" s="4">
        <v>34</v>
      </c>
    </row>
    <row r="7" spans="1:7" ht="15.75" thickBot="1" x14ac:dyDescent="0.3">
      <c r="A7" s="51">
        <v>1</v>
      </c>
      <c r="B7">
        <v>124</v>
      </c>
      <c r="E7" s="39">
        <v>774.6944444444398</v>
      </c>
      <c r="F7" s="40">
        <v>7714.9444444444471</v>
      </c>
    </row>
    <row r="8" spans="1:7" ht="15.75" thickBot="1" x14ac:dyDescent="0.3">
      <c r="A8" s="51">
        <v>1</v>
      </c>
      <c r="B8">
        <v>99</v>
      </c>
    </row>
    <row r="9" spans="1:7" x14ac:dyDescent="0.25">
      <c r="A9" s="51">
        <v>1</v>
      </c>
      <c r="B9">
        <v>109</v>
      </c>
      <c r="D9" s="19"/>
      <c r="E9" s="68" t="s">
        <v>62</v>
      </c>
      <c r="F9" s="69">
        <f>E3</f>
        <v>9.277777777777775</v>
      </c>
      <c r="G9" s="70" t="s">
        <v>150</v>
      </c>
    </row>
    <row r="10" spans="1:7" x14ac:dyDescent="0.25">
      <c r="A10" s="51">
        <v>1</v>
      </c>
      <c r="B10">
        <v>123</v>
      </c>
      <c r="D10" s="21"/>
      <c r="E10" s="71" t="s">
        <v>151</v>
      </c>
      <c r="F10" s="72">
        <f>E4</f>
        <v>5.0211788204116443</v>
      </c>
      <c r="G10" s="73" t="s">
        <v>152</v>
      </c>
    </row>
    <row r="11" spans="1:7" x14ac:dyDescent="0.25">
      <c r="A11" s="51">
        <v>1</v>
      </c>
      <c r="B11">
        <v>84</v>
      </c>
      <c r="D11" s="21"/>
      <c r="E11" s="71" t="s">
        <v>69</v>
      </c>
      <c r="F11" s="72">
        <f>F9/F10</f>
        <v>1.8477290113752944</v>
      </c>
      <c r="G11" s="73" t="s">
        <v>153</v>
      </c>
    </row>
    <row r="12" spans="1:7" ht="15.75" thickBot="1" x14ac:dyDescent="0.3">
      <c r="A12" s="51">
        <v>1</v>
      </c>
      <c r="B12">
        <v>112</v>
      </c>
      <c r="D12" s="22"/>
      <c r="E12" s="74" t="s">
        <v>147</v>
      </c>
      <c r="F12" s="75">
        <f>_xlfn.T.DIST.RT(F11,F6)</f>
        <v>3.6678522047276202E-2</v>
      </c>
      <c r="G12" s="76" t="s">
        <v>154</v>
      </c>
    </row>
    <row r="13" spans="1:7" x14ac:dyDescent="0.25">
      <c r="A13" s="51">
        <v>1</v>
      </c>
      <c r="B13">
        <v>119</v>
      </c>
    </row>
    <row r="14" spans="1:7" x14ac:dyDescent="0.25">
      <c r="A14" s="51">
        <v>1</v>
      </c>
      <c r="B14">
        <v>101</v>
      </c>
    </row>
    <row r="15" spans="1:7" x14ac:dyDescent="0.25">
      <c r="A15" s="51">
        <v>1</v>
      </c>
      <c r="B15">
        <v>105</v>
      </c>
    </row>
    <row r="16" spans="1:7" x14ac:dyDescent="0.25">
      <c r="A16" s="51">
        <v>1</v>
      </c>
      <c r="B16">
        <v>118</v>
      </c>
    </row>
    <row r="17" spans="1:2" x14ac:dyDescent="0.25">
      <c r="A17" s="51">
        <v>1</v>
      </c>
      <c r="B17">
        <v>79</v>
      </c>
    </row>
    <row r="18" spans="1:2" x14ac:dyDescent="0.25">
      <c r="A18" s="51">
        <v>1</v>
      </c>
      <c r="B18">
        <v>132</v>
      </c>
    </row>
    <row r="19" spans="1:2" x14ac:dyDescent="0.25">
      <c r="A19" s="51">
        <v>1</v>
      </c>
      <c r="B19">
        <v>119</v>
      </c>
    </row>
    <row r="20" spans="1:2" x14ac:dyDescent="0.25">
      <c r="A20" s="51">
        <v>0</v>
      </c>
      <c r="B20">
        <v>95</v>
      </c>
    </row>
    <row r="21" spans="1:2" x14ac:dyDescent="0.25">
      <c r="A21" s="51">
        <v>0</v>
      </c>
      <c r="B21">
        <v>116</v>
      </c>
    </row>
    <row r="22" spans="1:2" x14ac:dyDescent="0.25">
      <c r="A22" s="51">
        <v>0</v>
      </c>
      <c r="B22">
        <v>111</v>
      </c>
    </row>
    <row r="23" spans="1:2" x14ac:dyDescent="0.25">
      <c r="A23" s="51">
        <v>0</v>
      </c>
      <c r="B23">
        <v>105</v>
      </c>
    </row>
    <row r="24" spans="1:2" x14ac:dyDescent="0.25">
      <c r="A24" s="51">
        <v>0</v>
      </c>
      <c r="B24">
        <v>103</v>
      </c>
    </row>
    <row r="25" spans="1:2" x14ac:dyDescent="0.25">
      <c r="A25" s="51">
        <v>0</v>
      </c>
      <c r="B25">
        <v>89</v>
      </c>
    </row>
    <row r="26" spans="1:2" x14ac:dyDescent="0.25">
      <c r="A26" s="51">
        <v>0</v>
      </c>
      <c r="B26">
        <v>117</v>
      </c>
    </row>
    <row r="27" spans="1:2" x14ac:dyDescent="0.25">
      <c r="A27" s="51">
        <v>0</v>
      </c>
      <c r="B27">
        <v>103</v>
      </c>
    </row>
    <row r="28" spans="1:2" x14ac:dyDescent="0.25">
      <c r="A28" s="51">
        <v>0</v>
      </c>
      <c r="B28">
        <v>80</v>
      </c>
    </row>
    <row r="29" spans="1:2" x14ac:dyDescent="0.25">
      <c r="A29" s="51">
        <v>0</v>
      </c>
      <c r="B29">
        <v>86</v>
      </c>
    </row>
    <row r="30" spans="1:2" x14ac:dyDescent="0.25">
      <c r="A30" s="51">
        <v>0</v>
      </c>
      <c r="B30">
        <v>76</v>
      </c>
    </row>
    <row r="31" spans="1:2" x14ac:dyDescent="0.25">
      <c r="A31" s="51">
        <v>0</v>
      </c>
      <c r="B31">
        <v>105</v>
      </c>
    </row>
    <row r="32" spans="1:2" x14ac:dyDescent="0.25">
      <c r="A32" s="51">
        <v>0</v>
      </c>
      <c r="B32">
        <v>104</v>
      </c>
    </row>
    <row r="33" spans="1:2" x14ac:dyDescent="0.25">
      <c r="A33" s="51">
        <v>0</v>
      </c>
      <c r="B33">
        <v>86</v>
      </c>
    </row>
    <row r="34" spans="1:2" x14ac:dyDescent="0.25">
      <c r="A34" s="51">
        <v>0</v>
      </c>
      <c r="B34">
        <v>102</v>
      </c>
    </row>
    <row r="35" spans="1:2" x14ac:dyDescent="0.25">
      <c r="A35" s="51">
        <v>0</v>
      </c>
      <c r="B35">
        <v>97</v>
      </c>
    </row>
    <row r="36" spans="1:2" x14ac:dyDescent="0.25">
      <c r="A36" s="51">
        <v>0</v>
      </c>
      <c r="B36">
        <v>123</v>
      </c>
    </row>
    <row r="37" spans="1:2" x14ac:dyDescent="0.25">
      <c r="A37" s="51">
        <v>0</v>
      </c>
      <c r="B37">
        <v>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97"/>
  <sheetViews>
    <sheetView topLeftCell="E1" workbookViewId="0">
      <selection activeCell="B6" sqref="B6"/>
    </sheetView>
  </sheetViews>
  <sheetFormatPr defaultRowHeight="15" x14ac:dyDescent="0.25"/>
  <cols>
    <col min="4" max="4" width="12" bestFit="1" customWidth="1"/>
  </cols>
  <sheetData>
    <row r="1" spans="1:5" x14ac:dyDescent="0.25">
      <c r="A1" t="s">
        <v>155</v>
      </c>
      <c r="B1" s="77" t="s">
        <v>156</v>
      </c>
      <c r="C1" t="s">
        <v>157</v>
      </c>
    </row>
    <row r="2" spans="1:5" x14ac:dyDescent="0.25">
      <c r="A2">
        <v>-4</v>
      </c>
      <c r="B2" s="77">
        <f>_xlfn.T.DIST(A2,34,FALSE)</f>
        <v>4.6411238334698759E-4</v>
      </c>
      <c r="C2" s="78">
        <f t="shared" ref="C2:C14" si="0">B2</f>
        <v>4.6411238334698759E-4</v>
      </c>
      <c r="D2" s="78">
        <f>_xlfn.T.DIST(A2,34,TRUE)</f>
        <v>1.6191100413575458E-4</v>
      </c>
    </row>
    <row r="3" spans="1:5" x14ac:dyDescent="0.25">
      <c r="A3">
        <v>-3.9</v>
      </c>
      <c r="B3" s="77">
        <f t="shared" ref="B3:B66" si="1">_xlfn.T.DIST(A3,34,FALSE)</f>
        <v>6.132878263525785E-4</v>
      </c>
      <c r="C3" s="78">
        <f t="shared" si="0"/>
        <v>6.132878263525785E-4</v>
      </c>
      <c r="D3" s="78">
        <f t="shared" ref="D3:D24" si="2">_xlfn.T.DIST(A3,34,TRUE)</f>
        <v>2.1544665718464353E-4</v>
      </c>
    </row>
    <row r="4" spans="1:5" x14ac:dyDescent="0.25">
      <c r="A4">
        <v>-3.8</v>
      </c>
      <c r="B4" s="77">
        <f t="shared" si="1"/>
        <v>8.0821308789554448E-4</v>
      </c>
      <c r="C4" s="78">
        <f t="shared" si="0"/>
        <v>8.0821308789554448E-4</v>
      </c>
      <c r="D4" s="78">
        <f t="shared" si="2"/>
        <v>2.8609051797626195E-4</v>
      </c>
    </row>
    <row r="5" spans="1:5" x14ac:dyDescent="0.25">
      <c r="A5">
        <v>-3.7</v>
      </c>
      <c r="B5" s="77">
        <f t="shared" si="1"/>
        <v>1.0619891741883709E-3</v>
      </c>
      <c r="C5" s="78">
        <f t="shared" si="0"/>
        <v>1.0619891741883709E-3</v>
      </c>
      <c r="D5" s="78">
        <f t="shared" si="2"/>
        <v>3.7904722961070646E-4</v>
      </c>
    </row>
    <row r="6" spans="1:5" x14ac:dyDescent="0.25">
      <c r="A6">
        <v>-3.6</v>
      </c>
      <c r="B6" s="77">
        <f t="shared" si="1"/>
        <v>1.391094674487454E-3</v>
      </c>
      <c r="C6" s="78">
        <f t="shared" si="0"/>
        <v>1.391094674487454E-3</v>
      </c>
      <c r="D6" s="78">
        <f t="shared" si="2"/>
        <v>5.0099478631437564E-4</v>
      </c>
    </row>
    <row r="7" spans="1:5" x14ac:dyDescent="0.25">
      <c r="A7">
        <v>-3.5000000000000102</v>
      </c>
      <c r="B7" s="77">
        <f t="shared" si="1"/>
        <v>1.8161128587307514E-3</v>
      </c>
      <c r="C7" s="78">
        <f t="shared" si="0"/>
        <v>1.8161128587307514E-3</v>
      </c>
      <c r="D7" s="78">
        <f t="shared" si="2"/>
        <v>6.6045778377269348E-4</v>
      </c>
    </row>
    <row r="8" spans="1:5" x14ac:dyDescent="0.25">
      <c r="A8">
        <v>-3.4000000000000101</v>
      </c>
      <c r="B8" s="77">
        <f t="shared" si="1"/>
        <v>2.3625619901693896E-3</v>
      </c>
      <c r="C8" s="78">
        <f t="shared" si="0"/>
        <v>2.3625619901693896E-3</v>
      </c>
      <c r="D8" s="78">
        <f t="shared" si="2"/>
        <v>8.6825855297476549E-4</v>
      </c>
    </row>
    <row r="9" spans="1:5" x14ac:dyDescent="0.25">
      <c r="A9">
        <v>-3.30000000000001</v>
      </c>
      <c r="B9" s="77">
        <f t="shared" si="1"/>
        <v>3.0618233989491215E-3</v>
      </c>
      <c r="C9" s="78">
        <f t="shared" si="0"/>
        <v>3.0618233989491215E-3</v>
      </c>
      <c r="D9" s="78">
        <f t="shared" si="2"/>
        <v>1.1380562943993208E-3</v>
      </c>
    </row>
    <row r="10" spans="1:5" x14ac:dyDescent="0.25">
      <c r="A10">
        <v>-3.2000000000000099</v>
      </c>
      <c r="B10" s="77">
        <f t="shared" si="1"/>
        <v>3.9521522073614626E-3</v>
      </c>
      <c r="C10" s="78">
        <f t="shared" si="0"/>
        <v>3.9521522073614626E-3</v>
      </c>
      <c r="D10" s="78">
        <f t="shared" si="2"/>
        <v>1.4869833265482428E-3</v>
      </c>
    </row>
    <row r="11" spans="1:5" x14ac:dyDescent="0.25">
      <c r="A11">
        <v>-3.1000000000000099</v>
      </c>
      <c r="B11" s="77">
        <f t="shared" si="1"/>
        <v>5.0797427063022406E-3</v>
      </c>
      <c r="C11" s="78">
        <f t="shared" si="0"/>
        <v>5.0797427063022406E-3</v>
      </c>
      <c r="D11" s="78">
        <f t="shared" si="2"/>
        <v>1.9363854357691815E-3</v>
      </c>
    </row>
    <row r="12" spans="1:5" x14ac:dyDescent="0.25">
      <c r="A12">
        <v>-3.0000000000000102</v>
      </c>
      <c r="B12" s="77">
        <f t="shared" si="1"/>
        <v>6.4998039815450329E-3</v>
      </c>
      <c r="C12" s="78">
        <f t="shared" si="0"/>
        <v>6.4998039815450329E-3</v>
      </c>
      <c r="D12" s="78">
        <f t="shared" si="2"/>
        <v>2.5126697239910819E-3</v>
      </c>
      <c r="E12" s="78"/>
    </row>
    <row r="13" spans="1:5" x14ac:dyDescent="0.25">
      <c r="A13">
        <v>-2.9000000000000101</v>
      </c>
      <c r="B13" s="77">
        <f t="shared" si="1"/>
        <v>8.2775814753850881E-3</v>
      </c>
      <c r="C13" s="78">
        <f t="shared" si="0"/>
        <v>8.2775814753850881E-3</v>
      </c>
      <c r="D13" s="78">
        <f t="shared" si="2"/>
        <v>3.2482579435073322E-3</v>
      </c>
    </row>
    <row r="14" spans="1:5" x14ac:dyDescent="0.25">
      <c r="A14">
        <v>-2.80000000000001</v>
      </c>
      <c r="B14" s="77">
        <f t="shared" si="1"/>
        <v>1.0489237155590249E-2</v>
      </c>
      <c r="C14" s="78">
        <f t="shared" si="0"/>
        <v>1.0489237155590249E-2</v>
      </c>
      <c r="D14" s="78">
        <f t="shared" si="2"/>
        <v>4.1826357485542495E-3</v>
      </c>
    </row>
    <row r="15" spans="1:5" x14ac:dyDescent="0.25">
      <c r="A15">
        <v>-2.7000000000000099</v>
      </c>
      <c r="B15" s="77">
        <f t="shared" si="1"/>
        <v>1.3222475832278481E-2</v>
      </c>
      <c r="C15" s="78">
        <f>B15</f>
        <v>1.3222475832278481E-2</v>
      </c>
      <c r="D15" s="78">
        <f t="shared" si="2"/>
        <v>5.3634783158067398E-3</v>
      </c>
    </row>
    <row r="16" spans="1:5" x14ac:dyDescent="0.25">
      <c r="A16">
        <v>-2.6000000000000099</v>
      </c>
      <c r="B16" s="77">
        <f t="shared" si="1"/>
        <v>1.6576779622714716E-2</v>
      </c>
      <c r="C16" s="78">
        <f>B16</f>
        <v>1.6576779622714716E-2</v>
      </c>
      <c r="D16" s="78">
        <f t="shared" si="2"/>
        <v>6.8478202570675401E-3</v>
      </c>
    </row>
    <row r="17" spans="1:5" x14ac:dyDescent="0.25">
      <c r="A17">
        <v>-2.5000000000000102</v>
      </c>
      <c r="B17" s="77">
        <f t="shared" si="1"/>
        <v>2.066308917110754E-2</v>
      </c>
      <c r="C17" s="78">
        <f t="shared" ref="C17:C25" si="3">B17</f>
        <v>2.066308917110754E-2</v>
      </c>
      <c r="D17" s="78">
        <f t="shared" si="2"/>
        <v>8.7032227468421298E-3</v>
      </c>
      <c r="E17" s="78"/>
    </row>
    <row r="18" spans="1:5" x14ac:dyDescent="0.25">
      <c r="A18">
        <v>-2.4000000000000101</v>
      </c>
      <c r="B18" s="77">
        <f t="shared" si="1"/>
        <v>2.5602752445347009E-2</v>
      </c>
      <c r="C18" s="78">
        <f t="shared" si="3"/>
        <v>2.5602752445347009E-2</v>
      </c>
      <c r="D18" s="78">
        <f t="shared" si="2"/>
        <v>1.1008873695459387E-2</v>
      </c>
      <c r="E18" s="78"/>
    </row>
    <row r="19" spans="1:5" x14ac:dyDescent="0.25">
      <c r="A19">
        <v>-2.30000000000001</v>
      </c>
      <c r="B19" s="77">
        <f t="shared" si="1"/>
        <v>3.152555405883728E-2</v>
      </c>
      <c r="C19" s="78">
        <f t="shared" si="3"/>
        <v>3.152555405883728E-2</v>
      </c>
      <c r="D19" s="78">
        <f t="shared" si="2"/>
        <v>1.3856538384477406E-2</v>
      </c>
      <c r="E19" s="78"/>
    </row>
    <row r="20" spans="1:5" x14ac:dyDescent="0.25">
      <c r="A20">
        <v>-2.2000000000000099</v>
      </c>
      <c r="B20" s="77">
        <f t="shared" si="1"/>
        <v>3.856664502933202E-2</v>
      </c>
      <c r="C20" s="78">
        <f t="shared" si="3"/>
        <v>3.856664502933202E-2</v>
      </c>
      <c r="D20" s="78">
        <f t="shared" si="2"/>
        <v>1.7351259478998168E-2</v>
      </c>
      <c r="E20" s="78"/>
    </row>
    <row r="21" spans="1:5" x14ac:dyDescent="0.25">
      <c r="A21">
        <v>-2.1000000000000099</v>
      </c>
      <c r="B21" s="77">
        <f t="shared" si="1"/>
        <v>4.6862219813468227E-2</v>
      </c>
      <c r="C21" s="78">
        <f t="shared" si="3"/>
        <v>4.6862219813468227E-2</v>
      </c>
      <c r="D21" s="78">
        <f t="shared" si="2"/>
        <v>2.1611688481916233E-2</v>
      </c>
      <c r="E21" s="78"/>
    </row>
    <row r="22" spans="1:5" x14ac:dyDescent="0.25">
      <c r="A22">
        <v>-2.0000000000000102</v>
      </c>
      <c r="B22" s="77">
        <f t="shared" si="1"/>
        <v>5.6543839022277144E-2</v>
      </c>
      <c r="C22" s="78">
        <f t="shared" si="3"/>
        <v>5.6543839022277144E-2</v>
      </c>
      <c r="D22" s="78">
        <f>_xlfn.T.DIST(A22,34,TRUE)</f>
        <v>2.6769917735224621E-2</v>
      </c>
      <c r="E22" s="78"/>
    </row>
    <row r="23" spans="1:5" x14ac:dyDescent="0.25">
      <c r="A23">
        <v>-1.9000000000000099</v>
      </c>
      <c r="B23" s="77">
        <f t="shared" si="1"/>
        <v>6.7731375795361468E-2</v>
      </c>
      <c r="C23" s="78">
        <f t="shared" si="3"/>
        <v>6.7731375795361468E-2</v>
      </c>
      <c r="D23" s="78">
        <f t="shared" si="2"/>
        <v>3.2970675650568347E-2</v>
      </c>
    </row>
    <row r="24" spans="1:5" x14ac:dyDescent="0.25">
      <c r="A24">
        <v>-1.80000000000001</v>
      </c>
      <c r="B24" s="77">
        <f t="shared" si="1"/>
        <v>8.0524672427093547E-2</v>
      </c>
      <c r="C24" s="78">
        <f t="shared" si="3"/>
        <v>8.0524672427093547E-2</v>
      </c>
      <c r="D24" s="78">
        <f t="shared" si="2"/>
        <v>4.0369750841592854E-2</v>
      </c>
    </row>
    <row r="25" spans="1:5" x14ac:dyDescent="0.25">
      <c r="A25">
        <v>-1.7000000000000099</v>
      </c>
      <c r="B25" s="77">
        <f t="shared" si="1"/>
        <v>9.4994129147979431E-2</v>
      </c>
      <c r="C25" s="78">
        <f t="shared" si="3"/>
        <v>9.4994129147979431E-2</v>
      </c>
      <c r="D25" s="78">
        <f>_xlfn.T.DIST(A25,34,TRUE)</f>
        <v>4.9131526053590585E-2</v>
      </c>
    </row>
    <row r="26" spans="1:5" x14ac:dyDescent="0.25">
      <c r="A26">
        <v>-1.6000000000000101</v>
      </c>
      <c r="B26" s="77">
        <f t="shared" si="1"/>
        <v>0.11117060230948635</v>
      </c>
      <c r="C26" s="78"/>
    </row>
    <row r="27" spans="1:5" x14ac:dyDescent="0.25">
      <c r="A27">
        <v>-1.50000000000001</v>
      </c>
      <c r="B27" s="77">
        <f t="shared" si="1"/>
        <v>0.12903515306731408</v>
      </c>
      <c r="C27" s="78"/>
    </row>
    <row r="28" spans="1:5" x14ac:dyDescent="0.25">
      <c r="A28">
        <v>-1.4000000000000099</v>
      </c>
      <c r="B28" s="77">
        <f t="shared" si="1"/>
        <v>0.14850934363123147</v>
      </c>
      <c r="C28" s="78"/>
    </row>
    <row r="29" spans="1:5" x14ac:dyDescent="0.25">
      <c r="A29">
        <v>-1.30000000000001</v>
      </c>
      <c r="B29" s="77">
        <f t="shared" si="1"/>
        <v>0.16944690588134464</v>
      </c>
      <c r="C29" s="78"/>
    </row>
    <row r="30" spans="1:5" x14ac:dyDescent="0.25">
      <c r="A30">
        <v>-1.2000000000000099</v>
      </c>
      <c r="B30" s="77">
        <f t="shared" si="1"/>
        <v>0.19162768407404437</v>
      </c>
      <c r="C30" s="78"/>
    </row>
    <row r="31" spans="1:5" x14ac:dyDescent="0.25">
      <c r="A31">
        <v>-1.1000000000000101</v>
      </c>
      <c r="B31" s="77">
        <f t="shared" si="1"/>
        <v>0.21475475743363986</v>
      </c>
      <c r="C31" s="78"/>
    </row>
    <row r="32" spans="1:5" x14ac:dyDescent="0.25">
      <c r="A32">
        <v>-1.00000000000001</v>
      </c>
      <c r="B32" s="77">
        <f t="shared" si="1"/>
        <v>0.23845556157486333</v>
      </c>
      <c r="C32" s="78"/>
    </row>
    <row r="33" spans="1:4" x14ac:dyDescent="0.25">
      <c r="A33">
        <v>-0.90000000000001001</v>
      </c>
      <c r="B33" s="77">
        <f t="shared" si="1"/>
        <v>0.26228763956569534</v>
      </c>
      <c r="C33" s="78"/>
    </row>
    <row r="34" spans="1:4" x14ac:dyDescent="0.25">
      <c r="A34">
        <v>-0.80000000000001004</v>
      </c>
      <c r="B34" s="77">
        <f t="shared" si="1"/>
        <v>0.28574936479983781</v>
      </c>
      <c r="C34" s="78"/>
    </row>
    <row r="35" spans="1:4" x14ac:dyDescent="0.25">
      <c r="A35">
        <v>-0.70000000000002005</v>
      </c>
      <c r="B35" s="77">
        <f t="shared" si="1"/>
        <v>0.30829560302704156</v>
      </c>
      <c r="C35" s="78"/>
    </row>
    <row r="36" spans="1:4" x14ac:dyDescent="0.25">
      <c r="A36">
        <v>-0.60000000000001996</v>
      </c>
      <c r="B36" s="77">
        <f t="shared" si="1"/>
        <v>0.32935784843194688</v>
      </c>
      <c r="C36" s="78"/>
    </row>
    <row r="37" spans="1:4" x14ac:dyDescent="0.25">
      <c r="A37">
        <v>-0.50000000000001998</v>
      </c>
      <c r="B37" s="77">
        <f t="shared" si="1"/>
        <v>0.34836791976904163</v>
      </c>
      <c r="C37" s="78"/>
    </row>
    <row r="38" spans="1:4" x14ac:dyDescent="0.25">
      <c r="A38">
        <v>-0.40000000000002001</v>
      </c>
      <c r="B38" s="77">
        <f t="shared" si="1"/>
        <v>0.36478388717349314</v>
      </c>
      <c r="C38" s="78"/>
    </row>
    <row r="39" spans="1:4" x14ac:dyDescent="0.25">
      <c r="A39">
        <v>-0.30000000000001997</v>
      </c>
      <c r="B39" s="77">
        <f t="shared" si="1"/>
        <v>0.37811657092844098</v>
      </c>
      <c r="C39" s="78"/>
    </row>
    <row r="40" spans="1:4" x14ac:dyDescent="0.25">
      <c r="A40">
        <v>-0.20000000000002</v>
      </c>
      <c r="B40" s="77">
        <f t="shared" si="1"/>
        <v>0.38795475793268908</v>
      </c>
      <c r="C40" s="78"/>
    </row>
    <row r="41" spans="1:4" x14ac:dyDescent="0.25">
      <c r="A41">
        <v>-0.10000000000002</v>
      </c>
      <c r="B41" s="77">
        <f t="shared" si="1"/>
        <v>0.39398725519917416</v>
      </c>
      <c r="C41" s="78"/>
    </row>
    <row r="42" spans="1:4" x14ac:dyDescent="0.25">
      <c r="A42">
        <v>-2.0428103653102899E-14</v>
      </c>
      <c r="B42" s="77">
        <f t="shared" si="1"/>
        <v>0.39602005884318436</v>
      </c>
      <c r="C42" s="78"/>
      <c r="D42" s="78"/>
    </row>
    <row r="43" spans="1:4" x14ac:dyDescent="0.25">
      <c r="A43">
        <v>9.9999999999980105E-2</v>
      </c>
      <c r="B43" s="77">
        <f t="shared" si="1"/>
        <v>0.39398725519917577</v>
      </c>
      <c r="C43" s="78"/>
    </row>
    <row r="44" spans="1:4" x14ac:dyDescent="0.25">
      <c r="A44">
        <v>0.19999999999998</v>
      </c>
      <c r="B44" s="77">
        <f t="shared" si="1"/>
        <v>0.38795475793269224</v>
      </c>
      <c r="C44" s="78"/>
    </row>
    <row r="45" spans="1:4" x14ac:dyDescent="0.25">
      <c r="A45">
        <v>0.29999999999998</v>
      </c>
      <c r="B45" s="77">
        <f t="shared" si="1"/>
        <v>0.37811657092844558</v>
      </c>
      <c r="C45" s="78"/>
    </row>
    <row r="46" spans="1:4" x14ac:dyDescent="0.25">
      <c r="A46">
        <v>0.39999999999997998</v>
      </c>
      <c r="B46" s="77">
        <f t="shared" si="1"/>
        <v>0.36478388717349908</v>
      </c>
      <c r="C46" s="78"/>
    </row>
    <row r="47" spans="1:4" x14ac:dyDescent="0.25">
      <c r="A47">
        <v>0.49999999999998002</v>
      </c>
      <c r="B47" s="77">
        <f t="shared" si="1"/>
        <v>0.34836791976904874</v>
      </c>
      <c r="C47" s="78"/>
    </row>
    <row r="48" spans="1:4" x14ac:dyDescent="0.25">
      <c r="A48">
        <v>0.59999999999997999</v>
      </c>
      <c r="B48" s="77">
        <f t="shared" si="1"/>
        <v>0.32935784843195492</v>
      </c>
      <c r="C48" s="78"/>
    </row>
    <row r="49" spans="1:14" x14ac:dyDescent="0.25">
      <c r="A49">
        <v>0.69999999999997997</v>
      </c>
      <c r="B49" s="77">
        <f t="shared" si="1"/>
        <v>0.30829560302705039</v>
      </c>
      <c r="C49" s="78"/>
    </row>
    <row r="50" spans="1:14" x14ac:dyDescent="0.25">
      <c r="A50">
        <v>0.79999999999997995</v>
      </c>
      <c r="B50" s="77">
        <f t="shared" si="1"/>
        <v>0.28574936479984475</v>
      </c>
      <c r="C50" s="78"/>
      <c r="N50" s="59"/>
    </row>
    <row r="51" spans="1:14" x14ac:dyDescent="0.25">
      <c r="A51">
        <v>0.89999999999998004</v>
      </c>
      <c r="B51" s="77">
        <f t="shared" si="1"/>
        <v>0.26228763956570245</v>
      </c>
      <c r="C51" s="78"/>
    </row>
    <row r="52" spans="1:14" x14ac:dyDescent="0.25">
      <c r="A52">
        <v>0.99999999999998002</v>
      </c>
      <c r="B52" s="77">
        <f t="shared" si="1"/>
        <v>0.23845556157487044</v>
      </c>
      <c r="C52" s="78"/>
    </row>
    <row r="53" spans="1:14" x14ac:dyDescent="0.25">
      <c r="A53">
        <v>1.0999999999999801</v>
      </c>
      <c r="B53" s="77">
        <f t="shared" si="1"/>
        <v>0.21475475743364689</v>
      </c>
      <c r="C53" s="78"/>
    </row>
    <row r="54" spans="1:14" x14ac:dyDescent="0.25">
      <c r="A54">
        <v>1.19999999999998</v>
      </c>
      <c r="B54" s="77">
        <f t="shared" si="1"/>
        <v>0.1916276840740512</v>
      </c>
      <c r="C54" s="78"/>
    </row>
    <row r="55" spans="1:14" x14ac:dyDescent="0.25">
      <c r="A55">
        <v>1.2999999999999801</v>
      </c>
      <c r="B55" s="77">
        <f t="shared" si="1"/>
        <v>0.16944690588135108</v>
      </c>
      <c r="C55" s="78"/>
    </row>
    <row r="56" spans="1:14" x14ac:dyDescent="0.25">
      <c r="A56">
        <v>1.3999999999999799</v>
      </c>
      <c r="B56" s="77">
        <f t="shared" si="1"/>
        <v>0.14850934363123755</v>
      </c>
      <c r="C56" s="78"/>
    </row>
    <row r="57" spans="1:14" x14ac:dyDescent="0.25">
      <c r="A57">
        <v>1.49999999999998</v>
      </c>
      <c r="B57" s="77">
        <f t="shared" si="1"/>
        <v>0.12903515306731977</v>
      </c>
      <c r="C57" s="78"/>
    </row>
    <row r="58" spans="1:14" x14ac:dyDescent="0.25">
      <c r="A58">
        <v>1.5999999999999801</v>
      </c>
      <c r="B58" s="77">
        <f t="shared" si="1"/>
        <v>0.11117060230949151</v>
      </c>
      <c r="C58" s="78"/>
    </row>
    <row r="59" spans="1:14" x14ac:dyDescent="0.25">
      <c r="A59">
        <v>1.69999999999998</v>
      </c>
      <c r="B59" s="77">
        <f t="shared" si="1"/>
        <v>9.4994129147984038E-2</v>
      </c>
      <c r="C59" s="78"/>
    </row>
    <row r="60" spans="1:14" x14ac:dyDescent="0.25">
      <c r="A60">
        <v>1.7999999999999801</v>
      </c>
      <c r="B60" s="77">
        <f t="shared" si="1"/>
        <v>8.0524672427097613E-2</v>
      </c>
      <c r="C60" s="78"/>
    </row>
    <row r="61" spans="1:14" x14ac:dyDescent="0.25">
      <c r="A61">
        <v>1.8999999999999799</v>
      </c>
      <c r="B61" s="77">
        <f t="shared" si="1"/>
        <v>6.7731375795365062E-2</v>
      </c>
      <c r="C61" s="78"/>
    </row>
    <row r="62" spans="1:14" x14ac:dyDescent="0.25">
      <c r="A62">
        <v>1.99999999999998</v>
      </c>
      <c r="B62" s="77">
        <f t="shared" si="1"/>
        <v>5.6543839022280308E-2</v>
      </c>
      <c r="C62" s="78"/>
      <c r="D62" s="78"/>
    </row>
    <row r="63" spans="1:14" x14ac:dyDescent="0.25">
      <c r="A63">
        <v>2.0999999999999699</v>
      </c>
      <c r="B63" s="77">
        <f t="shared" si="1"/>
        <v>4.6862219813471807E-2</v>
      </c>
      <c r="C63" s="78"/>
    </row>
    <row r="64" spans="1:14" x14ac:dyDescent="0.25">
      <c r="A64">
        <v>2.19999999999997</v>
      </c>
      <c r="B64" s="77">
        <f t="shared" si="1"/>
        <v>3.8566645029335073E-2</v>
      </c>
      <c r="C64" s="78"/>
    </row>
    <row r="65" spans="1:4" x14ac:dyDescent="0.25">
      <c r="A65">
        <v>2.2999999999999701</v>
      </c>
      <c r="B65" s="77">
        <f t="shared" si="1"/>
        <v>3.152555405883984E-2</v>
      </c>
      <c r="C65" s="78"/>
    </row>
    <row r="66" spans="1:4" x14ac:dyDescent="0.25">
      <c r="A66">
        <v>2.3999999999999702</v>
      </c>
      <c r="B66" s="77">
        <f t="shared" si="1"/>
        <v>2.5602752445349174E-2</v>
      </c>
      <c r="C66" s="78"/>
      <c r="D66" s="78"/>
    </row>
    <row r="67" spans="1:4" x14ac:dyDescent="0.25">
      <c r="A67">
        <v>2.4999999999999698</v>
      </c>
      <c r="B67" s="77">
        <f t="shared" ref="B67:B82" si="4">_xlfn.T.DIST(A67,34,FALSE)</f>
        <v>2.0663089171109365E-2</v>
      </c>
      <c r="C67" s="78"/>
    </row>
    <row r="68" spans="1:4" x14ac:dyDescent="0.25">
      <c r="A68">
        <v>2.5999999999999699</v>
      </c>
      <c r="B68" s="77">
        <f t="shared" si="4"/>
        <v>1.6576779622716181E-2</v>
      </c>
      <c r="C68" s="78"/>
    </row>
    <row r="69" spans="1:4" x14ac:dyDescent="0.25">
      <c r="A69">
        <v>2.69999999999997</v>
      </c>
      <c r="B69" s="77">
        <f t="shared" si="4"/>
        <v>1.3222475832279682E-2</v>
      </c>
      <c r="C69" s="78"/>
    </row>
    <row r="70" spans="1:4" x14ac:dyDescent="0.25">
      <c r="A70">
        <v>2.7999999999999701</v>
      </c>
      <c r="B70" s="77">
        <f t="shared" si="4"/>
        <v>1.0489237155591233E-2</v>
      </c>
      <c r="C70" s="78"/>
    </row>
    <row r="71" spans="1:4" x14ac:dyDescent="0.25">
      <c r="A71">
        <v>2.8999999999999702</v>
      </c>
      <c r="B71" s="77">
        <f t="shared" si="4"/>
        <v>8.2775814753858791E-3</v>
      </c>
      <c r="C71" s="78"/>
    </row>
    <row r="72" spans="1:4" x14ac:dyDescent="0.25">
      <c r="A72">
        <v>2.9999999999999698</v>
      </c>
      <c r="B72" s="77">
        <f t="shared" si="4"/>
        <v>6.4998039815456748E-3</v>
      </c>
      <c r="C72" s="78"/>
    </row>
    <row r="73" spans="1:4" x14ac:dyDescent="0.25">
      <c r="A73">
        <v>3.0999999999999699</v>
      </c>
      <c r="B73" s="77">
        <f t="shared" si="4"/>
        <v>5.0797427063027463E-3</v>
      </c>
      <c r="C73" s="78"/>
    </row>
    <row r="74" spans="1:4" x14ac:dyDescent="0.25">
      <c r="A74">
        <v>3.19999999999997</v>
      </c>
      <c r="B74" s="77">
        <f t="shared" si="4"/>
        <v>3.952152207361859E-3</v>
      </c>
      <c r="C74" s="78"/>
    </row>
    <row r="75" spans="1:4" x14ac:dyDescent="0.25">
      <c r="A75">
        <v>3.2999999999999701</v>
      </c>
      <c r="B75" s="77">
        <f t="shared" si="4"/>
        <v>3.0618233989494373E-3</v>
      </c>
      <c r="C75" s="78"/>
    </row>
    <row r="76" spans="1:4" x14ac:dyDescent="0.25">
      <c r="A76">
        <v>3.3999999999999702</v>
      </c>
      <c r="B76" s="77">
        <f t="shared" si="4"/>
        <v>2.3625619901696342E-3</v>
      </c>
      <c r="C76" s="78"/>
    </row>
    <row r="77" spans="1:4" x14ac:dyDescent="0.25">
      <c r="A77">
        <v>3.4999999999999698</v>
      </c>
      <c r="B77" s="77">
        <f t="shared" si="4"/>
        <v>1.8161128587309441E-3</v>
      </c>
      <c r="C77" s="78"/>
    </row>
    <row r="78" spans="1:4" x14ac:dyDescent="0.25">
      <c r="A78">
        <v>3.5999999999999699</v>
      </c>
      <c r="B78" s="77">
        <f t="shared" si="4"/>
        <v>1.3910946744875648E-3</v>
      </c>
      <c r="C78" s="78"/>
    </row>
    <row r="79" spans="1:4" x14ac:dyDescent="0.25">
      <c r="A79">
        <v>3.69999999999997</v>
      </c>
      <c r="B79" s="77">
        <f t="shared" si="4"/>
        <v>1.0619891741884581E-3</v>
      </c>
      <c r="C79" s="78"/>
    </row>
    <row r="80" spans="1:4" x14ac:dyDescent="0.25">
      <c r="A80">
        <v>3.7999999999999701</v>
      </c>
      <c r="B80" s="77">
        <f t="shared" si="4"/>
        <v>8.0821308789561094E-4</v>
      </c>
      <c r="C80" s="78"/>
    </row>
    <row r="81" spans="1:3" x14ac:dyDescent="0.25">
      <c r="A81">
        <v>3.8999999999999702</v>
      </c>
      <c r="B81" s="77">
        <f t="shared" si="4"/>
        <v>6.1328782635262837E-4</v>
      </c>
      <c r="C81" s="78"/>
    </row>
    <row r="82" spans="1:3" x14ac:dyDescent="0.25">
      <c r="A82">
        <v>3.9999999999999698</v>
      </c>
      <c r="B82" s="77">
        <f t="shared" si="4"/>
        <v>4.6411238334702657E-4</v>
      </c>
      <c r="C82" s="78"/>
    </row>
    <row r="83" spans="1:3" x14ac:dyDescent="0.25">
      <c r="B83" s="77"/>
      <c r="C83" s="78"/>
    </row>
    <row r="84" spans="1:3" x14ac:dyDescent="0.25">
      <c r="B84" s="77"/>
      <c r="C84" s="78"/>
    </row>
    <row r="85" spans="1:3" x14ac:dyDescent="0.25">
      <c r="B85" s="77"/>
      <c r="C85" s="78"/>
    </row>
    <row r="86" spans="1:3" x14ac:dyDescent="0.25">
      <c r="B86" s="77"/>
      <c r="C86" s="78"/>
    </row>
    <row r="87" spans="1:3" x14ac:dyDescent="0.25">
      <c r="B87" s="77"/>
    </row>
    <row r="88" spans="1:3" x14ac:dyDescent="0.25">
      <c r="B88" s="77"/>
    </row>
    <row r="89" spans="1:3" x14ac:dyDescent="0.25">
      <c r="B89" s="77"/>
    </row>
    <row r="90" spans="1:3" x14ac:dyDescent="0.25">
      <c r="B90" s="77"/>
    </row>
    <row r="91" spans="1:3" x14ac:dyDescent="0.25">
      <c r="B91" s="77"/>
    </row>
    <row r="92" spans="1:3" x14ac:dyDescent="0.25">
      <c r="B92" s="77"/>
    </row>
    <row r="93" spans="1:3" x14ac:dyDescent="0.25">
      <c r="B93" s="77"/>
    </row>
    <row r="94" spans="1:3" x14ac:dyDescent="0.25">
      <c r="B94" s="77"/>
    </row>
    <row r="95" spans="1:3" x14ac:dyDescent="0.25">
      <c r="B95" s="77"/>
    </row>
    <row r="96" spans="1:3" x14ac:dyDescent="0.25">
      <c r="B96" s="77"/>
    </row>
    <row r="97" spans="2:2" x14ac:dyDescent="0.25">
      <c r="B97" s="77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97"/>
  <sheetViews>
    <sheetView workbookViewId="0">
      <selection activeCell="L13" sqref="L13"/>
    </sheetView>
  </sheetViews>
  <sheetFormatPr defaultRowHeight="15" x14ac:dyDescent="0.25"/>
  <cols>
    <col min="4" max="4" width="12" bestFit="1" customWidth="1"/>
    <col min="15" max="15" width="19.85546875" bestFit="1" customWidth="1"/>
  </cols>
  <sheetData>
    <row r="1" spans="1:15" x14ac:dyDescent="0.25">
      <c r="A1" t="s">
        <v>155</v>
      </c>
      <c r="B1" s="77" t="s">
        <v>156</v>
      </c>
      <c r="C1" t="s">
        <v>157</v>
      </c>
    </row>
    <row r="2" spans="1:15" x14ac:dyDescent="0.25">
      <c r="A2">
        <v>-4</v>
      </c>
      <c r="B2" s="77">
        <f>_xlfn.T.DIST(A2,34,FALSE)</f>
        <v>4.6411238334698759E-4</v>
      </c>
      <c r="C2" s="78">
        <f t="shared" ref="C2:C21" si="0">B2</f>
        <v>4.6411238334698759E-4</v>
      </c>
      <c r="D2" s="78">
        <f>_xlfn.T.DIST(A2,34,TRUE)</f>
        <v>1.6191100413575458E-4</v>
      </c>
    </row>
    <row r="3" spans="1:15" x14ac:dyDescent="0.25">
      <c r="A3">
        <v>-3.9</v>
      </c>
      <c r="B3" s="77">
        <f t="shared" ref="B3:B66" si="1">_xlfn.T.DIST(A3,34,FALSE)</f>
        <v>6.132878263525785E-4</v>
      </c>
      <c r="C3" s="78">
        <f t="shared" si="0"/>
        <v>6.132878263525785E-4</v>
      </c>
      <c r="D3" s="78">
        <f t="shared" ref="D3:D59" si="2">_xlfn.T.DIST(A3,34,TRUE)</f>
        <v>2.1544665718464353E-4</v>
      </c>
    </row>
    <row r="4" spans="1:15" x14ac:dyDescent="0.25">
      <c r="A4">
        <v>-3.8</v>
      </c>
      <c r="B4" s="77">
        <f t="shared" si="1"/>
        <v>8.0821308789554448E-4</v>
      </c>
      <c r="C4" s="78">
        <f t="shared" si="0"/>
        <v>8.0821308789554448E-4</v>
      </c>
      <c r="D4" s="78">
        <f t="shared" si="2"/>
        <v>2.8609051797626195E-4</v>
      </c>
    </row>
    <row r="5" spans="1:15" x14ac:dyDescent="0.25">
      <c r="A5">
        <v>-3.7</v>
      </c>
      <c r="B5" s="77">
        <f t="shared" si="1"/>
        <v>1.0619891741883709E-3</v>
      </c>
      <c r="C5" s="78">
        <f t="shared" si="0"/>
        <v>1.0619891741883709E-3</v>
      </c>
      <c r="D5" s="78">
        <f t="shared" si="2"/>
        <v>3.7904722961070646E-4</v>
      </c>
    </row>
    <row r="6" spans="1:15" x14ac:dyDescent="0.25">
      <c r="A6">
        <v>-3.6</v>
      </c>
      <c r="B6" s="77">
        <f t="shared" si="1"/>
        <v>1.391094674487454E-3</v>
      </c>
      <c r="C6" s="78">
        <f t="shared" si="0"/>
        <v>1.391094674487454E-3</v>
      </c>
      <c r="D6" s="78">
        <f t="shared" si="2"/>
        <v>5.0099478631437564E-4</v>
      </c>
    </row>
    <row r="7" spans="1:15" x14ac:dyDescent="0.25">
      <c r="A7">
        <v>-3.5000000000000102</v>
      </c>
      <c r="B7" s="77">
        <f t="shared" si="1"/>
        <v>1.8161128587307514E-3</v>
      </c>
      <c r="C7" s="78">
        <f t="shared" si="0"/>
        <v>1.8161128587307514E-3</v>
      </c>
      <c r="D7" s="78">
        <f t="shared" si="2"/>
        <v>6.6045778377269348E-4</v>
      </c>
    </row>
    <row r="8" spans="1:15" x14ac:dyDescent="0.25">
      <c r="A8">
        <v>-3.4000000000000101</v>
      </c>
      <c r="B8" s="77">
        <f t="shared" si="1"/>
        <v>2.3625619901693896E-3</v>
      </c>
      <c r="C8" s="78">
        <f t="shared" si="0"/>
        <v>2.3625619901693896E-3</v>
      </c>
      <c r="D8" s="78">
        <f t="shared" si="2"/>
        <v>8.6825855297476549E-4</v>
      </c>
    </row>
    <row r="9" spans="1:15" x14ac:dyDescent="0.25">
      <c r="A9">
        <v>-3.30000000000001</v>
      </c>
      <c r="B9" s="77">
        <f t="shared" si="1"/>
        <v>3.0618233989491215E-3</v>
      </c>
      <c r="C9" s="78">
        <f t="shared" si="0"/>
        <v>3.0618233989491215E-3</v>
      </c>
      <c r="D9" s="78">
        <f t="shared" si="2"/>
        <v>1.1380562943993208E-3</v>
      </c>
    </row>
    <row r="10" spans="1:15" x14ac:dyDescent="0.25">
      <c r="A10">
        <v>-3.2000000000000099</v>
      </c>
      <c r="B10" s="77">
        <f t="shared" si="1"/>
        <v>3.9521522073614626E-3</v>
      </c>
      <c r="C10" s="78">
        <f t="shared" si="0"/>
        <v>3.9521522073614626E-3</v>
      </c>
      <c r="D10" s="78">
        <f t="shared" si="2"/>
        <v>1.4869833265482428E-3</v>
      </c>
    </row>
    <row r="11" spans="1:15" x14ac:dyDescent="0.25">
      <c r="A11">
        <v>-3.1000000000000099</v>
      </c>
      <c r="B11" s="77">
        <f t="shared" si="1"/>
        <v>5.0797427063022406E-3</v>
      </c>
      <c r="C11" s="78">
        <f t="shared" si="0"/>
        <v>5.0797427063022406E-3</v>
      </c>
      <c r="D11" s="78">
        <f t="shared" si="2"/>
        <v>1.9363854357691815E-3</v>
      </c>
    </row>
    <row r="12" spans="1:15" x14ac:dyDescent="0.25">
      <c r="A12">
        <v>-3.0000000000000102</v>
      </c>
      <c r="B12" s="77">
        <f t="shared" si="1"/>
        <v>6.4998039815450329E-3</v>
      </c>
      <c r="C12" s="78">
        <f t="shared" si="0"/>
        <v>6.4998039815450329E-3</v>
      </c>
      <c r="D12" s="78">
        <f t="shared" si="2"/>
        <v>2.5126697239910819E-3</v>
      </c>
      <c r="E12" s="78"/>
    </row>
    <row r="13" spans="1:15" x14ac:dyDescent="0.25">
      <c r="A13">
        <v>-2.9000000000000101</v>
      </c>
      <c r="B13" s="77">
        <f t="shared" si="1"/>
        <v>8.2775814753850881E-3</v>
      </c>
      <c r="C13" s="78">
        <f t="shared" si="0"/>
        <v>8.2775814753850881E-3</v>
      </c>
      <c r="D13" s="78">
        <f t="shared" si="2"/>
        <v>3.2482579435073322E-3</v>
      </c>
    </row>
    <row r="14" spans="1:15" x14ac:dyDescent="0.25">
      <c r="A14">
        <v>-2.80000000000001</v>
      </c>
      <c r="B14" s="77">
        <f t="shared" si="1"/>
        <v>1.0489237155590249E-2</v>
      </c>
      <c r="C14" s="78">
        <f t="shared" si="0"/>
        <v>1.0489237155590249E-2</v>
      </c>
      <c r="D14" s="78">
        <f t="shared" si="2"/>
        <v>4.1826357485542495E-3</v>
      </c>
    </row>
    <row r="15" spans="1:15" x14ac:dyDescent="0.25">
      <c r="A15">
        <v>-2.7000000000000099</v>
      </c>
      <c r="B15" s="77">
        <f t="shared" si="1"/>
        <v>1.3222475832278481E-2</v>
      </c>
      <c r="C15" s="78">
        <f t="shared" si="0"/>
        <v>1.3222475832278481E-2</v>
      </c>
      <c r="D15" s="78">
        <f t="shared" si="2"/>
        <v>5.3634783158067398E-3</v>
      </c>
      <c r="O15" s="79"/>
    </row>
    <row r="16" spans="1:15" x14ac:dyDescent="0.25">
      <c r="A16">
        <v>-2.6000000000000099</v>
      </c>
      <c r="B16" s="77">
        <f t="shared" si="1"/>
        <v>1.6576779622714716E-2</v>
      </c>
      <c r="C16" s="78">
        <f t="shared" si="0"/>
        <v>1.6576779622714716E-2</v>
      </c>
      <c r="D16" s="78">
        <f t="shared" si="2"/>
        <v>6.8478202570675401E-3</v>
      </c>
    </row>
    <row r="17" spans="1:5" x14ac:dyDescent="0.25">
      <c r="A17">
        <v>-2.5000000000000102</v>
      </c>
      <c r="B17" s="77">
        <f t="shared" si="1"/>
        <v>2.066308917110754E-2</v>
      </c>
      <c r="C17" s="78">
        <f t="shared" si="0"/>
        <v>2.066308917110754E-2</v>
      </c>
      <c r="D17" s="78">
        <f t="shared" si="2"/>
        <v>8.7032227468421298E-3</v>
      </c>
      <c r="E17" s="78"/>
    </row>
    <row r="18" spans="1:5" x14ac:dyDescent="0.25">
      <c r="A18">
        <v>-2.4000000000000101</v>
      </c>
      <c r="B18" s="77">
        <f t="shared" si="1"/>
        <v>2.5602752445347009E-2</v>
      </c>
      <c r="C18" s="78">
        <f t="shared" si="0"/>
        <v>2.5602752445347009E-2</v>
      </c>
      <c r="D18" s="78">
        <f t="shared" si="2"/>
        <v>1.1008873695459387E-2</v>
      </c>
      <c r="E18" s="78"/>
    </row>
    <row r="19" spans="1:5" x14ac:dyDescent="0.25">
      <c r="A19">
        <v>-2.30000000000001</v>
      </c>
      <c r="B19" s="77">
        <f t="shared" si="1"/>
        <v>3.152555405883728E-2</v>
      </c>
      <c r="C19" s="78">
        <f t="shared" si="0"/>
        <v>3.152555405883728E-2</v>
      </c>
      <c r="D19" s="78">
        <f t="shared" si="2"/>
        <v>1.3856538384477406E-2</v>
      </c>
      <c r="E19" s="78"/>
    </row>
    <row r="20" spans="1:5" x14ac:dyDescent="0.25">
      <c r="A20">
        <v>-2.2000000000000099</v>
      </c>
      <c r="B20" s="77">
        <f t="shared" si="1"/>
        <v>3.856664502933202E-2</v>
      </c>
      <c r="C20" s="78">
        <f t="shared" si="0"/>
        <v>3.856664502933202E-2</v>
      </c>
      <c r="D20" s="78">
        <f t="shared" si="2"/>
        <v>1.7351259478998168E-2</v>
      </c>
      <c r="E20" s="78"/>
    </row>
    <row r="21" spans="1:5" x14ac:dyDescent="0.25">
      <c r="A21">
        <v>-2.1000000000000099</v>
      </c>
      <c r="B21" s="77">
        <f t="shared" si="1"/>
        <v>4.6862219813468227E-2</v>
      </c>
      <c r="C21" s="78">
        <f t="shared" si="0"/>
        <v>4.6862219813468227E-2</v>
      </c>
      <c r="D21" s="78">
        <f t="shared" si="2"/>
        <v>2.1611688481916233E-2</v>
      </c>
      <c r="E21" s="78"/>
    </row>
    <row r="22" spans="1:5" x14ac:dyDescent="0.25">
      <c r="A22">
        <v>-2.0000000000000102</v>
      </c>
      <c r="B22" s="77">
        <f t="shared" si="1"/>
        <v>5.6543839022277144E-2</v>
      </c>
      <c r="C22" s="78">
        <f>B22</f>
        <v>5.6543839022277144E-2</v>
      </c>
      <c r="D22" s="78">
        <f t="shared" si="2"/>
        <v>2.6769917735224621E-2</v>
      </c>
      <c r="E22" s="78"/>
    </row>
    <row r="23" spans="1:5" x14ac:dyDescent="0.25">
      <c r="A23">
        <v>-1.9000000000000099</v>
      </c>
      <c r="B23" s="77">
        <f t="shared" si="1"/>
        <v>6.7731375795361468E-2</v>
      </c>
      <c r="C23" s="78">
        <f t="shared" ref="C23:C59" si="3">B23</f>
        <v>6.7731375795361468E-2</v>
      </c>
      <c r="D23" s="78">
        <f t="shared" si="2"/>
        <v>3.2970675650568347E-2</v>
      </c>
    </row>
    <row r="24" spans="1:5" x14ac:dyDescent="0.25">
      <c r="A24">
        <v>-1.80000000000001</v>
      </c>
      <c r="B24" s="77">
        <f t="shared" si="1"/>
        <v>8.0524672427093547E-2</v>
      </c>
      <c r="C24" s="78">
        <f t="shared" si="3"/>
        <v>8.0524672427093547E-2</v>
      </c>
      <c r="D24" s="78">
        <f t="shared" si="2"/>
        <v>4.0369750841592854E-2</v>
      </c>
    </row>
    <row r="25" spans="1:5" x14ac:dyDescent="0.25">
      <c r="A25">
        <v>-1.7000000000000099</v>
      </c>
      <c r="B25" s="77">
        <f t="shared" si="1"/>
        <v>9.4994129147979431E-2</v>
      </c>
      <c r="C25" s="78">
        <f t="shared" si="3"/>
        <v>9.4994129147979431E-2</v>
      </c>
      <c r="D25" s="78">
        <f t="shared" si="2"/>
        <v>4.9131526053590585E-2</v>
      </c>
    </row>
    <row r="26" spans="1:5" x14ac:dyDescent="0.25">
      <c r="A26">
        <v>-1.6000000000000101</v>
      </c>
      <c r="B26" s="77">
        <f t="shared" si="1"/>
        <v>0.11117060230948635</v>
      </c>
      <c r="C26" s="78">
        <f t="shared" si="3"/>
        <v>0.11117060230948635</v>
      </c>
      <c r="D26" s="78">
        <f t="shared" si="2"/>
        <v>5.9425532616962373E-2</v>
      </c>
    </row>
    <row r="27" spans="1:5" x14ac:dyDescent="0.25">
      <c r="A27">
        <v>-1.50000000000001</v>
      </c>
      <c r="B27" s="77">
        <f t="shared" si="1"/>
        <v>0.12903515306731408</v>
      </c>
      <c r="C27" s="78">
        <f t="shared" si="3"/>
        <v>0.12903515306731408</v>
      </c>
      <c r="D27" s="78">
        <f t="shared" si="2"/>
        <v>7.1421982058528469E-2</v>
      </c>
    </row>
    <row r="28" spans="1:5" x14ac:dyDescent="0.25">
      <c r="A28">
        <v>-1.4000000000000099</v>
      </c>
      <c r="B28" s="77">
        <f t="shared" si="1"/>
        <v>0.14850934363123147</v>
      </c>
      <c r="C28" s="78">
        <f t="shared" si="3"/>
        <v>0.14850934363123147</v>
      </c>
      <c r="D28" s="78">
        <f t="shared" si="2"/>
        <v>8.5286293558318058E-2</v>
      </c>
    </row>
    <row r="29" spans="1:5" x14ac:dyDescent="0.25">
      <c r="A29">
        <v>-1.30000000000001</v>
      </c>
      <c r="B29" s="77">
        <f t="shared" si="1"/>
        <v>0.16944690588134464</v>
      </c>
      <c r="C29" s="78">
        <f t="shared" si="3"/>
        <v>0.16944690588134464</v>
      </c>
      <c r="D29" s="78">
        <f t="shared" si="2"/>
        <v>0.10117271236068363</v>
      </c>
    </row>
    <row r="30" spans="1:5" x14ac:dyDescent="0.25">
      <c r="A30">
        <v>-1.2000000000000099</v>
      </c>
      <c r="B30" s="77">
        <f t="shared" si="1"/>
        <v>0.19162768407404437</v>
      </c>
      <c r="C30" s="78">
        <f t="shared" si="3"/>
        <v>0.19162768407404437</v>
      </c>
      <c r="D30" s="78">
        <f t="shared" si="2"/>
        <v>0.11921720109324913</v>
      </c>
    </row>
    <row r="31" spans="1:5" x14ac:dyDescent="0.25">
      <c r="A31">
        <v>-1.1000000000000101</v>
      </c>
      <c r="B31" s="77">
        <f t="shared" si="1"/>
        <v>0.21475475743363986</v>
      </c>
      <c r="C31" s="78">
        <f t="shared" si="3"/>
        <v>0.21475475743363986</v>
      </c>
      <c r="D31" s="78">
        <f t="shared" si="2"/>
        <v>0.13952987701446759</v>
      </c>
    </row>
    <row r="32" spans="1:5" x14ac:dyDescent="0.25">
      <c r="A32">
        <v>-1.00000000000001</v>
      </c>
      <c r="B32" s="77">
        <f t="shared" si="1"/>
        <v>0.23845556157486333</v>
      </c>
      <c r="C32" s="78">
        <f t="shared" si="3"/>
        <v>0.23845556157486333</v>
      </c>
      <c r="D32" s="78">
        <f t="shared" si="2"/>
        <v>0.16218735526310041</v>
      </c>
    </row>
    <row r="33" spans="1:4" x14ac:dyDescent="0.25">
      <c r="A33">
        <v>-0.90000000000001001</v>
      </c>
      <c r="B33" s="77">
        <f t="shared" si="1"/>
        <v>0.26228763956569534</v>
      </c>
      <c r="C33" s="78">
        <f t="shared" si="3"/>
        <v>0.26228763956569534</v>
      </c>
      <c r="D33" s="78">
        <f t="shared" si="2"/>
        <v>0.18722543153075627</v>
      </c>
    </row>
    <row r="34" spans="1:4" x14ac:dyDescent="0.25">
      <c r="A34">
        <v>-0.80000000000001004</v>
      </c>
      <c r="B34" s="77">
        <f t="shared" si="1"/>
        <v>0.28574936479983781</v>
      </c>
      <c r="C34" s="78">
        <f t="shared" si="3"/>
        <v>0.28574936479983781</v>
      </c>
      <c r="D34" s="78">
        <f t="shared" si="2"/>
        <v>0.21463258702726551</v>
      </c>
    </row>
    <row r="35" spans="1:4" x14ac:dyDescent="0.25">
      <c r="A35">
        <v>-0.70000000000002005</v>
      </c>
      <c r="B35" s="77">
        <f t="shared" si="1"/>
        <v>0.30829560302704156</v>
      </c>
      <c r="C35" s="78">
        <f t="shared" si="3"/>
        <v>0.30829560302704156</v>
      </c>
      <c r="D35" s="78">
        <f t="shared" si="2"/>
        <v>0.2443448147050834</v>
      </c>
    </row>
    <row r="36" spans="1:4" x14ac:dyDescent="0.25">
      <c r="A36">
        <v>-0.60000000000001996</v>
      </c>
      <c r="B36" s="77">
        <f t="shared" si="1"/>
        <v>0.32935784843194688</v>
      </c>
      <c r="C36" s="78">
        <f t="shared" si="3"/>
        <v>0.32935784843194688</v>
      </c>
      <c r="D36" s="78">
        <f t="shared" si="2"/>
        <v>0.27624224114654355</v>
      </c>
    </row>
    <row r="37" spans="1:4" x14ac:dyDescent="0.25">
      <c r="A37">
        <v>-0.50000000000001998</v>
      </c>
      <c r="B37" s="77">
        <f t="shared" si="1"/>
        <v>0.34836791976904163</v>
      </c>
      <c r="C37" s="78">
        <f t="shared" si="3"/>
        <v>0.34836791976904163</v>
      </c>
      <c r="D37" s="78">
        <f t="shared" si="2"/>
        <v>0.31014794950076174</v>
      </c>
    </row>
    <row r="38" spans="1:4" x14ac:dyDescent="0.25">
      <c r="A38">
        <v>-0.40000000000002001</v>
      </c>
      <c r="B38" s="77">
        <f t="shared" si="1"/>
        <v>0.36478388717349314</v>
      </c>
      <c r="C38" s="78">
        <f t="shared" si="3"/>
        <v>0.36478388717349314</v>
      </c>
      <c r="D38" s="78">
        <f t="shared" si="2"/>
        <v>0.34582929618896807</v>
      </c>
    </row>
    <row r="39" spans="1:4" x14ac:dyDescent="0.25">
      <c r="A39">
        <v>-0.30000000000001997</v>
      </c>
      <c r="B39" s="77">
        <f t="shared" si="1"/>
        <v>0.37811657092844098</v>
      </c>
      <c r="C39" s="78">
        <f t="shared" si="3"/>
        <v>0.37811657092844098</v>
      </c>
      <c r="D39" s="78">
        <f t="shared" si="2"/>
        <v>0.38300186376260525</v>
      </c>
    </row>
    <row r="40" spans="1:4" x14ac:dyDescent="0.25">
      <c r="A40">
        <v>-0.20000000000002</v>
      </c>
      <c r="B40" s="77">
        <f t="shared" si="1"/>
        <v>0.38795475793268908</v>
      </c>
      <c r="C40" s="78">
        <f t="shared" si="3"/>
        <v>0.38795475793268908</v>
      </c>
      <c r="D40" s="78">
        <f t="shared" si="2"/>
        <v>0.421336015363107</v>
      </c>
    </row>
    <row r="41" spans="1:4" x14ac:dyDescent="0.25">
      <c r="A41">
        <v>-0.10000000000002</v>
      </c>
      <c r="B41" s="77">
        <f t="shared" si="1"/>
        <v>0.39398725519917416</v>
      </c>
      <c r="C41" s="78">
        <f t="shared" si="3"/>
        <v>0.39398725519917416</v>
      </c>
      <c r="D41" s="78">
        <f t="shared" si="2"/>
        <v>0.46046582797529034</v>
      </c>
    </row>
    <row r="42" spans="1:4" x14ac:dyDescent="0.25">
      <c r="A42">
        <v>-2.0428103653102899E-14</v>
      </c>
      <c r="B42" s="77">
        <f t="shared" si="1"/>
        <v>0.39602005884318436</v>
      </c>
      <c r="C42" s="78">
        <f t="shared" si="3"/>
        <v>0.39602005884318436</v>
      </c>
      <c r="D42" s="78">
        <f t="shared" si="2"/>
        <v>0.5</v>
      </c>
    </row>
    <row r="43" spans="1:4" x14ac:dyDescent="0.25">
      <c r="A43">
        <v>9.9999999999980105E-2</v>
      </c>
      <c r="B43" s="77">
        <f t="shared" si="1"/>
        <v>0.39398725519917577</v>
      </c>
      <c r="C43" s="78">
        <f t="shared" si="3"/>
        <v>0.39398725519917577</v>
      </c>
      <c r="D43" s="78">
        <f t="shared" si="2"/>
        <v>0.539534172024694</v>
      </c>
    </row>
    <row r="44" spans="1:4" x14ac:dyDescent="0.25">
      <c r="A44">
        <v>0.19999999999998</v>
      </c>
      <c r="B44" s="77">
        <f t="shared" si="1"/>
        <v>0.38795475793269224</v>
      </c>
      <c r="C44" s="78">
        <f t="shared" si="3"/>
        <v>0.38795475793269224</v>
      </c>
      <c r="D44" s="78">
        <f t="shared" si="2"/>
        <v>0.57866398463687752</v>
      </c>
    </row>
    <row r="45" spans="1:4" x14ac:dyDescent="0.25">
      <c r="A45">
        <v>0.29999999999998</v>
      </c>
      <c r="B45" s="77">
        <f t="shared" si="1"/>
        <v>0.37811657092844558</v>
      </c>
      <c r="C45" s="78">
        <f t="shared" si="3"/>
        <v>0.37811657092844558</v>
      </c>
      <c r="D45" s="78">
        <f t="shared" si="2"/>
        <v>0.61699813623737965</v>
      </c>
    </row>
    <row r="46" spans="1:4" x14ac:dyDescent="0.25">
      <c r="A46">
        <v>0.39999999999997998</v>
      </c>
      <c r="B46" s="77">
        <f t="shared" si="1"/>
        <v>0.36478388717349908</v>
      </c>
      <c r="C46" s="78">
        <f t="shared" si="3"/>
        <v>0.36478388717349908</v>
      </c>
      <c r="D46" s="78">
        <f t="shared" si="2"/>
        <v>0.65417070381101738</v>
      </c>
    </row>
    <row r="47" spans="1:4" x14ac:dyDescent="0.25">
      <c r="A47">
        <v>0.49999999999998002</v>
      </c>
      <c r="B47" s="77">
        <f t="shared" si="1"/>
        <v>0.34836791976904874</v>
      </c>
      <c r="C47" s="78">
        <f t="shared" si="3"/>
        <v>0.34836791976904874</v>
      </c>
      <c r="D47" s="78">
        <f t="shared" si="2"/>
        <v>0.68985205049922427</v>
      </c>
    </row>
    <row r="48" spans="1:4" x14ac:dyDescent="0.25">
      <c r="A48">
        <v>0.59999999999997999</v>
      </c>
      <c r="B48" s="77">
        <f t="shared" si="1"/>
        <v>0.32935784843195492</v>
      </c>
      <c r="C48" s="78">
        <f t="shared" si="3"/>
        <v>0.32935784843195492</v>
      </c>
      <c r="D48" s="78">
        <f t="shared" si="2"/>
        <v>0.72375775885344318</v>
      </c>
    </row>
    <row r="49" spans="1:14" x14ac:dyDescent="0.25">
      <c r="A49">
        <v>0.69999999999997997</v>
      </c>
      <c r="B49" s="77">
        <f t="shared" si="1"/>
        <v>0.30829560302705039</v>
      </c>
      <c r="C49" s="78">
        <f t="shared" si="3"/>
        <v>0.30829560302705039</v>
      </c>
      <c r="D49" s="78">
        <f t="shared" si="2"/>
        <v>0.75565518529490427</v>
      </c>
    </row>
    <row r="50" spans="1:14" x14ac:dyDescent="0.25">
      <c r="A50">
        <v>0.79999999999997995</v>
      </c>
      <c r="B50" s="77">
        <f t="shared" si="1"/>
        <v>0.28574936479984475</v>
      </c>
      <c r="C50" s="78">
        <f t="shared" si="3"/>
        <v>0.28574936479984475</v>
      </c>
      <c r="D50" s="78">
        <f t="shared" si="2"/>
        <v>0.78536741297272583</v>
      </c>
      <c r="N50" s="59"/>
    </row>
    <row r="51" spans="1:14" x14ac:dyDescent="0.25">
      <c r="A51">
        <v>0.89999999999998004</v>
      </c>
      <c r="B51" s="77">
        <f t="shared" si="1"/>
        <v>0.26228763956570245</v>
      </c>
      <c r="C51" s="78">
        <f t="shared" si="3"/>
        <v>0.26228763956570245</v>
      </c>
      <c r="D51" s="78">
        <f t="shared" si="2"/>
        <v>0.81277456846923601</v>
      </c>
    </row>
    <row r="52" spans="1:14" x14ac:dyDescent="0.25">
      <c r="A52">
        <v>0.99999999999998002</v>
      </c>
      <c r="B52" s="77">
        <f t="shared" si="1"/>
        <v>0.23845556157487044</v>
      </c>
      <c r="C52" s="78">
        <f t="shared" si="3"/>
        <v>0.23845556157487044</v>
      </c>
      <c r="D52" s="78">
        <f t="shared" si="2"/>
        <v>0.83781264473689232</v>
      </c>
    </row>
    <row r="53" spans="1:14" x14ac:dyDescent="0.25">
      <c r="A53">
        <v>1.0999999999999801</v>
      </c>
      <c r="B53" s="77">
        <f t="shared" si="1"/>
        <v>0.21475475743364689</v>
      </c>
      <c r="C53" s="78">
        <f t="shared" si="3"/>
        <v>0.21475475743364689</v>
      </c>
      <c r="D53" s="78">
        <f t="shared" si="2"/>
        <v>0.86047012298552616</v>
      </c>
    </row>
    <row r="54" spans="1:14" x14ac:dyDescent="0.25">
      <c r="A54">
        <v>1.19999999999998</v>
      </c>
      <c r="B54" s="77">
        <f t="shared" si="1"/>
        <v>0.1916276840740512</v>
      </c>
      <c r="C54" s="78">
        <f t="shared" si="3"/>
        <v>0.1916276840740512</v>
      </c>
      <c r="D54" s="78">
        <f t="shared" si="2"/>
        <v>0.88078279890674505</v>
      </c>
    </row>
    <row r="55" spans="1:14" x14ac:dyDescent="0.25">
      <c r="A55">
        <v>1.2999999999999801</v>
      </c>
      <c r="B55" s="77">
        <f t="shared" si="1"/>
        <v>0.16944690588135108</v>
      </c>
      <c r="C55" s="78">
        <f t="shared" si="3"/>
        <v>0.16944690588135108</v>
      </c>
      <c r="D55" s="78">
        <f t="shared" si="2"/>
        <v>0.8988272876393113</v>
      </c>
    </row>
    <row r="56" spans="1:14" x14ac:dyDescent="0.25">
      <c r="A56">
        <v>1.3999999999999799</v>
      </c>
      <c r="B56" s="77">
        <f t="shared" si="1"/>
        <v>0.14850934363123755</v>
      </c>
      <c r="C56" s="78">
        <f t="shared" si="3"/>
        <v>0.14850934363123755</v>
      </c>
      <c r="D56" s="78">
        <f t="shared" si="2"/>
        <v>0.91471370644167749</v>
      </c>
    </row>
    <row r="57" spans="1:14" x14ac:dyDescent="0.25">
      <c r="A57">
        <v>1.49999999999998</v>
      </c>
      <c r="B57" s="77">
        <f t="shared" si="1"/>
        <v>0.12903515306731977</v>
      </c>
      <c r="C57" s="78">
        <f t="shared" si="3"/>
        <v>0.12903515306731977</v>
      </c>
      <c r="D57" s="78">
        <f t="shared" si="2"/>
        <v>0.92857801794146788</v>
      </c>
    </row>
    <row r="58" spans="1:14" x14ac:dyDescent="0.25">
      <c r="A58">
        <v>1.5999999999999801</v>
      </c>
      <c r="B58" s="77">
        <f t="shared" si="1"/>
        <v>0.11117060230949151</v>
      </c>
      <c r="C58" s="78">
        <f t="shared" si="3"/>
        <v>0.11117060230949151</v>
      </c>
      <c r="D58" s="78">
        <f t="shared" si="2"/>
        <v>0.94057446738303441</v>
      </c>
    </row>
    <row r="59" spans="1:14" x14ac:dyDescent="0.25">
      <c r="A59">
        <v>1.69999999999998</v>
      </c>
      <c r="B59" s="77">
        <f t="shared" si="1"/>
        <v>9.4994129147984038E-2</v>
      </c>
      <c r="C59" s="78">
        <f t="shared" si="3"/>
        <v>9.4994129147984038E-2</v>
      </c>
      <c r="D59" s="78">
        <f t="shared" si="2"/>
        <v>0.9508684739464065</v>
      </c>
    </row>
    <row r="60" spans="1:14" x14ac:dyDescent="0.25">
      <c r="A60">
        <v>1.7999999999999801</v>
      </c>
      <c r="B60" s="77">
        <f t="shared" si="1"/>
        <v>8.0524672427097613E-2</v>
      </c>
      <c r="C60" s="78"/>
      <c r="D60" s="78"/>
    </row>
    <row r="61" spans="1:14" x14ac:dyDescent="0.25">
      <c r="A61">
        <v>1.8999999999999799</v>
      </c>
      <c r="B61" s="77">
        <f t="shared" si="1"/>
        <v>6.7731375795365062E-2</v>
      </c>
      <c r="C61" s="78"/>
    </row>
    <row r="62" spans="1:14" x14ac:dyDescent="0.25">
      <c r="A62">
        <v>1.99999999999998</v>
      </c>
      <c r="B62" s="77">
        <f t="shared" si="1"/>
        <v>5.6543839022280308E-2</v>
      </c>
      <c r="C62" s="78"/>
      <c r="D62" s="78"/>
    </row>
    <row r="63" spans="1:14" x14ac:dyDescent="0.25">
      <c r="A63">
        <v>2.0999999999999699</v>
      </c>
      <c r="B63" s="77">
        <f t="shared" si="1"/>
        <v>4.6862219813471807E-2</v>
      </c>
      <c r="C63" s="78"/>
    </row>
    <row r="64" spans="1:14" x14ac:dyDescent="0.25">
      <c r="A64">
        <v>2.19999999999997</v>
      </c>
      <c r="B64" s="77">
        <f t="shared" si="1"/>
        <v>3.8566645029335073E-2</v>
      </c>
      <c r="C64" s="78"/>
    </row>
    <row r="65" spans="1:4" x14ac:dyDescent="0.25">
      <c r="A65">
        <v>2.2999999999999701</v>
      </c>
      <c r="B65" s="77">
        <f t="shared" si="1"/>
        <v>3.152555405883984E-2</v>
      </c>
      <c r="C65" s="78"/>
    </row>
    <row r="66" spans="1:4" x14ac:dyDescent="0.25">
      <c r="A66">
        <v>2.3999999999999702</v>
      </c>
      <c r="B66" s="77">
        <f t="shared" si="1"/>
        <v>2.5602752445349174E-2</v>
      </c>
      <c r="C66" s="78"/>
      <c r="D66" s="78"/>
    </row>
    <row r="67" spans="1:4" x14ac:dyDescent="0.25">
      <c r="A67">
        <v>2.4999999999999698</v>
      </c>
      <c r="B67" s="77">
        <f t="shared" ref="B67:B82" si="4">_xlfn.T.DIST(A67,34,FALSE)</f>
        <v>2.0663089171109365E-2</v>
      </c>
      <c r="C67" s="78"/>
    </row>
    <row r="68" spans="1:4" x14ac:dyDescent="0.25">
      <c r="A68">
        <v>2.5999999999999699</v>
      </c>
      <c r="B68" s="77">
        <f t="shared" si="4"/>
        <v>1.6576779622716181E-2</v>
      </c>
      <c r="C68" s="78"/>
    </row>
    <row r="69" spans="1:4" x14ac:dyDescent="0.25">
      <c r="A69">
        <v>2.69999999999997</v>
      </c>
      <c r="B69" s="77">
        <f t="shared" si="4"/>
        <v>1.3222475832279682E-2</v>
      </c>
      <c r="C69" s="78"/>
    </row>
    <row r="70" spans="1:4" x14ac:dyDescent="0.25">
      <c r="A70">
        <v>2.7999999999999701</v>
      </c>
      <c r="B70" s="77">
        <f t="shared" si="4"/>
        <v>1.0489237155591233E-2</v>
      </c>
      <c r="C70" s="78"/>
    </row>
    <row r="71" spans="1:4" x14ac:dyDescent="0.25">
      <c r="A71">
        <v>2.8999999999999702</v>
      </c>
      <c r="B71" s="77">
        <f t="shared" si="4"/>
        <v>8.2775814753858791E-3</v>
      </c>
      <c r="C71" s="78"/>
    </row>
    <row r="72" spans="1:4" x14ac:dyDescent="0.25">
      <c r="A72">
        <v>2.9999999999999698</v>
      </c>
      <c r="B72" s="77">
        <f t="shared" si="4"/>
        <v>6.4998039815456748E-3</v>
      </c>
      <c r="C72" s="78"/>
    </row>
    <row r="73" spans="1:4" x14ac:dyDescent="0.25">
      <c r="A73">
        <v>3.0999999999999699</v>
      </c>
      <c r="B73" s="77">
        <f t="shared" si="4"/>
        <v>5.0797427063027463E-3</v>
      </c>
      <c r="C73" s="78"/>
    </row>
    <row r="74" spans="1:4" x14ac:dyDescent="0.25">
      <c r="A74">
        <v>3.19999999999997</v>
      </c>
      <c r="B74" s="77">
        <f t="shared" si="4"/>
        <v>3.952152207361859E-3</v>
      </c>
      <c r="C74" s="78"/>
    </row>
    <row r="75" spans="1:4" x14ac:dyDescent="0.25">
      <c r="A75">
        <v>3.2999999999999701</v>
      </c>
      <c r="B75" s="77">
        <f t="shared" si="4"/>
        <v>3.0618233989494373E-3</v>
      </c>
      <c r="C75" s="78"/>
    </row>
    <row r="76" spans="1:4" x14ac:dyDescent="0.25">
      <c r="A76">
        <v>3.3999999999999702</v>
      </c>
      <c r="B76" s="77">
        <f t="shared" si="4"/>
        <v>2.3625619901696342E-3</v>
      </c>
      <c r="C76" s="78"/>
    </row>
    <row r="77" spans="1:4" x14ac:dyDescent="0.25">
      <c r="A77">
        <v>3.4999999999999698</v>
      </c>
      <c r="B77" s="77">
        <f t="shared" si="4"/>
        <v>1.8161128587309441E-3</v>
      </c>
      <c r="C77" s="78"/>
    </row>
    <row r="78" spans="1:4" x14ac:dyDescent="0.25">
      <c r="A78">
        <v>3.5999999999999699</v>
      </c>
      <c r="B78" s="77">
        <f t="shared" si="4"/>
        <v>1.3910946744875648E-3</v>
      </c>
      <c r="C78" s="78"/>
    </row>
    <row r="79" spans="1:4" x14ac:dyDescent="0.25">
      <c r="A79">
        <v>3.69999999999997</v>
      </c>
      <c r="B79" s="77">
        <f t="shared" si="4"/>
        <v>1.0619891741884581E-3</v>
      </c>
      <c r="C79" s="78"/>
    </row>
    <row r="80" spans="1:4" x14ac:dyDescent="0.25">
      <c r="A80">
        <v>3.7999999999999701</v>
      </c>
      <c r="B80" s="77">
        <f t="shared" si="4"/>
        <v>8.0821308789561094E-4</v>
      </c>
      <c r="C80" s="78"/>
    </row>
    <row r="81" spans="1:3" x14ac:dyDescent="0.25">
      <c r="A81">
        <v>3.8999999999999702</v>
      </c>
      <c r="B81" s="77">
        <f t="shared" si="4"/>
        <v>6.1328782635262837E-4</v>
      </c>
      <c r="C81" s="78"/>
    </row>
    <row r="82" spans="1:3" x14ac:dyDescent="0.25">
      <c r="A82">
        <v>3.9999999999999698</v>
      </c>
      <c r="B82" s="77">
        <f t="shared" si="4"/>
        <v>4.6411238334702657E-4</v>
      </c>
      <c r="C82" s="78"/>
    </row>
    <row r="83" spans="1:3" x14ac:dyDescent="0.25">
      <c r="B83" s="77"/>
      <c r="C83" s="78"/>
    </row>
    <row r="84" spans="1:3" x14ac:dyDescent="0.25">
      <c r="B84" s="77"/>
      <c r="C84" s="78"/>
    </row>
    <row r="85" spans="1:3" x14ac:dyDescent="0.25">
      <c r="B85" s="77"/>
      <c r="C85" s="78"/>
    </row>
    <row r="86" spans="1:3" x14ac:dyDescent="0.25">
      <c r="B86" s="77"/>
      <c r="C86" s="78"/>
    </row>
    <row r="87" spans="1:3" x14ac:dyDescent="0.25">
      <c r="B87" s="77"/>
    </row>
    <row r="88" spans="1:3" x14ac:dyDescent="0.25">
      <c r="B88" s="77"/>
    </row>
    <row r="89" spans="1:3" x14ac:dyDescent="0.25">
      <c r="B89" s="77"/>
    </row>
    <row r="90" spans="1:3" x14ac:dyDescent="0.25">
      <c r="B90" s="77"/>
    </row>
    <row r="91" spans="1:3" x14ac:dyDescent="0.25">
      <c r="B91" s="77"/>
    </row>
    <row r="92" spans="1:3" x14ac:dyDescent="0.25">
      <c r="B92" s="77"/>
    </row>
    <row r="93" spans="1:3" x14ac:dyDescent="0.25">
      <c r="B93" s="77"/>
    </row>
    <row r="94" spans="1:3" x14ac:dyDescent="0.25">
      <c r="B94" s="77"/>
    </row>
    <row r="95" spans="1:3" x14ac:dyDescent="0.25">
      <c r="B95" s="77"/>
    </row>
    <row r="96" spans="1:3" x14ac:dyDescent="0.25">
      <c r="B96" s="77"/>
    </row>
    <row r="97" spans="2:2" x14ac:dyDescent="0.25">
      <c r="B97" s="77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97"/>
  <sheetViews>
    <sheetView topLeftCell="D1" workbookViewId="0">
      <selection activeCell="Q11" sqref="Q11"/>
    </sheetView>
  </sheetViews>
  <sheetFormatPr defaultRowHeight="15" x14ac:dyDescent="0.25"/>
  <cols>
    <col min="4" max="4" width="12" bestFit="1" customWidth="1"/>
  </cols>
  <sheetData>
    <row r="1" spans="1:5" x14ac:dyDescent="0.25">
      <c r="A1" t="s">
        <v>155</v>
      </c>
      <c r="B1" s="77" t="s">
        <v>156</v>
      </c>
      <c r="C1" t="s">
        <v>157</v>
      </c>
    </row>
    <row r="2" spans="1:5" x14ac:dyDescent="0.25">
      <c r="A2">
        <v>-4</v>
      </c>
      <c r="B2" s="77">
        <f>_xlfn.T.DIST(A2,34,FALSE)</f>
        <v>4.6411238334698759E-4</v>
      </c>
    </row>
    <row r="3" spans="1:5" x14ac:dyDescent="0.25">
      <c r="A3">
        <v>-3.9</v>
      </c>
      <c r="B3" s="77">
        <f t="shared" ref="B3:B66" si="0">_xlfn.T.DIST(A3,34,FALSE)</f>
        <v>6.132878263525785E-4</v>
      </c>
    </row>
    <row r="4" spans="1:5" x14ac:dyDescent="0.25">
      <c r="A4">
        <v>-3.8</v>
      </c>
      <c r="B4" s="77">
        <f t="shared" si="0"/>
        <v>8.0821308789554448E-4</v>
      </c>
    </row>
    <row r="5" spans="1:5" x14ac:dyDescent="0.25">
      <c r="A5">
        <v>-3.7</v>
      </c>
      <c r="B5" s="77">
        <f t="shared" si="0"/>
        <v>1.0619891741883709E-3</v>
      </c>
    </row>
    <row r="6" spans="1:5" x14ac:dyDescent="0.25">
      <c r="A6">
        <v>-3.6</v>
      </c>
      <c r="B6" s="77">
        <f t="shared" si="0"/>
        <v>1.391094674487454E-3</v>
      </c>
    </row>
    <row r="7" spans="1:5" x14ac:dyDescent="0.25">
      <c r="A7">
        <v>-3.5000000000000102</v>
      </c>
      <c r="B7" s="77">
        <f t="shared" si="0"/>
        <v>1.8161128587307514E-3</v>
      </c>
    </row>
    <row r="8" spans="1:5" x14ac:dyDescent="0.25">
      <c r="A8">
        <v>-3.4000000000000101</v>
      </c>
      <c r="B8" s="77">
        <f t="shared" si="0"/>
        <v>2.3625619901693896E-3</v>
      </c>
    </row>
    <row r="9" spans="1:5" x14ac:dyDescent="0.25">
      <c r="A9">
        <v>-3.30000000000001</v>
      </c>
      <c r="B9" s="77">
        <f t="shared" si="0"/>
        <v>3.0618233989491215E-3</v>
      </c>
    </row>
    <row r="10" spans="1:5" x14ac:dyDescent="0.25">
      <c r="A10">
        <v>-3.2000000000000099</v>
      </c>
      <c r="B10" s="77">
        <f t="shared" si="0"/>
        <v>3.9521522073614626E-3</v>
      </c>
    </row>
    <row r="11" spans="1:5" x14ac:dyDescent="0.25">
      <c r="A11">
        <v>-3.1000000000000099</v>
      </c>
      <c r="B11" s="77">
        <f t="shared" si="0"/>
        <v>5.0797427063022406E-3</v>
      </c>
    </row>
    <row r="12" spans="1:5" x14ac:dyDescent="0.25">
      <c r="A12">
        <v>-3.0000000000000102</v>
      </c>
      <c r="B12" s="77">
        <f t="shared" si="0"/>
        <v>6.4998039815450329E-3</v>
      </c>
      <c r="E12" s="78"/>
    </row>
    <row r="13" spans="1:5" x14ac:dyDescent="0.25">
      <c r="A13">
        <v>-2.9000000000000101</v>
      </c>
      <c r="B13" s="77">
        <f t="shared" si="0"/>
        <v>8.2775814753850881E-3</v>
      </c>
    </row>
    <row r="14" spans="1:5" x14ac:dyDescent="0.25">
      <c r="A14">
        <v>-2.80000000000001</v>
      </c>
      <c r="B14" s="77">
        <f t="shared" si="0"/>
        <v>1.0489237155590249E-2</v>
      </c>
    </row>
    <row r="15" spans="1:5" x14ac:dyDescent="0.25">
      <c r="A15">
        <v>-2.7000000000000099</v>
      </c>
      <c r="B15" s="77">
        <f t="shared" si="0"/>
        <v>1.3222475832278481E-2</v>
      </c>
    </row>
    <row r="16" spans="1:5" x14ac:dyDescent="0.25">
      <c r="A16">
        <v>-2.6000000000000099</v>
      </c>
      <c r="B16" s="77">
        <f t="shared" si="0"/>
        <v>1.6576779622714716E-2</v>
      </c>
    </row>
    <row r="17" spans="1:5" x14ac:dyDescent="0.25">
      <c r="A17">
        <v>-2.5000000000000102</v>
      </c>
      <c r="B17" s="77">
        <f t="shared" si="0"/>
        <v>2.066308917110754E-2</v>
      </c>
      <c r="E17" s="78"/>
    </row>
    <row r="18" spans="1:5" x14ac:dyDescent="0.25">
      <c r="A18">
        <v>-2.4000000000000101</v>
      </c>
      <c r="B18" s="77">
        <f t="shared" si="0"/>
        <v>2.5602752445347009E-2</v>
      </c>
      <c r="E18" s="78"/>
    </row>
    <row r="19" spans="1:5" x14ac:dyDescent="0.25">
      <c r="A19">
        <v>-2.30000000000001</v>
      </c>
      <c r="B19" s="77">
        <f t="shared" si="0"/>
        <v>3.152555405883728E-2</v>
      </c>
      <c r="E19" s="78"/>
    </row>
    <row r="20" spans="1:5" x14ac:dyDescent="0.25">
      <c r="A20">
        <v>-2.2000000000000099</v>
      </c>
      <c r="B20" s="77">
        <f t="shared" si="0"/>
        <v>3.856664502933202E-2</v>
      </c>
      <c r="E20" s="78"/>
    </row>
    <row r="21" spans="1:5" x14ac:dyDescent="0.25">
      <c r="A21">
        <v>-2.1000000000000099</v>
      </c>
      <c r="B21" s="77">
        <f t="shared" si="0"/>
        <v>4.6862219813468227E-2</v>
      </c>
      <c r="E21" s="78"/>
    </row>
    <row r="22" spans="1:5" x14ac:dyDescent="0.25">
      <c r="A22">
        <v>-2.0000000000000102</v>
      </c>
      <c r="B22" s="77">
        <f t="shared" si="0"/>
        <v>5.6543839022277144E-2</v>
      </c>
      <c r="C22" s="78"/>
      <c r="E22" s="78"/>
    </row>
    <row r="23" spans="1:5" x14ac:dyDescent="0.25">
      <c r="A23">
        <v>-1.9000000000000099</v>
      </c>
      <c r="B23" s="77">
        <f t="shared" si="0"/>
        <v>6.7731375795361468E-2</v>
      </c>
      <c r="C23" s="78"/>
    </row>
    <row r="24" spans="1:5" x14ac:dyDescent="0.25">
      <c r="A24">
        <v>-1.80000000000001</v>
      </c>
      <c r="B24" s="77">
        <f t="shared" si="0"/>
        <v>8.0524672427093547E-2</v>
      </c>
      <c r="C24" s="78"/>
    </row>
    <row r="25" spans="1:5" x14ac:dyDescent="0.25">
      <c r="A25">
        <v>-1.7000000000000099</v>
      </c>
      <c r="B25" s="77">
        <f t="shared" si="0"/>
        <v>9.4994129147979431E-2</v>
      </c>
      <c r="C25" s="78"/>
    </row>
    <row r="26" spans="1:5" x14ac:dyDescent="0.25">
      <c r="A26">
        <v>-1.6000000000000101</v>
      </c>
      <c r="B26" s="77">
        <f t="shared" si="0"/>
        <v>0.11117060230948635</v>
      </c>
      <c r="C26" s="78"/>
    </row>
    <row r="27" spans="1:5" x14ac:dyDescent="0.25">
      <c r="A27">
        <v>-1.50000000000001</v>
      </c>
      <c r="B27" s="77">
        <f t="shared" si="0"/>
        <v>0.12903515306731408</v>
      </c>
      <c r="C27" s="78"/>
    </row>
    <row r="28" spans="1:5" x14ac:dyDescent="0.25">
      <c r="A28">
        <v>-1.4000000000000099</v>
      </c>
      <c r="B28" s="77">
        <f t="shared" si="0"/>
        <v>0.14850934363123147</v>
      </c>
      <c r="C28" s="78"/>
    </row>
    <row r="29" spans="1:5" x14ac:dyDescent="0.25">
      <c r="A29">
        <v>-1.30000000000001</v>
      </c>
      <c r="B29" s="77">
        <f t="shared" si="0"/>
        <v>0.16944690588134464</v>
      </c>
      <c r="C29" s="78"/>
    </row>
    <row r="30" spans="1:5" x14ac:dyDescent="0.25">
      <c r="A30">
        <v>-1.2000000000000099</v>
      </c>
      <c r="B30" s="77">
        <f t="shared" si="0"/>
        <v>0.19162768407404437</v>
      </c>
      <c r="C30" s="78"/>
    </row>
    <row r="31" spans="1:5" x14ac:dyDescent="0.25">
      <c r="A31">
        <v>-1.1000000000000101</v>
      </c>
      <c r="B31" s="77">
        <f t="shared" si="0"/>
        <v>0.21475475743363986</v>
      </c>
      <c r="C31" s="78"/>
    </row>
    <row r="32" spans="1:5" x14ac:dyDescent="0.25">
      <c r="A32">
        <v>-1.00000000000001</v>
      </c>
      <c r="B32" s="77">
        <f t="shared" si="0"/>
        <v>0.23845556157486333</v>
      </c>
      <c r="C32" s="78"/>
    </row>
    <row r="33" spans="1:4" x14ac:dyDescent="0.25">
      <c r="A33">
        <v>-0.90000000000001001</v>
      </c>
      <c r="B33" s="77">
        <f t="shared" si="0"/>
        <v>0.26228763956569534</v>
      </c>
      <c r="C33" s="78"/>
    </row>
    <row r="34" spans="1:4" x14ac:dyDescent="0.25">
      <c r="A34">
        <v>-0.80000000000001004</v>
      </c>
      <c r="B34" s="77">
        <f t="shared" si="0"/>
        <v>0.28574936479983781</v>
      </c>
      <c r="C34" s="78"/>
    </row>
    <row r="35" spans="1:4" x14ac:dyDescent="0.25">
      <c r="A35">
        <v>-0.70000000000002005</v>
      </c>
      <c r="B35" s="77">
        <f t="shared" si="0"/>
        <v>0.30829560302704156</v>
      </c>
      <c r="C35" s="78"/>
    </row>
    <row r="36" spans="1:4" x14ac:dyDescent="0.25">
      <c r="A36">
        <v>-0.60000000000001996</v>
      </c>
      <c r="B36" s="77">
        <f t="shared" si="0"/>
        <v>0.32935784843194688</v>
      </c>
      <c r="C36" s="78"/>
    </row>
    <row r="37" spans="1:4" x14ac:dyDescent="0.25">
      <c r="A37">
        <v>-0.50000000000001998</v>
      </c>
      <c r="B37" s="77">
        <f t="shared" si="0"/>
        <v>0.34836791976904163</v>
      </c>
      <c r="C37" s="78"/>
    </row>
    <row r="38" spans="1:4" x14ac:dyDescent="0.25">
      <c r="A38">
        <v>-0.40000000000002001</v>
      </c>
      <c r="B38" s="77">
        <f t="shared" si="0"/>
        <v>0.36478388717349314</v>
      </c>
      <c r="C38" s="78"/>
    </row>
    <row r="39" spans="1:4" x14ac:dyDescent="0.25">
      <c r="A39">
        <v>-0.30000000000001997</v>
      </c>
      <c r="B39" s="77">
        <f t="shared" si="0"/>
        <v>0.37811657092844098</v>
      </c>
      <c r="C39" s="78"/>
    </row>
    <row r="40" spans="1:4" x14ac:dyDescent="0.25">
      <c r="A40">
        <v>-0.20000000000002</v>
      </c>
      <c r="B40" s="77">
        <f t="shared" si="0"/>
        <v>0.38795475793268908</v>
      </c>
      <c r="C40" s="78"/>
    </row>
    <row r="41" spans="1:4" x14ac:dyDescent="0.25">
      <c r="A41">
        <v>-0.10000000000002</v>
      </c>
      <c r="B41" s="77">
        <f t="shared" si="0"/>
        <v>0.39398725519917416</v>
      </c>
      <c r="C41" s="78"/>
    </row>
    <row r="42" spans="1:4" x14ac:dyDescent="0.25">
      <c r="A42">
        <v>-2.0428103653102899E-14</v>
      </c>
      <c r="B42" s="77">
        <f t="shared" si="0"/>
        <v>0.39602005884318436</v>
      </c>
      <c r="C42" s="78"/>
      <c r="D42" s="78"/>
    </row>
    <row r="43" spans="1:4" x14ac:dyDescent="0.25">
      <c r="A43">
        <v>9.9999999999980105E-2</v>
      </c>
      <c r="B43" s="77">
        <f t="shared" si="0"/>
        <v>0.39398725519917577</v>
      </c>
      <c r="C43" s="78"/>
    </row>
    <row r="44" spans="1:4" x14ac:dyDescent="0.25">
      <c r="A44">
        <v>0.19999999999998</v>
      </c>
      <c r="B44" s="77">
        <f t="shared" si="0"/>
        <v>0.38795475793269224</v>
      </c>
      <c r="C44" s="78"/>
    </row>
    <row r="45" spans="1:4" x14ac:dyDescent="0.25">
      <c r="A45">
        <v>0.29999999999998</v>
      </c>
      <c r="B45" s="77">
        <f t="shared" si="0"/>
        <v>0.37811657092844558</v>
      </c>
      <c r="C45" s="78"/>
    </row>
    <row r="46" spans="1:4" x14ac:dyDescent="0.25">
      <c r="A46">
        <v>0.39999999999997998</v>
      </c>
      <c r="B46" s="77">
        <f t="shared" si="0"/>
        <v>0.36478388717349908</v>
      </c>
      <c r="C46" s="78"/>
    </row>
    <row r="47" spans="1:4" x14ac:dyDescent="0.25">
      <c r="A47">
        <v>0.49999999999998002</v>
      </c>
      <c r="B47" s="77">
        <f t="shared" si="0"/>
        <v>0.34836791976904874</v>
      </c>
      <c r="C47" s="78"/>
    </row>
    <row r="48" spans="1:4" x14ac:dyDescent="0.25">
      <c r="A48">
        <v>0.59999999999997999</v>
      </c>
      <c r="B48" s="77">
        <f t="shared" si="0"/>
        <v>0.32935784843195492</v>
      </c>
      <c r="C48" s="78"/>
    </row>
    <row r="49" spans="1:14" x14ac:dyDescent="0.25">
      <c r="A49">
        <v>0.69999999999997997</v>
      </c>
      <c r="B49" s="77">
        <f t="shared" si="0"/>
        <v>0.30829560302705039</v>
      </c>
      <c r="C49" s="78"/>
    </row>
    <row r="50" spans="1:14" x14ac:dyDescent="0.25">
      <c r="A50">
        <v>0.79999999999997995</v>
      </c>
      <c r="B50" s="77">
        <f t="shared" si="0"/>
        <v>0.28574936479984475</v>
      </c>
      <c r="C50" s="78"/>
      <c r="N50" s="59"/>
    </row>
    <row r="51" spans="1:14" x14ac:dyDescent="0.25">
      <c r="A51">
        <v>0.89999999999998004</v>
      </c>
      <c r="B51" s="77">
        <f t="shared" si="0"/>
        <v>0.26228763956570245</v>
      </c>
      <c r="C51" s="78"/>
    </row>
    <row r="52" spans="1:14" x14ac:dyDescent="0.25">
      <c r="A52">
        <v>0.99999999999998002</v>
      </c>
      <c r="B52" s="77">
        <f t="shared" si="0"/>
        <v>0.23845556157487044</v>
      </c>
      <c r="C52" s="78"/>
    </row>
    <row r="53" spans="1:14" x14ac:dyDescent="0.25">
      <c r="A53">
        <v>1.0999999999999801</v>
      </c>
      <c r="B53" s="77">
        <f t="shared" si="0"/>
        <v>0.21475475743364689</v>
      </c>
      <c r="C53" s="78"/>
    </row>
    <row r="54" spans="1:14" x14ac:dyDescent="0.25">
      <c r="A54">
        <v>1.19999999999998</v>
      </c>
      <c r="B54" s="77">
        <f t="shared" si="0"/>
        <v>0.1916276840740512</v>
      </c>
      <c r="C54" s="78"/>
    </row>
    <row r="55" spans="1:14" x14ac:dyDescent="0.25">
      <c r="A55">
        <v>1.2999999999999801</v>
      </c>
      <c r="B55" s="77">
        <f t="shared" si="0"/>
        <v>0.16944690588135108</v>
      </c>
      <c r="C55" s="78"/>
    </row>
    <row r="56" spans="1:14" x14ac:dyDescent="0.25">
      <c r="A56">
        <v>1.3999999999999799</v>
      </c>
      <c r="B56" s="77">
        <f t="shared" si="0"/>
        <v>0.14850934363123755</v>
      </c>
      <c r="C56" s="78"/>
    </row>
    <row r="57" spans="1:14" x14ac:dyDescent="0.25">
      <c r="A57">
        <v>1.49999999999998</v>
      </c>
      <c r="B57" s="77">
        <f t="shared" si="0"/>
        <v>0.12903515306731977</v>
      </c>
      <c r="C57" s="78"/>
    </row>
    <row r="58" spans="1:14" x14ac:dyDescent="0.25">
      <c r="A58">
        <v>1.5999999999999801</v>
      </c>
      <c r="B58" s="77">
        <f t="shared" si="0"/>
        <v>0.11117060230949151</v>
      </c>
      <c r="C58" s="78"/>
      <c r="D58" s="78"/>
    </row>
    <row r="59" spans="1:14" x14ac:dyDescent="0.25">
      <c r="A59">
        <v>1.69999999999998</v>
      </c>
      <c r="B59" s="77">
        <f t="shared" si="0"/>
        <v>9.4994129147984038E-2</v>
      </c>
      <c r="C59" s="78">
        <f t="shared" ref="C59:C62" si="1">B59</f>
        <v>9.4994129147984038E-2</v>
      </c>
      <c r="D59" s="78">
        <f t="shared" ref="D59:D81" si="2">_xlfn.T.DIST(A59,34,TRUE)</f>
        <v>0.9508684739464065</v>
      </c>
    </row>
    <row r="60" spans="1:14" x14ac:dyDescent="0.25">
      <c r="A60">
        <v>1.7999999999999801</v>
      </c>
      <c r="B60" s="77">
        <f t="shared" si="0"/>
        <v>8.0524672427097613E-2</v>
      </c>
      <c r="C60" s="78">
        <f t="shared" si="1"/>
        <v>8.0524672427097613E-2</v>
      </c>
      <c r="D60" s="78">
        <f t="shared" si="2"/>
        <v>0.95963024915840478</v>
      </c>
    </row>
    <row r="61" spans="1:14" x14ac:dyDescent="0.25">
      <c r="A61">
        <v>1.8999999999999799</v>
      </c>
      <c r="B61" s="77">
        <f t="shared" si="0"/>
        <v>6.7731375795365062E-2</v>
      </c>
      <c r="C61" s="78">
        <f t="shared" si="1"/>
        <v>6.7731375795365062E-2</v>
      </c>
      <c r="D61" s="78">
        <f t="shared" si="2"/>
        <v>0.96702932434942956</v>
      </c>
    </row>
    <row r="62" spans="1:14" x14ac:dyDescent="0.25">
      <c r="A62">
        <v>1.99999999999998</v>
      </c>
      <c r="B62" s="77">
        <f t="shared" si="0"/>
        <v>5.6543839022280308E-2</v>
      </c>
      <c r="C62" s="78">
        <f t="shared" si="1"/>
        <v>5.6543839022280308E-2</v>
      </c>
      <c r="D62" s="78">
        <f t="shared" si="2"/>
        <v>0.9732300822647737</v>
      </c>
    </row>
    <row r="63" spans="1:14" x14ac:dyDescent="0.25">
      <c r="A63">
        <v>2.0999999999999699</v>
      </c>
      <c r="B63" s="77">
        <f t="shared" si="0"/>
        <v>4.6862219813471807E-2</v>
      </c>
      <c r="C63" s="78">
        <f>B63</f>
        <v>4.6862219813471807E-2</v>
      </c>
      <c r="D63" s="78">
        <f t="shared" si="2"/>
        <v>0.97838831151808192</v>
      </c>
    </row>
    <row r="64" spans="1:14" x14ac:dyDescent="0.25">
      <c r="A64">
        <v>2.19999999999997</v>
      </c>
      <c r="B64" s="77">
        <f t="shared" si="0"/>
        <v>3.8566645029335073E-2</v>
      </c>
      <c r="C64" s="78">
        <f t="shared" ref="C64:C82" si="3">B64</f>
        <v>3.8566645029335073E-2</v>
      </c>
      <c r="D64" s="78">
        <f t="shared" si="2"/>
        <v>0.98264874052100026</v>
      </c>
    </row>
    <row r="65" spans="1:4" x14ac:dyDescent="0.25">
      <c r="A65">
        <v>2.2999999999999701</v>
      </c>
      <c r="B65" s="77">
        <f t="shared" si="0"/>
        <v>3.152555405883984E-2</v>
      </c>
      <c r="C65" s="78">
        <f t="shared" si="3"/>
        <v>3.152555405883984E-2</v>
      </c>
      <c r="D65" s="78">
        <f t="shared" si="2"/>
        <v>0.98614346161552136</v>
      </c>
    </row>
    <row r="66" spans="1:4" x14ac:dyDescent="0.25">
      <c r="A66">
        <v>2.3999999999999702</v>
      </c>
      <c r="B66" s="77">
        <f t="shared" si="0"/>
        <v>2.5602752445349174E-2</v>
      </c>
      <c r="C66" s="78">
        <f t="shared" si="3"/>
        <v>2.5602752445349174E-2</v>
      </c>
      <c r="D66" s="78">
        <f t="shared" si="2"/>
        <v>0.98899112630453956</v>
      </c>
    </row>
    <row r="67" spans="1:4" x14ac:dyDescent="0.25">
      <c r="A67">
        <v>2.4999999999999698</v>
      </c>
      <c r="B67" s="77">
        <f t="shared" ref="B67:B82" si="4">_xlfn.T.DIST(A67,34,FALSE)</f>
        <v>2.0663089171109365E-2</v>
      </c>
      <c r="C67" s="78">
        <f t="shared" si="3"/>
        <v>2.0663089171109365E-2</v>
      </c>
      <c r="D67" s="78">
        <f t="shared" si="2"/>
        <v>0.99129677725315701</v>
      </c>
    </row>
    <row r="68" spans="1:4" x14ac:dyDescent="0.25">
      <c r="A68">
        <v>2.5999999999999699</v>
      </c>
      <c r="B68" s="77">
        <f t="shared" si="4"/>
        <v>1.6576779622716181E-2</v>
      </c>
      <c r="C68" s="78">
        <f t="shared" si="3"/>
        <v>1.6576779622716181E-2</v>
      </c>
      <c r="D68" s="78">
        <f t="shared" si="2"/>
        <v>0.9931521797429318</v>
      </c>
    </row>
    <row r="69" spans="1:4" x14ac:dyDescent="0.25">
      <c r="A69">
        <v>2.69999999999997</v>
      </c>
      <c r="B69" s="77">
        <f t="shared" si="4"/>
        <v>1.3222475832279682E-2</v>
      </c>
      <c r="C69" s="78">
        <f t="shared" si="3"/>
        <v>1.3222475832279682E-2</v>
      </c>
      <c r="D69" s="78">
        <f t="shared" si="2"/>
        <v>0.9946365216841927</v>
      </c>
    </row>
    <row r="70" spans="1:4" x14ac:dyDescent="0.25">
      <c r="A70">
        <v>2.7999999999999701</v>
      </c>
      <c r="B70" s="77">
        <f t="shared" si="4"/>
        <v>1.0489237155591233E-2</v>
      </c>
      <c r="C70" s="78">
        <f t="shared" si="3"/>
        <v>1.0489237155591233E-2</v>
      </c>
      <c r="D70" s="78">
        <f t="shared" si="2"/>
        <v>0.99581736425144529</v>
      </c>
    </row>
    <row r="71" spans="1:4" x14ac:dyDescent="0.25">
      <c r="A71">
        <v>2.8999999999999702</v>
      </c>
      <c r="B71" s="77">
        <f t="shared" si="4"/>
        <v>8.2775814753858791E-3</v>
      </c>
      <c r="C71" s="78">
        <f t="shared" si="3"/>
        <v>8.2775814753858791E-3</v>
      </c>
      <c r="D71" s="78">
        <f t="shared" si="2"/>
        <v>0.99675174205649231</v>
      </c>
    </row>
    <row r="72" spans="1:4" x14ac:dyDescent="0.25">
      <c r="A72">
        <v>2.9999999999999698</v>
      </c>
      <c r="B72" s="77">
        <f t="shared" si="4"/>
        <v>6.4998039815456748E-3</v>
      </c>
      <c r="C72" s="78">
        <f t="shared" si="3"/>
        <v>6.4998039815456748E-3</v>
      </c>
      <c r="D72" s="78">
        <f t="shared" si="2"/>
        <v>0.99748733027600867</v>
      </c>
    </row>
    <row r="73" spans="1:4" x14ac:dyDescent="0.25">
      <c r="A73">
        <v>3.0999999999999699</v>
      </c>
      <c r="B73" s="77">
        <f t="shared" si="4"/>
        <v>5.0797427063027463E-3</v>
      </c>
      <c r="C73" s="78">
        <f t="shared" si="3"/>
        <v>5.0797427063027463E-3</v>
      </c>
      <c r="D73" s="78">
        <f t="shared" si="2"/>
        <v>0.99806361456423065</v>
      </c>
    </row>
    <row r="74" spans="1:4" x14ac:dyDescent="0.25">
      <c r="A74">
        <v>3.19999999999997</v>
      </c>
      <c r="B74" s="77">
        <f t="shared" si="4"/>
        <v>3.952152207361859E-3</v>
      </c>
      <c r="C74" s="78">
        <f t="shared" si="3"/>
        <v>3.952152207361859E-3</v>
      </c>
      <c r="D74" s="78">
        <f t="shared" si="2"/>
        <v>0.9985130166734516</v>
      </c>
    </row>
    <row r="75" spans="1:4" x14ac:dyDescent="0.25">
      <c r="A75">
        <v>3.2999999999999701</v>
      </c>
      <c r="B75" s="77">
        <f t="shared" si="4"/>
        <v>3.0618233989494373E-3</v>
      </c>
      <c r="C75" s="78">
        <f t="shared" si="3"/>
        <v>3.0618233989494373E-3</v>
      </c>
      <c r="D75" s="78">
        <f t="shared" si="2"/>
        <v>0.99886194370560055</v>
      </c>
    </row>
    <row r="76" spans="1:4" x14ac:dyDescent="0.25">
      <c r="A76">
        <v>3.3999999999999702</v>
      </c>
      <c r="B76" s="77">
        <f t="shared" si="4"/>
        <v>2.3625619901696342E-3</v>
      </c>
      <c r="C76" s="78">
        <f t="shared" si="3"/>
        <v>2.3625619901696342E-3</v>
      </c>
      <c r="D76" s="78">
        <f t="shared" si="2"/>
        <v>0.9991317414470251</v>
      </c>
    </row>
    <row r="77" spans="1:4" x14ac:dyDescent="0.25">
      <c r="A77">
        <v>3.4999999999999698</v>
      </c>
      <c r="B77" s="77">
        <f t="shared" si="4"/>
        <v>1.8161128587309441E-3</v>
      </c>
      <c r="C77" s="78">
        <f t="shared" si="3"/>
        <v>1.8161128587309441E-3</v>
      </c>
      <c r="D77" s="78">
        <f t="shared" si="2"/>
        <v>0.99933954221622723</v>
      </c>
    </row>
    <row r="78" spans="1:4" x14ac:dyDescent="0.25">
      <c r="A78">
        <v>3.5999999999999699</v>
      </c>
      <c r="B78" s="77">
        <f t="shared" si="4"/>
        <v>1.3910946744875648E-3</v>
      </c>
      <c r="C78" s="78">
        <f t="shared" si="3"/>
        <v>1.3910946744875648E-3</v>
      </c>
      <c r="D78" s="78">
        <f t="shared" si="2"/>
        <v>0.99949900521368562</v>
      </c>
    </row>
    <row r="79" spans="1:4" x14ac:dyDescent="0.25">
      <c r="A79">
        <v>3.69999999999997</v>
      </c>
      <c r="B79" s="77">
        <f t="shared" si="4"/>
        <v>1.0619891741884581E-3</v>
      </c>
      <c r="C79" s="78">
        <f t="shared" si="3"/>
        <v>1.0619891741884581E-3</v>
      </c>
      <c r="D79" s="78">
        <f t="shared" si="2"/>
        <v>0.99962095277038931</v>
      </c>
    </row>
    <row r="80" spans="1:4" x14ac:dyDescent="0.25">
      <c r="A80">
        <v>3.7999999999999701</v>
      </c>
      <c r="B80" s="77">
        <f t="shared" si="4"/>
        <v>8.0821308789561094E-4</v>
      </c>
      <c r="C80" s="78">
        <f t="shared" si="3"/>
        <v>8.0821308789561094E-4</v>
      </c>
      <c r="D80" s="78">
        <f t="shared" si="2"/>
        <v>0.99971390948202377</v>
      </c>
    </row>
    <row r="81" spans="1:4" x14ac:dyDescent="0.25">
      <c r="A81">
        <v>3.8999999999999702</v>
      </c>
      <c r="B81" s="77">
        <f t="shared" si="4"/>
        <v>6.1328782635262837E-4</v>
      </c>
      <c r="C81" s="78">
        <f t="shared" si="3"/>
        <v>6.1328782635262837E-4</v>
      </c>
      <c r="D81" s="78">
        <f t="shared" si="2"/>
        <v>0.99978455334281535</v>
      </c>
    </row>
    <row r="82" spans="1:4" x14ac:dyDescent="0.25">
      <c r="A82">
        <v>3.9999999999999698</v>
      </c>
      <c r="B82" s="77">
        <f t="shared" si="4"/>
        <v>4.6411238334702657E-4</v>
      </c>
      <c r="C82" s="78">
        <f t="shared" si="3"/>
        <v>4.6411238334702657E-4</v>
      </c>
      <c r="D82" s="78">
        <f>_xlfn.T.DIST(A82,34,TRUE)</f>
        <v>0.99983808899586424</v>
      </c>
    </row>
    <row r="83" spans="1:4" x14ac:dyDescent="0.25">
      <c r="B83" s="77"/>
      <c r="C83" s="78"/>
    </row>
    <row r="84" spans="1:4" x14ac:dyDescent="0.25">
      <c r="B84" s="77"/>
      <c r="C84" s="78"/>
    </row>
    <row r="85" spans="1:4" x14ac:dyDescent="0.25">
      <c r="B85" s="77"/>
      <c r="C85" s="78"/>
    </row>
    <row r="86" spans="1:4" x14ac:dyDescent="0.25">
      <c r="B86" s="77"/>
      <c r="C86" s="78"/>
    </row>
    <row r="87" spans="1:4" x14ac:dyDescent="0.25">
      <c r="B87" s="77"/>
    </row>
    <row r="88" spans="1:4" x14ac:dyDescent="0.25">
      <c r="B88" s="77"/>
    </row>
    <row r="89" spans="1:4" x14ac:dyDescent="0.25">
      <c r="B89" s="77"/>
    </row>
    <row r="90" spans="1:4" x14ac:dyDescent="0.25">
      <c r="B90" s="77"/>
    </row>
    <row r="91" spans="1:4" x14ac:dyDescent="0.25">
      <c r="B91" s="77"/>
    </row>
    <row r="92" spans="1:4" x14ac:dyDescent="0.25">
      <c r="B92" s="77"/>
    </row>
    <row r="93" spans="1:4" x14ac:dyDescent="0.25">
      <c r="B93" s="77"/>
    </row>
    <row r="94" spans="1:4" x14ac:dyDescent="0.25">
      <c r="B94" s="77"/>
    </row>
    <row r="95" spans="1:4" x14ac:dyDescent="0.25">
      <c r="B95" s="77"/>
    </row>
    <row r="96" spans="1:4" x14ac:dyDescent="0.25">
      <c r="B96" s="77"/>
    </row>
    <row r="97" spans="2:2" x14ac:dyDescent="0.25">
      <c r="B97" s="77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N97"/>
  <sheetViews>
    <sheetView workbookViewId="0">
      <selection activeCell="Q15" sqref="Q15"/>
    </sheetView>
  </sheetViews>
  <sheetFormatPr defaultRowHeight="15" x14ac:dyDescent="0.25"/>
  <cols>
    <col min="4" max="4" width="12" bestFit="1" customWidth="1"/>
  </cols>
  <sheetData>
    <row r="1" spans="1:5" x14ac:dyDescent="0.25">
      <c r="A1" t="s">
        <v>155</v>
      </c>
      <c r="B1" s="77" t="s">
        <v>156</v>
      </c>
      <c r="C1" t="s">
        <v>157</v>
      </c>
    </row>
    <row r="2" spans="1:5" x14ac:dyDescent="0.25">
      <c r="A2">
        <v>-4</v>
      </c>
      <c r="B2" s="77">
        <f>_xlfn.T.DIST(A2,34,TRUE)</f>
        <v>1.6191100413575458E-4</v>
      </c>
      <c r="C2" s="78">
        <f t="shared" ref="C2:C22" si="0">B2</f>
        <v>1.6191100413575458E-4</v>
      </c>
      <c r="D2" s="78">
        <f>_xlfn.T.DIST(A2,34,TRUE)</f>
        <v>1.6191100413575458E-4</v>
      </c>
    </row>
    <row r="3" spans="1:5" x14ac:dyDescent="0.25">
      <c r="A3">
        <v>-3.9</v>
      </c>
      <c r="B3" s="77">
        <f t="shared" ref="B3:B66" si="1">_xlfn.T.DIST(A3,34,FALSE)</f>
        <v>6.132878263525785E-4</v>
      </c>
      <c r="C3" s="78">
        <f t="shared" si="0"/>
        <v>6.132878263525785E-4</v>
      </c>
      <c r="D3" s="78">
        <f t="shared" ref="D3:D66" si="2">_xlfn.T.DIST(A3,34,TRUE)</f>
        <v>2.1544665718464353E-4</v>
      </c>
    </row>
    <row r="4" spans="1:5" x14ac:dyDescent="0.25">
      <c r="A4">
        <v>-3.8</v>
      </c>
      <c r="B4" s="77">
        <f t="shared" si="1"/>
        <v>8.0821308789554448E-4</v>
      </c>
      <c r="C4" s="78">
        <f t="shared" si="0"/>
        <v>8.0821308789554448E-4</v>
      </c>
      <c r="D4" s="78">
        <f t="shared" si="2"/>
        <v>2.8609051797626195E-4</v>
      </c>
    </row>
    <row r="5" spans="1:5" x14ac:dyDescent="0.25">
      <c r="A5">
        <v>-3.7</v>
      </c>
      <c r="B5" s="77">
        <f t="shared" si="1"/>
        <v>1.0619891741883709E-3</v>
      </c>
      <c r="C5" s="78">
        <f t="shared" si="0"/>
        <v>1.0619891741883709E-3</v>
      </c>
      <c r="D5" s="78">
        <f t="shared" si="2"/>
        <v>3.7904722961070646E-4</v>
      </c>
    </row>
    <row r="6" spans="1:5" x14ac:dyDescent="0.25">
      <c r="A6">
        <v>-3.6</v>
      </c>
      <c r="B6" s="77">
        <f t="shared" si="1"/>
        <v>1.391094674487454E-3</v>
      </c>
      <c r="C6" s="78">
        <f t="shared" si="0"/>
        <v>1.391094674487454E-3</v>
      </c>
      <c r="D6" s="78">
        <f t="shared" si="2"/>
        <v>5.0099478631437564E-4</v>
      </c>
    </row>
    <row r="7" spans="1:5" x14ac:dyDescent="0.25">
      <c r="A7">
        <v>-3.5000000000000102</v>
      </c>
      <c r="B7" s="77">
        <f t="shared" si="1"/>
        <v>1.8161128587307514E-3</v>
      </c>
      <c r="C7" s="78">
        <f t="shared" si="0"/>
        <v>1.8161128587307514E-3</v>
      </c>
      <c r="D7" s="78">
        <f t="shared" si="2"/>
        <v>6.6045778377269348E-4</v>
      </c>
    </row>
    <row r="8" spans="1:5" x14ac:dyDescent="0.25">
      <c r="A8">
        <v>-3.4000000000000101</v>
      </c>
      <c r="B8" s="77">
        <f t="shared" si="1"/>
        <v>2.3625619901693896E-3</v>
      </c>
      <c r="C8" s="78">
        <f t="shared" si="0"/>
        <v>2.3625619901693896E-3</v>
      </c>
      <c r="D8" s="78">
        <f t="shared" si="2"/>
        <v>8.6825855297476549E-4</v>
      </c>
    </row>
    <row r="9" spans="1:5" x14ac:dyDescent="0.25">
      <c r="A9">
        <v>-3.30000000000001</v>
      </c>
      <c r="B9" s="77">
        <f t="shared" si="1"/>
        <v>3.0618233989491215E-3</v>
      </c>
      <c r="C9" s="78">
        <f t="shared" si="0"/>
        <v>3.0618233989491215E-3</v>
      </c>
      <c r="D9" s="78">
        <f t="shared" si="2"/>
        <v>1.1380562943993208E-3</v>
      </c>
    </row>
    <row r="10" spans="1:5" x14ac:dyDescent="0.25">
      <c r="A10">
        <v>-3.2000000000000099</v>
      </c>
      <c r="B10" s="77">
        <f t="shared" si="1"/>
        <v>3.9521522073614626E-3</v>
      </c>
      <c r="C10" s="78">
        <f t="shared" si="0"/>
        <v>3.9521522073614626E-3</v>
      </c>
      <c r="D10" s="78">
        <f t="shared" si="2"/>
        <v>1.4869833265482428E-3</v>
      </c>
    </row>
    <row r="11" spans="1:5" x14ac:dyDescent="0.25">
      <c r="A11">
        <v>-3.1000000000000099</v>
      </c>
      <c r="B11" s="77">
        <f t="shared" si="1"/>
        <v>5.0797427063022406E-3</v>
      </c>
      <c r="C11" s="78">
        <f t="shared" si="0"/>
        <v>5.0797427063022406E-3</v>
      </c>
      <c r="D11" s="78">
        <f t="shared" si="2"/>
        <v>1.9363854357691815E-3</v>
      </c>
    </row>
    <row r="12" spans="1:5" x14ac:dyDescent="0.25">
      <c r="A12">
        <v>-3.0000000000000102</v>
      </c>
      <c r="B12" s="77">
        <f t="shared" si="1"/>
        <v>6.4998039815450329E-3</v>
      </c>
      <c r="C12" s="78">
        <f t="shared" si="0"/>
        <v>6.4998039815450329E-3</v>
      </c>
      <c r="D12" s="78">
        <f t="shared" si="2"/>
        <v>2.5126697239910819E-3</v>
      </c>
      <c r="E12" s="78"/>
    </row>
    <row r="13" spans="1:5" x14ac:dyDescent="0.25">
      <c r="A13">
        <v>-2.9000000000000101</v>
      </c>
      <c r="B13" s="77">
        <f t="shared" si="1"/>
        <v>8.2775814753850881E-3</v>
      </c>
      <c r="C13" s="78">
        <f t="shared" si="0"/>
        <v>8.2775814753850881E-3</v>
      </c>
      <c r="D13" s="78">
        <f t="shared" si="2"/>
        <v>3.2482579435073322E-3</v>
      </c>
    </row>
    <row r="14" spans="1:5" x14ac:dyDescent="0.25">
      <c r="A14">
        <v>-2.80000000000001</v>
      </c>
      <c r="B14" s="77">
        <f t="shared" si="1"/>
        <v>1.0489237155590249E-2</v>
      </c>
      <c r="C14" s="78">
        <f t="shared" si="0"/>
        <v>1.0489237155590249E-2</v>
      </c>
      <c r="D14" s="78">
        <f t="shared" si="2"/>
        <v>4.1826357485542495E-3</v>
      </c>
    </row>
    <row r="15" spans="1:5" x14ac:dyDescent="0.25">
      <c r="A15">
        <v>-2.7000000000000099</v>
      </c>
      <c r="B15" s="77">
        <f t="shared" si="1"/>
        <v>1.3222475832278481E-2</v>
      </c>
      <c r="C15" s="78">
        <f t="shared" si="0"/>
        <v>1.3222475832278481E-2</v>
      </c>
      <c r="D15" s="78">
        <f t="shared" si="2"/>
        <v>5.3634783158067398E-3</v>
      </c>
    </row>
    <row r="16" spans="1:5" x14ac:dyDescent="0.25">
      <c r="A16">
        <v>-2.6000000000000099</v>
      </c>
      <c r="B16" s="77">
        <f t="shared" si="1"/>
        <v>1.6576779622714716E-2</v>
      </c>
      <c r="C16" s="78">
        <f t="shared" si="0"/>
        <v>1.6576779622714716E-2</v>
      </c>
      <c r="D16" s="78">
        <f t="shared" si="2"/>
        <v>6.8478202570675401E-3</v>
      </c>
    </row>
    <row r="17" spans="1:5" x14ac:dyDescent="0.25">
      <c r="A17">
        <v>-2.5000000000000102</v>
      </c>
      <c r="B17" s="77">
        <f t="shared" si="1"/>
        <v>2.066308917110754E-2</v>
      </c>
      <c r="C17" s="78">
        <f t="shared" si="0"/>
        <v>2.066308917110754E-2</v>
      </c>
      <c r="D17" s="78">
        <f t="shared" si="2"/>
        <v>8.7032227468421298E-3</v>
      </c>
      <c r="E17" s="78"/>
    </row>
    <row r="18" spans="1:5" x14ac:dyDescent="0.25">
      <c r="A18">
        <v>-2.4000000000000101</v>
      </c>
      <c r="B18" s="77">
        <f t="shared" si="1"/>
        <v>2.5602752445347009E-2</v>
      </c>
      <c r="C18" s="78">
        <f t="shared" si="0"/>
        <v>2.5602752445347009E-2</v>
      </c>
      <c r="D18" s="78">
        <f t="shared" si="2"/>
        <v>1.1008873695459387E-2</v>
      </c>
      <c r="E18" s="78"/>
    </row>
    <row r="19" spans="1:5" x14ac:dyDescent="0.25">
      <c r="A19">
        <v>-2.30000000000001</v>
      </c>
      <c r="B19" s="77">
        <f t="shared" si="1"/>
        <v>3.152555405883728E-2</v>
      </c>
      <c r="C19" s="78">
        <f t="shared" si="0"/>
        <v>3.152555405883728E-2</v>
      </c>
      <c r="D19" s="78">
        <f>_xlfn.T.DIST(A19,34,TRUE)</f>
        <v>1.3856538384477406E-2</v>
      </c>
      <c r="E19" s="78"/>
    </row>
    <row r="20" spans="1:5" x14ac:dyDescent="0.25">
      <c r="A20">
        <v>-2.2000000000000099</v>
      </c>
      <c r="B20" s="77">
        <f t="shared" si="1"/>
        <v>3.856664502933202E-2</v>
      </c>
      <c r="C20" s="78">
        <f t="shared" si="0"/>
        <v>3.856664502933202E-2</v>
      </c>
      <c r="D20" s="78">
        <f t="shared" si="2"/>
        <v>1.7351259478998168E-2</v>
      </c>
      <c r="E20" s="78"/>
    </row>
    <row r="21" spans="1:5" x14ac:dyDescent="0.25">
      <c r="A21">
        <v>-2.1000000000000099</v>
      </c>
      <c r="B21" s="77">
        <f t="shared" si="1"/>
        <v>4.6862219813468227E-2</v>
      </c>
      <c r="C21" s="78">
        <f t="shared" si="0"/>
        <v>4.6862219813468227E-2</v>
      </c>
      <c r="D21" s="78">
        <f t="shared" si="2"/>
        <v>2.1611688481916233E-2</v>
      </c>
      <c r="E21" s="78"/>
    </row>
    <row r="22" spans="1:5" x14ac:dyDescent="0.25">
      <c r="A22">
        <v>-2.0000000000000102</v>
      </c>
      <c r="B22" s="77">
        <f t="shared" si="1"/>
        <v>5.6543839022277144E-2</v>
      </c>
      <c r="C22" s="78">
        <f t="shared" si="0"/>
        <v>5.6543839022277144E-2</v>
      </c>
      <c r="D22" s="78">
        <f t="shared" si="2"/>
        <v>2.6769917735224621E-2</v>
      </c>
      <c r="E22" s="78"/>
    </row>
    <row r="23" spans="1:5" x14ac:dyDescent="0.25">
      <c r="A23">
        <v>-1.9000000000000099</v>
      </c>
      <c r="B23" s="77">
        <f t="shared" si="1"/>
        <v>6.7731375795361468E-2</v>
      </c>
      <c r="C23" s="78"/>
      <c r="D23" s="78">
        <f t="shared" si="2"/>
        <v>3.2970675650568347E-2</v>
      </c>
    </row>
    <row r="24" spans="1:5" x14ac:dyDescent="0.25">
      <c r="A24">
        <v>-1.80000000000001</v>
      </c>
      <c r="B24" s="77">
        <f t="shared" si="1"/>
        <v>8.0524672427093547E-2</v>
      </c>
      <c r="C24" s="78"/>
      <c r="D24" s="78">
        <f t="shared" si="2"/>
        <v>4.0369750841592854E-2</v>
      </c>
    </row>
    <row r="25" spans="1:5" x14ac:dyDescent="0.25">
      <c r="A25">
        <v>-1.7000000000000099</v>
      </c>
      <c r="B25" s="77">
        <f t="shared" si="1"/>
        <v>9.4994129147979431E-2</v>
      </c>
      <c r="C25" s="78"/>
      <c r="D25" s="78">
        <f t="shared" si="2"/>
        <v>4.9131526053590585E-2</v>
      </c>
    </row>
    <row r="26" spans="1:5" x14ac:dyDescent="0.25">
      <c r="A26">
        <v>-1.6000000000000101</v>
      </c>
      <c r="B26" s="77">
        <f t="shared" si="1"/>
        <v>0.11117060230948635</v>
      </c>
      <c r="C26" s="78"/>
      <c r="D26" s="78">
        <f t="shared" si="2"/>
        <v>5.9425532616962373E-2</v>
      </c>
    </row>
    <row r="27" spans="1:5" x14ac:dyDescent="0.25">
      <c r="A27">
        <v>-1.50000000000001</v>
      </c>
      <c r="B27" s="77">
        <f t="shared" si="1"/>
        <v>0.12903515306731408</v>
      </c>
      <c r="C27" s="78"/>
      <c r="D27" s="78">
        <f t="shared" si="2"/>
        <v>7.1421982058528469E-2</v>
      </c>
    </row>
    <row r="28" spans="1:5" x14ac:dyDescent="0.25">
      <c r="A28">
        <v>-1.4000000000000099</v>
      </c>
      <c r="B28" s="77">
        <f t="shared" si="1"/>
        <v>0.14850934363123147</v>
      </c>
      <c r="C28" s="78"/>
      <c r="D28" s="78">
        <f t="shared" si="2"/>
        <v>8.5286293558318058E-2</v>
      </c>
    </row>
    <row r="29" spans="1:5" x14ac:dyDescent="0.25">
      <c r="A29">
        <v>-1.30000000000001</v>
      </c>
      <c r="B29" s="77">
        <f t="shared" si="1"/>
        <v>0.16944690588134464</v>
      </c>
      <c r="C29" s="78"/>
      <c r="D29" s="78">
        <f t="shared" si="2"/>
        <v>0.10117271236068363</v>
      </c>
    </row>
    <row r="30" spans="1:5" x14ac:dyDescent="0.25">
      <c r="A30">
        <v>-1.2000000000000099</v>
      </c>
      <c r="B30" s="77">
        <f t="shared" si="1"/>
        <v>0.19162768407404437</v>
      </c>
      <c r="C30" s="78"/>
      <c r="D30" s="78">
        <f t="shared" si="2"/>
        <v>0.11921720109324913</v>
      </c>
    </row>
    <row r="31" spans="1:5" x14ac:dyDescent="0.25">
      <c r="A31">
        <v>-1.1000000000000101</v>
      </c>
      <c r="B31" s="77">
        <f t="shared" si="1"/>
        <v>0.21475475743363986</v>
      </c>
      <c r="C31" s="78"/>
      <c r="D31" s="78">
        <f t="shared" si="2"/>
        <v>0.13952987701446759</v>
      </c>
    </row>
    <row r="32" spans="1:5" x14ac:dyDescent="0.25">
      <c r="A32">
        <v>-1.00000000000001</v>
      </c>
      <c r="B32" s="77">
        <f t="shared" si="1"/>
        <v>0.23845556157486333</v>
      </c>
      <c r="C32" s="78"/>
      <c r="D32" s="78">
        <f t="shared" si="2"/>
        <v>0.16218735526310041</v>
      </c>
    </row>
    <row r="33" spans="1:4" x14ac:dyDescent="0.25">
      <c r="A33">
        <v>-0.90000000000001001</v>
      </c>
      <c r="B33" s="77">
        <f t="shared" si="1"/>
        <v>0.26228763956569534</v>
      </c>
      <c r="C33" s="78"/>
      <c r="D33" s="78">
        <f t="shared" si="2"/>
        <v>0.18722543153075627</v>
      </c>
    </row>
    <row r="34" spans="1:4" x14ac:dyDescent="0.25">
      <c r="A34">
        <v>-0.80000000000001004</v>
      </c>
      <c r="B34" s="77">
        <f t="shared" si="1"/>
        <v>0.28574936479983781</v>
      </c>
      <c r="C34" s="78"/>
      <c r="D34" s="78">
        <f t="shared" si="2"/>
        <v>0.21463258702726551</v>
      </c>
    </row>
    <row r="35" spans="1:4" x14ac:dyDescent="0.25">
      <c r="A35">
        <v>-0.70000000000002005</v>
      </c>
      <c r="B35" s="77">
        <f t="shared" si="1"/>
        <v>0.30829560302704156</v>
      </c>
      <c r="C35" s="78"/>
      <c r="D35" s="78">
        <f t="shared" si="2"/>
        <v>0.2443448147050834</v>
      </c>
    </row>
    <row r="36" spans="1:4" x14ac:dyDescent="0.25">
      <c r="A36">
        <v>-0.60000000000001996</v>
      </c>
      <c r="B36" s="77">
        <f t="shared" si="1"/>
        <v>0.32935784843194688</v>
      </c>
      <c r="C36" s="78"/>
      <c r="D36" s="78">
        <f t="shared" si="2"/>
        <v>0.27624224114654355</v>
      </c>
    </row>
    <row r="37" spans="1:4" x14ac:dyDescent="0.25">
      <c r="A37">
        <v>-0.50000000000001998</v>
      </c>
      <c r="B37" s="77">
        <f t="shared" si="1"/>
        <v>0.34836791976904163</v>
      </c>
      <c r="C37" s="78"/>
      <c r="D37" s="78">
        <f t="shared" si="2"/>
        <v>0.31014794950076174</v>
      </c>
    </row>
    <row r="38" spans="1:4" x14ac:dyDescent="0.25">
      <c r="A38">
        <v>-0.40000000000002001</v>
      </c>
      <c r="B38" s="77">
        <f t="shared" si="1"/>
        <v>0.36478388717349314</v>
      </c>
      <c r="C38" s="78"/>
      <c r="D38" s="78">
        <f t="shared" si="2"/>
        <v>0.34582929618896807</v>
      </c>
    </row>
    <row r="39" spans="1:4" x14ac:dyDescent="0.25">
      <c r="A39">
        <v>-0.30000000000001997</v>
      </c>
      <c r="B39" s="77">
        <f t="shared" si="1"/>
        <v>0.37811657092844098</v>
      </c>
      <c r="C39" s="78"/>
      <c r="D39" s="78">
        <f t="shared" si="2"/>
        <v>0.38300186376260525</v>
      </c>
    </row>
    <row r="40" spans="1:4" x14ac:dyDescent="0.25">
      <c r="A40">
        <v>-0.20000000000002</v>
      </c>
      <c r="B40" s="77">
        <f t="shared" si="1"/>
        <v>0.38795475793268908</v>
      </c>
      <c r="C40" s="78"/>
      <c r="D40" s="78">
        <f t="shared" si="2"/>
        <v>0.421336015363107</v>
      </c>
    </row>
    <row r="41" spans="1:4" x14ac:dyDescent="0.25">
      <c r="A41">
        <v>-0.10000000000002</v>
      </c>
      <c r="B41" s="77">
        <f t="shared" si="1"/>
        <v>0.39398725519917416</v>
      </c>
      <c r="C41" s="78"/>
      <c r="D41" s="78">
        <f t="shared" si="2"/>
        <v>0.46046582797529034</v>
      </c>
    </row>
    <row r="42" spans="1:4" x14ac:dyDescent="0.25">
      <c r="A42">
        <v>-2.0428103653102899E-14</v>
      </c>
      <c r="B42" s="77">
        <f t="shared" si="1"/>
        <v>0.39602005884318436</v>
      </c>
      <c r="C42" s="78"/>
      <c r="D42" s="78">
        <f t="shared" si="2"/>
        <v>0.5</v>
      </c>
    </row>
    <row r="43" spans="1:4" x14ac:dyDescent="0.25">
      <c r="A43">
        <v>9.9999999999980105E-2</v>
      </c>
      <c r="B43" s="77">
        <f t="shared" si="1"/>
        <v>0.39398725519917577</v>
      </c>
      <c r="C43" s="78"/>
      <c r="D43" s="78">
        <f t="shared" si="2"/>
        <v>0.539534172024694</v>
      </c>
    </row>
    <row r="44" spans="1:4" x14ac:dyDescent="0.25">
      <c r="A44">
        <v>0.19999999999998</v>
      </c>
      <c r="B44" s="77">
        <f t="shared" si="1"/>
        <v>0.38795475793269224</v>
      </c>
      <c r="C44" s="78"/>
      <c r="D44" s="78">
        <f t="shared" si="2"/>
        <v>0.57866398463687752</v>
      </c>
    </row>
    <row r="45" spans="1:4" x14ac:dyDescent="0.25">
      <c r="A45">
        <v>0.29999999999998</v>
      </c>
      <c r="B45" s="77">
        <f t="shared" si="1"/>
        <v>0.37811657092844558</v>
      </c>
      <c r="C45" s="78"/>
      <c r="D45" s="78">
        <f t="shared" si="2"/>
        <v>0.61699813623737965</v>
      </c>
    </row>
    <row r="46" spans="1:4" x14ac:dyDescent="0.25">
      <c r="A46">
        <v>0.39999999999997998</v>
      </c>
      <c r="B46" s="77">
        <f t="shared" si="1"/>
        <v>0.36478388717349908</v>
      </c>
      <c r="C46" s="78"/>
      <c r="D46" s="78">
        <f t="shared" si="2"/>
        <v>0.65417070381101738</v>
      </c>
    </row>
    <row r="47" spans="1:4" x14ac:dyDescent="0.25">
      <c r="A47">
        <v>0.49999999999998002</v>
      </c>
      <c r="B47" s="77">
        <f t="shared" si="1"/>
        <v>0.34836791976904874</v>
      </c>
      <c r="C47" s="78"/>
      <c r="D47" s="78">
        <f t="shared" si="2"/>
        <v>0.68985205049922427</v>
      </c>
    </row>
    <row r="48" spans="1:4" x14ac:dyDescent="0.25">
      <c r="A48">
        <v>0.59999999999997999</v>
      </c>
      <c r="B48" s="77">
        <f t="shared" si="1"/>
        <v>0.32935784843195492</v>
      </c>
      <c r="C48" s="78"/>
      <c r="D48" s="78">
        <f t="shared" si="2"/>
        <v>0.72375775885344318</v>
      </c>
    </row>
    <row r="49" spans="1:14" x14ac:dyDescent="0.25">
      <c r="A49">
        <v>0.69999999999997997</v>
      </c>
      <c r="B49" s="77">
        <f t="shared" si="1"/>
        <v>0.30829560302705039</v>
      </c>
      <c r="C49" s="78"/>
      <c r="D49" s="78">
        <f t="shared" si="2"/>
        <v>0.75565518529490427</v>
      </c>
    </row>
    <row r="50" spans="1:14" x14ac:dyDescent="0.25">
      <c r="A50">
        <v>0.79999999999997995</v>
      </c>
      <c r="B50" s="77">
        <f t="shared" si="1"/>
        <v>0.28574936479984475</v>
      </c>
      <c r="C50" s="78"/>
      <c r="D50" s="78">
        <f t="shared" si="2"/>
        <v>0.78536741297272583</v>
      </c>
      <c r="N50" s="59"/>
    </row>
    <row r="51" spans="1:14" x14ac:dyDescent="0.25">
      <c r="A51">
        <v>0.89999999999998004</v>
      </c>
      <c r="B51" s="77">
        <f t="shared" si="1"/>
        <v>0.26228763956570245</v>
      </c>
      <c r="C51" s="78"/>
      <c r="D51" s="78">
        <f t="shared" si="2"/>
        <v>0.81277456846923601</v>
      </c>
    </row>
    <row r="52" spans="1:14" x14ac:dyDescent="0.25">
      <c r="A52">
        <v>0.99999999999998002</v>
      </c>
      <c r="B52" s="77">
        <f t="shared" si="1"/>
        <v>0.23845556157487044</v>
      </c>
      <c r="C52" s="78"/>
      <c r="D52" s="78">
        <f t="shared" si="2"/>
        <v>0.83781264473689232</v>
      </c>
    </row>
    <row r="53" spans="1:14" x14ac:dyDescent="0.25">
      <c r="A53">
        <v>1.0999999999999801</v>
      </c>
      <c r="B53" s="77">
        <f t="shared" si="1"/>
        <v>0.21475475743364689</v>
      </c>
      <c r="C53" s="78"/>
      <c r="D53" s="78">
        <f t="shared" si="2"/>
        <v>0.86047012298552616</v>
      </c>
    </row>
    <row r="54" spans="1:14" x14ac:dyDescent="0.25">
      <c r="A54">
        <v>1.19999999999998</v>
      </c>
      <c r="B54" s="77">
        <f t="shared" si="1"/>
        <v>0.1916276840740512</v>
      </c>
      <c r="C54" s="78"/>
      <c r="D54" s="78">
        <f t="shared" si="2"/>
        <v>0.88078279890674505</v>
      </c>
    </row>
    <row r="55" spans="1:14" x14ac:dyDescent="0.25">
      <c r="A55">
        <v>1.2999999999999801</v>
      </c>
      <c r="B55" s="77">
        <f t="shared" si="1"/>
        <v>0.16944690588135108</v>
      </c>
      <c r="C55" s="78"/>
      <c r="D55" s="78">
        <f t="shared" si="2"/>
        <v>0.8988272876393113</v>
      </c>
    </row>
    <row r="56" spans="1:14" x14ac:dyDescent="0.25">
      <c r="A56">
        <v>1.3999999999999799</v>
      </c>
      <c r="B56" s="77">
        <f t="shared" si="1"/>
        <v>0.14850934363123755</v>
      </c>
      <c r="C56" s="78"/>
      <c r="D56" s="78">
        <f t="shared" si="2"/>
        <v>0.91471370644167749</v>
      </c>
    </row>
    <row r="57" spans="1:14" x14ac:dyDescent="0.25">
      <c r="A57">
        <v>1.49999999999998</v>
      </c>
      <c r="B57" s="77">
        <f t="shared" si="1"/>
        <v>0.12903515306731977</v>
      </c>
      <c r="C57" s="78"/>
      <c r="D57" s="78">
        <f t="shared" si="2"/>
        <v>0.92857801794146788</v>
      </c>
    </row>
    <row r="58" spans="1:14" x14ac:dyDescent="0.25">
      <c r="A58">
        <v>1.5999999999999801</v>
      </c>
      <c r="B58" s="77">
        <f t="shared" si="1"/>
        <v>0.11117060230949151</v>
      </c>
      <c r="C58" s="78"/>
      <c r="D58" s="78">
        <f t="shared" si="2"/>
        <v>0.94057446738303441</v>
      </c>
    </row>
    <row r="59" spans="1:14" x14ac:dyDescent="0.25">
      <c r="A59">
        <v>1.69999999999998</v>
      </c>
      <c r="B59" s="77">
        <f t="shared" si="1"/>
        <v>9.4994129147984038E-2</v>
      </c>
      <c r="C59" s="78"/>
      <c r="D59" s="78">
        <f t="shared" si="2"/>
        <v>0.9508684739464065</v>
      </c>
    </row>
    <row r="60" spans="1:14" x14ac:dyDescent="0.25">
      <c r="A60">
        <v>1.7999999999999801</v>
      </c>
      <c r="B60" s="77">
        <f t="shared" si="1"/>
        <v>8.0524672427097613E-2</v>
      </c>
      <c r="C60" s="78"/>
      <c r="D60" s="78">
        <f t="shared" si="2"/>
        <v>0.95963024915840478</v>
      </c>
    </row>
    <row r="61" spans="1:14" x14ac:dyDescent="0.25">
      <c r="A61">
        <v>1.8999999999999799</v>
      </c>
      <c r="B61" s="77">
        <f t="shared" si="1"/>
        <v>6.7731375795365062E-2</v>
      </c>
      <c r="C61" s="78"/>
      <c r="D61" s="78">
        <f t="shared" si="2"/>
        <v>0.96702932434942956</v>
      </c>
    </row>
    <row r="62" spans="1:14" x14ac:dyDescent="0.25">
      <c r="A62">
        <v>1.99999999999998</v>
      </c>
      <c r="B62" s="77">
        <f t="shared" si="1"/>
        <v>5.6543839022280308E-2</v>
      </c>
      <c r="C62" s="78">
        <f t="shared" ref="C62:C82" si="3">B62</f>
        <v>5.6543839022280308E-2</v>
      </c>
      <c r="D62" s="78">
        <f t="shared" si="2"/>
        <v>0.9732300822647737</v>
      </c>
    </row>
    <row r="63" spans="1:14" x14ac:dyDescent="0.25">
      <c r="A63">
        <v>2.0999999999999699</v>
      </c>
      <c r="B63" s="77">
        <f t="shared" si="1"/>
        <v>4.6862219813471807E-2</v>
      </c>
      <c r="C63" s="78">
        <f t="shared" si="3"/>
        <v>4.6862219813471807E-2</v>
      </c>
      <c r="D63" s="78">
        <f t="shared" si="2"/>
        <v>0.97838831151808192</v>
      </c>
    </row>
    <row r="64" spans="1:14" x14ac:dyDescent="0.25">
      <c r="A64">
        <v>2.19999999999997</v>
      </c>
      <c r="B64" s="77">
        <f t="shared" si="1"/>
        <v>3.8566645029335073E-2</v>
      </c>
      <c r="C64" s="78">
        <f t="shared" si="3"/>
        <v>3.8566645029335073E-2</v>
      </c>
      <c r="D64" s="78">
        <f t="shared" si="2"/>
        <v>0.98264874052100026</v>
      </c>
    </row>
    <row r="65" spans="1:4" x14ac:dyDescent="0.25">
      <c r="A65">
        <v>2.2999999999999701</v>
      </c>
      <c r="B65" s="77">
        <f t="shared" si="1"/>
        <v>3.152555405883984E-2</v>
      </c>
      <c r="C65" s="78">
        <f t="shared" si="3"/>
        <v>3.152555405883984E-2</v>
      </c>
      <c r="D65" s="78">
        <f t="shared" si="2"/>
        <v>0.98614346161552136</v>
      </c>
    </row>
    <row r="66" spans="1:4" x14ac:dyDescent="0.25">
      <c r="A66">
        <v>2.3999999999999702</v>
      </c>
      <c r="B66" s="77">
        <f t="shared" si="1"/>
        <v>2.5602752445349174E-2</v>
      </c>
      <c r="C66" s="78">
        <f t="shared" si="3"/>
        <v>2.5602752445349174E-2</v>
      </c>
      <c r="D66" s="78">
        <f t="shared" si="2"/>
        <v>0.98899112630453956</v>
      </c>
    </row>
    <row r="67" spans="1:4" x14ac:dyDescent="0.25">
      <c r="A67">
        <v>2.4999999999999698</v>
      </c>
      <c r="B67" s="77">
        <f t="shared" ref="B67:B82" si="4">_xlfn.T.DIST(A67,34,FALSE)</f>
        <v>2.0663089171109365E-2</v>
      </c>
      <c r="C67" s="78">
        <f t="shared" si="3"/>
        <v>2.0663089171109365E-2</v>
      </c>
      <c r="D67" s="78">
        <f t="shared" ref="D67:D82" si="5">_xlfn.T.DIST(A67,34,TRUE)</f>
        <v>0.99129677725315701</v>
      </c>
    </row>
    <row r="68" spans="1:4" x14ac:dyDescent="0.25">
      <c r="A68">
        <v>2.5999999999999699</v>
      </c>
      <c r="B68" s="77">
        <f t="shared" si="4"/>
        <v>1.6576779622716181E-2</v>
      </c>
      <c r="C68" s="78">
        <f t="shared" si="3"/>
        <v>1.6576779622716181E-2</v>
      </c>
      <c r="D68" s="78">
        <f t="shared" si="5"/>
        <v>0.9931521797429318</v>
      </c>
    </row>
    <row r="69" spans="1:4" x14ac:dyDescent="0.25">
      <c r="A69">
        <v>2.69999999999997</v>
      </c>
      <c r="B69" s="77">
        <f t="shared" si="4"/>
        <v>1.3222475832279682E-2</v>
      </c>
      <c r="C69" s="78">
        <f t="shared" si="3"/>
        <v>1.3222475832279682E-2</v>
      </c>
      <c r="D69" s="78">
        <f t="shared" si="5"/>
        <v>0.9946365216841927</v>
      </c>
    </row>
    <row r="70" spans="1:4" x14ac:dyDescent="0.25">
      <c r="A70">
        <v>2.7999999999999701</v>
      </c>
      <c r="B70" s="77">
        <f t="shared" si="4"/>
        <v>1.0489237155591233E-2</v>
      </c>
      <c r="C70" s="78">
        <f t="shared" si="3"/>
        <v>1.0489237155591233E-2</v>
      </c>
      <c r="D70" s="78">
        <f t="shared" si="5"/>
        <v>0.99581736425144529</v>
      </c>
    </row>
    <row r="71" spans="1:4" x14ac:dyDescent="0.25">
      <c r="A71">
        <v>2.8999999999999702</v>
      </c>
      <c r="B71" s="77">
        <f t="shared" si="4"/>
        <v>8.2775814753858791E-3</v>
      </c>
      <c r="C71" s="78">
        <f t="shared" si="3"/>
        <v>8.2775814753858791E-3</v>
      </c>
      <c r="D71" s="78">
        <f t="shared" si="5"/>
        <v>0.99675174205649231</v>
      </c>
    </row>
    <row r="72" spans="1:4" x14ac:dyDescent="0.25">
      <c r="A72">
        <v>2.9999999999999698</v>
      </c>
      <c r="B72" s="77">
        <f t="shared" si="4"/>
        <v>6.4998039815456748E-3</v>
      </c>
      <c r="C72" s="78">
        <f t="shared" si="3"/>
        <v>6.4998039815456748E-3</v>
      </c>
      <c r="D72" s="78">
        <f t="shared" si="5"/>
        <v>0.99748733027600867</v>
      </c>
    </row>
    <row r="73" spans="1:4" x14ac:dyDescent="0.25">
      <c r="A73">
        <v>3.0999999999999699</v>
      </c>
      <c r="B73" s="77">
        <f t="shared" si="4"/>
        <v>5.0797427063027463E-3</v>
      </c>
      <c r="C73" s="78">
        <f t="shared" si="3"/>
        <v>5.0797427063027463E-3</v>
      </c>
      <c r="D73" s="78">
        <f t="shared" si="5"/>
        <v>0.99806361456423065</v>
      </c>
    </row>
    <row r="74" spans="1:4" x14ac:dyDescent="0.25">
      <c r="A74">
        <v>3.19999999999997</v>
      </c>
      <c r="B74" s="77">
        <f t="shared" si="4"/>
        <v>3.952152207361859E-3</v>
      </c>
      <c r="C74" s="78">
        <f t="shared" si="3"/>
        <v>3.952152207361859E-3</v>
      </c>
      <c r="D74" s="78">
        <f t="shared" si="5"/>
        <v>0.9985130166734516</v>
      </c>
    </row>
    <row r="75" spans="1:4" x14ac:dyDescent="0.25">
      <c r="A75">
        <v>3.2999999999999701</v>
      </c>
      <c r="B75" s="77">
        <f t="shared" si="4"/>
        <v>3.0618233989494373E-3</v>
      </c>
      <c r="C75" s="78">
        <f t="shared" si="3"/>
        <v>3.0618233989494373E-3</v>
      </c>
      <c r="D75" s="78">
        <f t="shared" si="5"/>
        <v>0.99886194370560055</v>
      </c>
    </row>
    <row r="76" spans="1:4" x14ac:dyDescent="0.25">
      <c r="A76">
        <v>3.3999999999999702</v>
      </c>
      <c r="B76" s="77">
        <f t="shared" si="4"/>
        <v>2.3625619901696342E-3</v>
      </c>
      <c r="C76" s="78">
        <f t="shared" si="3"/>
        <v>2.3625619901696342E-3</v>
      </c>
      <c r="D76" s="78">
        <f t="shared" si="5"/>
        <v>0.9991317414470251</v>
      </c>
    </row>
    <row r="77" spans="1:4" x14ac:dyDescent="0.25">
      <c r="A77">
        <v>3.4999999999999698</v>
      </c>
      <c r="B77" s="77">
        <f t="shared" si="4"/>
        <v>1.8161128587309441E-3</v>
      </c>
      <c r="C77" s="78">
        <f t="shared" si="3"/>
        <v>1.8161128587309441E-3</v>
      </c>
      <c r="D77" s="78">
        <f t="shared" si="5"/>
        <v>0.99933954221622723</v>
      </c>
    </row>
    <row r="78" spans="1:4" x14ac:dyDescent="0.25">
      <c r="A78">
        <v>3.5999999999999699</v>
      </c>
      <c r="B78" s="77">
        <f t="shared" si="4"/>
        <v>1.3910946744875648E-3</v>
      </c>
      <c r="C78" s="78">
        <f t="shared" si="3"/>
        <v>1.3910946744875648E-3</v>
      </c>
      <c r="D78" s="78">
        <f t="shared" si="5"/>
        <v>0.99949900521368562</v>
      </c>
    </row>
    <row r="79" spans="1:4" x14ac:dyDescent="0.25">
      <c r="A79">
        <v>3.69999999999997</v>
      </c>
      <c r="B79" s="77">
        <f t="shared" si="4"/>
        <v>1.0619891741884581E-3</v>
      </c>
      <c r="C79" s="78">
        <f t="shared" si="3"/>
        <v>1.0619891741884581E-3</v>
      </c>
      <c r="D79" s="78">
        <f t="shared" si="5"/>
        <v>0.99962095277038931</v>
      </c>
    </row>
    <row r="80" spans="1:4" x14ac:dyDescent="0.25">
      <c r="A80">
        <v>3.7999999999999701</v>
      </c>
      <c r="B80" s="77">
        <f t="shared" si="4"/>
        <v>8.0821308789561094E-4</v>
      </c>
      <c r="C80" s="78">
        <f t="shared" si="3"/>
        <v>8.0821308789561094E-4</v>
      </c>
      <c r="D80" s="78">
        <f t="shared" si="5"/>
        <v>0.99971390948202377</v>
      </c>
    </row>
    <row r="81" spans="1:4" x14ac:dyDescent="0.25">
      <c r="A81">
        <v>3.8999999999999702</v>
      </c>
      <c r="B81" s="77">
        <f t="shared" si="4"/>
        <v>6.1328782635262837E-4</v>
      </c>
      <c r="C81" s="78">
        <f t="shared" si="3"/>
        <v>6.1328782635262837E-4</v>
      </c>
      <c r="D81" s="78">
        <f t="shared" si="5"/>
        <v>0.99978455334281535</v>
      </c>
    </row>
    <row r="82" spans="1:4" x14ac:dyDescent="0.25">
      <c r="A82">
        <v>3.9999999999999698</v>
      </c>
      <c r="B82" s="77">
        <f t="shared" si="4"/>
        <v>4.6411238334702657E-4</v>
      </c>
      <c r="C82" s="78">
        <f t="shared" si="3"/>
        <v>4.6411238334702657E-4</v>
      </c>
      <c r="D82" s="78">
        <f t="shared" si="5"/>
        <v>0.99983808899586424</v>
      </c>
    </row>
    <row r="83" spans="1:4" x14ac:dyDescent="0.25">
      <c r="B83" s="77"/>
      <c r="C83" s="78"/>
    </row>
    <row r="84" spans="1:4" x14ac:dyDescent="0.25">
      <c r="B84" s="77"/>
      <c r="C84" s="78"/>
    </row>
    <row r="85" spans="1:4" x14ac:dyDescent="0.25">
      <c r="B85" s="77"/>
      <c r="C85" s="78"/>
    </row>
    <row r="86" spans="1:4" x14ac:dyDescent="0.25">
      <c r="B86" s="77"/>
      <c r="C86" s="78"/>
    </row>
    <row r="87" spans="1:4" x14ac:dyDescent="0.25">
      <c r="B87" s="77"/>
    </row>
    <row r="88" spans="1:4" x14ac:dyDescent="0.25">
      <c r="B88" s="77"/>
    </row>
    <row r="89" spans="1:4" x14ac:dyDescent="0.25">
      <c r="B89" s="77"/>
    </row>
    <row r="90" spans="1:4" x14ac:dyDescent="0.25">
      <c r="B90" s="77"/>
    </row>
    <row r="91" spans="1:4" x14ac:dyDescent="0.25">
      <c r="B91" s="77"/>
    </row>
    <row r="92" spans="1:4" x14ac:dyDescent="0.25">
      <c r="B92" s="77"/>
    </row>
    <row r="93" spans="1:4" x14ac:dyDescent="0.25">
      <c r="B93" s="77"/>
    </row>
    <row r="94" spans="1:4" x14ac:dyDescent="0.25">
      <c r="B94" s="77"/>
    </row>
    <row r="95" spans="1:4" x14ac:dyDescent="0.25">
      <c r="B95" s="77"/>
    </row>
    <row r="96" spans="1:4" x14ac:dyDescent="0.25">
      <c r="B96" s="77"/>
    </row>
    <row r="97" spans="2:2" x14ac:dyDescent="0.25">
      <c r="B97" s="77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K31"/>
  <sheetViews>
    <sheetView workbookViewId="0">
      <selection activeCell="I24" sqref="I24"/>
    </sheetView>
  </sheetViews>
  <sheetFormatPr defaultRowHeight="15" x14ac:dyDescent="0.25"/>
  <cols>
    <col min="1" max="1" width="2.28515625" customWidth="1"/>
    <col min="4" max="4" width="2.42578125" customWidth="1"/>
    <col min="7" max="7" width="3.140625" customWidth="1"/>
    <col min="8" max="8" width="28.42578125" customWidth="1"/>
    <col min="12" max="12" width="28.7109375" customWidth="1"/>
  </cols>
  <sheetData>
    <row r="1" spans="2:10" ht="15.75" thickBot="1" x14ac:dyDescent="0.3">
      <c r="B1" s="35" t="s">
        <v>79</v>
      </c>
      <c r="C1" s="36" t="s">
        <v>80</v>
      </c>
      <c r="E1" s="35" t="s">
        <v>81</v>
      </c>
      <c r="F1" s="36" t="s">
        <v>82</v>
      </c>
      <c r="H1" t="s">
        <v>53</v>
      </c>
    </row>
    <row r="2" spans="2:10" ht="15.75" thickBot="1" x14ac:dyDescent="0.3">
      <c r="B2" s="21">
        <v>129</v>
      </c>
      <c r="C2" s="4">
        <v>95</v>
      </c>
      <c r="E2" s="19">
        <v>1</v>
      </c>
      <c r="F2" s="20">
        <v>129</v>
      </c>
    </row>
    <row r="3" spans="2:10" x14ac:dyDescent="0.25">
      <c r="B3" s="21">
        <v>87</v>
      </c>
      <c r="C3" s="4">
        <v>117</v>
      </c>
      <c r="E3" s="21">
        <v>1</v>
      </c>
      <c r="F3" s="4">
        <v>87</v>
      </c>
      <c r="H3" s="33"/>
      <c r="I3" s="33" t="s">
        <v>79</v>
      </c>
      <c r="J3" s="33" t="s">
        <v>80</v>
      </c>
    </row>
    <row r="4" spans="2:10" x14ac:dyDescent="0.25">
      <c r="B4" s="21">
        <v>111</v>
      </c>
      <c r="C4" s="4">
        <v>111</v>
      </c>
      <c r="E4" s="21">
        <v>1</v>
      </c>
      <c r="F4" s="4">
        <v>111</v>
      </c>
      <c r="H4" s="32" t="s">
        <v>54</v>
      </c>
      <c r="I4" s="37">
        <v>104.25</v>
      </c>
      <c r="J4" s="37">
        <v>94.8</v>
      </c>
    </row>
    <row r="5" spans="2:10" x14ac:dyDescent="0.25">
      <c r="B5" s="21">
        <v>87</v>
      </c>
      <c r="C5" s="4">
        <v>84</v>
      </c>
      <c r="E5" s="21">
        <v>1</v>
      </c>
      <c r="F5" s="4">
        <v>87</v>
      </c>
      <c r="H5" s="32" t="s">
        <v>55</v>
      </c>
      <c r="I5" s="37">
        <v>247.67105263157896</v>
      </c>
      <c r="J5" s="37">
        <v>166.40000000000066</v>
      </c>
    </row>
    <row r="6" spans="2:10" x14ac:dyDescent="0.25">
      <c r="B6" s="21">
        <v>90</v>
      </c>
      <c r="C6" s="4">
        <v>101</v>
      </c>
      <c r="E6" s="21">
        <v>1</v>
      </c>
      <c r="F6" s="4">
        <v>90</v>
      </c>
      <c r="H6" s="32" t="s">
        <v>25</v>
      </c>
      <c r="I6" s="32">
        <v>20</v>
      </c>
      <c r="J6" s="32">
        <v>10</v>
      </c>
    </row>
    <row r="7" spans="2:10" x14ac:dyDescent="0.25">
      <c r="B7" s="21">
        <v>121</v>
      </c>
      <c r="C7" s="4">
        <v>89</v>
      </c>
      <c r="E7" s="21">
        <v>1</v>
      </c>
      <c r="F7" s="4">
        <v>121</v>
      </c>
      <c r="H7" s="32" t="s">
        <v>56</v>
      </c>
      <c r="I7" s="37">
        <v>221.54821428571449</v>
      </c>
      <c r="J7" s="32"/>
    </row>
    <row r="8" spans="2:10" x14ac:dyDescent="0.25">
      <c r="B8" s="21">
        <v>96</v>
      </c>
      <c r="C8" s="4">
        <v>81</v>
      </c>
      <c r="E8" s="21">
        <v>1</v>
      </c>
      <c r="F8" s="4">
        <v>96</v>
      </c>
      <c r="H8" s="32" t="s">
        <v>57</v>
      </c>
      <c r="I8" s="32">
        <v>0</v>
      </c>
      <c r="J8" s="32"/>
    </row>
    <row r="9" spans="2:10" x14ac:dyDescent="0.25">
      <c r="B9" s="21">
        <v>106</v>
      </c>
      <c r="C9" s="4">
        <v>103</v>
      </c>
      <c r="E9" s="21">
        <v>1</v>
      </c>
      <c r="F9" s="4">
        <v>106</v>
      </c>
      <c r="H9" s="32" t="s">
        <v>10</v>
      </c>
      <c r="I9" s="32">
        <v>28</v>
      </c>
      <c r="J9" s="32"/>
    </row>
    <row r="10" spans="2:10" x14ac:dyDescent="0.25">
      <c r="B10" s="21">
        <v>120</v>
      </c>
      <c r="C10" s="4">
        <v>79</v>
      </c>
      <c r="E10" s="21">
        <v>1</v>
      </c>
      <c r="F10" s="4">
        <v>120</v>
      </c>
      <c r="H10" s="32" t="s">
        <v>35</v>
      </c>
      <c r="I10" s="37">
        <v>1.6392758922050017</v>
      </c>
      <c r="J10" s="32"/>
    </row>
    <row r="11" spans="2:10" x14ac:dyDescent="0.25">
      <c r="B11" s="21">
        <v>81</v>
      </c>
      <c r="C11" s="4">
        <v>88</v>
      </c>
      <c r="E11" s="21">
        <v>1</v>
      </c>
      <c r="F11" s="4">
        <v>81</v>
      </c>
      <c r="H11" s="32" t="s">
        <v>58</v>
      </c>
      <c r="I11" s="37">
        <v>5.6172530655069761E-2</v>
      </c>
      <c r="J11" s="32"/>
    </row>
    <row r="12" spans="2:10" x14ac:dyDescent="0.25">
      <c r="B12" s="21">
        <v>109</v>
      </c>
      <c r="C12" s="4"/>
      <c r="E12" s="21">
        <v>1</v>
      </c>
      <c r="F12" s="4">
        <v>109</v>
      </c>
      <c r="H12" s="32" t="s">
        <v>59</v>
      </c>
      <c r="I12" s="37">
        <v>1.7011309342659326</v>
      </c>
      <c r="J12" s="32"/>
    </row>
    <row r="13" spans="2:10" x14ac:dyDescent="0.25">
      <c r="B13" s="21">
        <v>116</v>
      </c>
      <c r="C13" s="4"/>
      <c r="E13" s="21">
        <v>1</v>
      </c>
      <c r="F13" s="4">
        <v>116</v>
      </c>
      <c r="H13" s="32" t="s">
        <v>60</v>
      </c>
      <c r="I13" s="37">
        <v>0.11234506131013952</v>
      </c>
      <c r="J13" s="32"/>
    </row>
    <row r="14" spans="2:10" ht="15.75" thickBot="1" x14ac:dyDescent="0.3">
      <c r="B14" s="21">
        <v>98</v>
      </c>
      <c r="C14" s="4"/>
      <c r="E14" s="21">
        <v>1</v>
      </c>
      <c r="F14" s="4">
        <v>98</v>
      </c>
      <c r="H14" s="31" t="s">
        <v>61</v>
      </c>
      <c r="I14" s="38">
        <v>2.0484071417952445</v>
      </c>
      <c r="J14" s="31"/>
    </row>
    <row r="15" spans="2:10" x14ac:dyDescent="0.25">
      <c r="B15" s="21">
        <v>102</v>
      </c>
      <c r="C15" s="4"/>
      <c r="E15" s="21">
        <v>1</v>
      </c>
      <c r="F15" s="4">
        <v>102</v>
      </c>
    </row>
    <row r="16" spans="2:10" ht="15.75" thickBot="1" x14ac:dyDescent="0.3">
      <c r="B16" s="21">
        <v>115</v>
      </c>
      <c r="C16" s="4"/>
      <c r="E16" s="21">
        <v>1</v>
      </c>
      <c r="F16" s="4">
        <v>115</v>
      </c>
      <c r="H16" s="80" t="s">
        <v>158</v>
      </c>
      <c r="I16" s="5"/>
    </row>
    <row r="17" spans="2:11" x14ac:dyDescent="0.25">
      <c r="B17" s="21">
        <v>76</v>
      </c>
      <c r="C17" s="4"/>
      <c r="E17" s="21">
        <v>1</v>
      </c>
      <c r="F17" s="4">
        <v>76</v>
      </c>
      <c r="H17" s="6">
        <f t="array" ref="H17:I21">LINEST(F2:F31,E2:E31,,TRUE)</f>
        <v>9.4499999999999975</v>
      </c>
      <c r="I17" s="8">
        <v>94.8</v>
      </c>
      <c r="J17" s="51"/>
    </row>
    <row r="18" spans="2:11" x14ac:dyDescent="0.25">
      <c r="B18" s="21">
        <v>129</v>
      </c>
      <c r="C18" s="4"/>
      <c r="E18" s="21">
        <v>1</v>
      </c>
      <c r="F18" s="4">
        <v>129</v>
      </c>
      <c r="H18" s="7">
        <v>5.7647404228514194</v>
      </c>
      <c r="I18" s="9">
        <v>4.7068908451940361</v>
      </c>
      <c r="J18" s="51"/>
      <c r="K18" s="51"/>
    </row>
    <row r="19" spans="2:11" x14ac:dyDescent="0.25">
      <c r="B19" s="21">
        <v>116</v>
      </c>
      <c r="C19" s="4"/>
      <c r="E19" s="21">
        <v>1</v>
      </c>
      <c r="F19" s="4">
        <v>116</v>
      </c>
      <c r="H19" s="7">
        <v>8.7568211569858986E-2</v>
      </c>
      <c r="I19" s="9">
        <v>14.884495768608163</v>
      </c>
      <c r="J19" s="51"/>
      <c r="K19" s="51"/>
    </row>
    <row r="20" spans="2:11" x14ac:dyDescent="0.25">
      <c r="B20" s="21">
        <v>107</v>
      </c>
      <c r="C20" s="4"/>
      <c r="E20" s="21">
        <v>1</v>
      </c>
      <c r="F20" s="4">
        <v>107</v>
      </c>
      <c r="H20" s="7">
        <v>2.6872254507645077</v>
      </c>
      <c r="I20" s="4">
        <v>28</v>
      </c>
      <c r="J20" s="51"/>
      <c r="K20" s="51"/>
    </row>
    <row r="21" spans="2:11" ht="15.75" thickBot="1" x14ac:dyDescent="0.3">
      <c r="B21" s="22">
        <v>89</v>
      </c>
      <c r="C21" s="23"/>
      <c r="E21" s="21">
        <v>1</v>
      </c>
      <c r="F21" s="4">
        <v>89</v>
      </c>
      <c r="H21" s="39">
        <v>595.35000000000036</v>
      </c>
      <c r="I21" s="40">
        <v>6203.35</v>
      </c>
      <c r="J21" s="51"/>
      <c r="K21" s="51"/>
    </row>
    <row r="22" spans="2:11" ht="15.75" thickBot="1" x14ac:dyDescent="0.3">
      <c r="E22" s="21">
        <v>0</v>
      </c>
      <c r="F22" s="4">
        <v>95</v>
      </c>
    </row>
    <row r="23" spans="2:11" x14ac:dyDescent="0.25">
      <c r="E23" s="21">
        <v>0</v>
      </c>
      <c r="F23" s="4">
        <v>117</v>
      </c>
      <c r="H23" s="19" t="s">
        <v>83</v>
      </c>
      <c r="I23" s="8">
        <f>H17/H18</f>
        <v>1.6392758922050015</v>
      </c>
    </row>
    <row r="24" spans="2:11" ht="15.75" thickBot="1" x14ac:dyDescent="0.3">
      <c r="E24" s="21">
        <v>0</v>
      </c>
      <c r="F24" s="4">
        <v>111</v>
      </c>
      <c r="H24" s="22" t="s">
        <v>159</v>
      </c>
      <c r="I24" s="40">
        <f>_xlfn.T.DIST.RT(I23,I20)</f>
        <v>5.6172530655069747E-2</v>
      </c>
    </row>
    <row r="25" spans="2:11" x14ac:dyDescent="0.25">
      <c r="E25" s="21">
        <v>0</v>
      </c>
      <c r="F25" s="4">
        <v>84</v>
      </c>
    </row>
    <row r="26" spans="2:11" x14ac:dyDescent="0.25">
      <c r="E26" s="21">
        <v>0</v>
      </c>
      <c r="F26" s="4">
        <v>101</v>
      </c>
    </row>
    <row r="27" spans="2:11" x14ac:dyDescent="0.25">
      <c r="E27" s="21">
        <v>0</v>
      </c>
      <c r="F27" s="4">
        <v>89</v>
      </c>
    </row>
    <row r="28" spans="2:11" x14ac:dyDescent="0.25">
      <c r="E28" s="21">
        <v>0</v>
      </c>
      <c r="F28" s="4">
        <v>81</v>
      </c>
    </row>
    <row r="29" spans="2:11" x14ac:dyDescent="0.25">
      <c r="E29" s="21">
        <v>0</v>
      </c>
      <c r="F29" s="4">
        <v>103</v>
      </c>
    </row>
    <row r="30" spans="2:11" x14ac:dyDescent="0.25">
      <c r="E30" s="21">
        <v>0</v>
      </c>
      <c r="F30" s="4">
        <v>79</v>
      </c>
    </row>
    <row r="31" spans="2:11" ht="15.75" thickBot="1" x14ac:dyDescent="0.3">
      <c r="E31" s="22">
        <v>0</v>
      </c>
      <c r="F31" s="23">
        <v>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26"/>
  <sheetViews>
    <sheetView workbookViewId="0">
      <selection activeCell="G24" sqref="G24"/>
    </sheetView>
  </sheetViews>
  <sheetFormatPr defaultRowHeight="15" x14ac:dyDescent="0.25"/>
  <cols>
    <col min="1" max="1" width="8.7109375" bestFit="1" customWidth="1"/>
    <col min="4" max="4" width="2.28515625" customWidth="1"/>
    <col min="5" max="5" width="33.42578125" customWidth="1"/>
    <col min="9" max="9" width="28.7109375" customWidth="1"/>
  </cols>
  <sheetData>
    <row r="1" spans="2:11" ht="15.75" thickBot="1" x14ac:dyDescent="0.3">
      <c r="B1" s="35" t="s">
        <v>79</v>
      </c>
      <c r="C1" s="36" t="s">
        <v>80</v>
      </c>
      <c r="E1" t="s">
        <v>160</v>
      </c>
    </row>
    <row r="2" spans="2:11" ht="15.75" thickBot="1" x14ac:dyDescent="0.3">
      <c r="B2" s="21">
        <v>129</v>
      </c>
      <c r="C2" s="4">
        <v>95</v>
      </c>
      <c r="K2" s="55" t="s">
        <v>161</v>
      </c>
    </row>
    <row r="3" spans="2:11" x14ac:dyDescent="0.25">
      <c r="B3" s="21">
        <v>87</v>
      </c>
      <c r="C3" s="4">
        <v>117</v>
      </c>
      <c r="E3" s="33"/>
      <c r="F3" s="33" t="s">
        <v>79</v>
      </c>
      <c r="G3" s="33" t="s">
        <v>80</v>
      </c>
    </row>
    <row r="4" spans="2:11" x14ac:dyDescent="0.25">
      <c r="B4" s="21">
        <v>111</v>
      </c>
      <c r="C4" s="4">
        <v>111</v>
      </c>
      <c r="E4" s="32" t="s">
        <v>54</v>
      </c>
      <c r="F4" s="37">
        <v>104.25</v>
      </c>
      <c r="G4" s="37">
        <v>94.8</v>
      </c>
    </row>
    <row r="5" spans="2:11" x14ac:dyDescent="0.25">
      <c r="B5" s="21">
        <v>87</v>
      </c>
      <c r="C5" s="4">
        <v>84</v>
      </c>
      <c r="E5" s="32" t="s">
        <v>55</v>
      </c>
      <c r="F5" s="37">
        <v>247.67105263157896</v>
      </c>
      <c r="G5" s="37">
        <v>166.40000000000066</v>
      </c>
    </row>
    <row r="6" spans="2:11" x14ac:dyDescent="0.25">
      <c r="B6" s="21">
        <v>90</v>
      </c>
      <c r="C6" s="4">
        <v>101</v>
      </c>
      <c r="E6" s="32" t="s">
        <v>25</v>
      </c>
      <c r="F6" s="32">
        <v>20</v>
      </c>
      <c r="G6" s="32">
        <v>10</v>
      </c>
    </row>
    <row r="7" spans="2:11" x14ac:dyDescent="0.25">
      <c r="B7" s="21">
        <v>121</v>
      </c>
      <c r="C7" s="4">
        <v>89</v>
      </c>
      <c r="E7" s="32" t="s">
        <v>57</v>
      </c>
      <c r="F7" s="32">
        <v>0</v>
      </c>
      <c r="G7" s="32"/>
    </row>
    <row r="8" spans="2:11" x14ac:dyDescent="0.25">
      <c r="B8" s="21">
        <v>96</v>
      </c>
      <c r="C8" s="4">
        <v>81</v>
      </c>
      <c r="E8" s="32" t="s">
        <v>10</v>
      </c>
      <c r="F8" s="32">
        <v>22</v>
      </c>
      <c r="G8" s="32"/>
    </row>
    <row r="9" spans="2:11" x14ac:dyDescent="0.25">
      <c r="B9" s="21">
        <v>106</v>
      </c>
      <c r="C9" s="4">
        <v>103</v>
      </c>
      <c r="E9" s="32" t="s">
        <v>35</v>
      </c>
      <c r="F9" s="37">
        <v>1.7541087821018957</v>
      </c>
      <c r="G9" s="32"/>
    </row>
    <row r="10" spans="2:11" x14ac:dyDescent="0.25">
      <c r="B10" s="21">
        <v>120</v>
      </c>
      <c r="C10" s="4">
        <v>79</v>
      </c>
      <c r="E10" s="32" t="s">
        <v>58</v>
      </c>
      <c r="F10" s="37">
        <v>4.6666654978743685E-2</v>
      </c>
      <c r="G10" s="32"/>
    </row>
    <row r="11" spans="2:11" x14ac:dyDescent="0.25">
      <c r="B11" s="21">
        <v>81</v>
      </c>
      <c r="C11" s="4">
        <v>88</v>
      </c>
      <c r="E11" s="32" t="s">
        <v>59</v>
      </c>
      <c r="F11" s="37">
        <v>1.7171443743802424</v>
      </c>
      <c r="G11" s="32"/>
    </row>
    <row r="12" spans="2:11" x14ac:dyDescent="0.25">
      <c r="B12" s="21">
        <v>109</v>
      </c>
      <c r="C12" s="4"/>
      <c r="E12" s="32" t="s">
        <v>60</v>
      </c>
      <c r="F12" s="37">
        <v>9.333330995748737E-2</v>
      </c>
      <c r="G12" s="32"/>
    </row>
    <row r="13" spans="2:11" ht="15.75" thickBot="1" x14ac:dyDescent="0.3">
      <c r="B13" s="21">
        <v>116</v>
      </c>
      <c r="C13" s="4"/>
      <c r="E13" s="31" t="s">
        <v>61</v>
      </c>
      <c r="F13" s="38">
        <v>2.0738730679040258</v>
      </c>
      <c r="G13" s="31"/>
    </row>
    <row r="14" spans="2:11" ht="15.75" thickBot="1" x14ac:dyDescent="0.3">
      <c r="B14" s="21">
        <v>98</v>
      </c>
      <c r="C14" s="4"/>
    </row>
    <row r="15" spans="2:11" x14ac:dyDescent="0.25">
      <c r="B15" s="21">
        <v>102</v>
      </c>
      <c r="C15" s="4"/>
      <c r="E15" s="19"/>
      <c r="F15" s="68" t="s">
        <v>162</v>
      </c>
      <c r="G15" s="8">
        <f>B24/20</f>
        <v>12.383552631578947</v>
      </c>
      <c r="H15" s="1" t="s">
        <v>163</v>
      </c>
    </row>
    <row r="16" spans="2:11" x14ac:dyDescent="0.25">
      <c r="B16" s="21">
        <v>115</v>
      </c>
      <c r="C16" s="4"/>
      <c r="E16" s="21"/>
      <c r="F16" s="71" t="s">
        <v>164</v>
      </c>
      <c r="G16" s="9">
        <f>C24/10</f>
        <v>16.640000000000065</v>
      </c>
      <c r="H16" s="1" t="s">
        <v>165</v>
      </c>
    </row>
    <row r="17" spans="1:8" x14ac:dyDescent="0.25">
      <c r="B17" s="21">
        <v>76</v>
      </c>
      <c r="C17" s="4"/>
      <c r="E17" s="21"/>
      <c r="F17" s="71" t="s">
        <v>166</v>
      </c>
      <c r="G17" s="4">
        <v>19</v>
      </c>
      <c r="H17">
        <v>19</v>
      </c>
    </row>
    <row r="18" spans="1:8" x14ac:dyDescent="0.25">
      <c r="B18" s="21">
        <v>129</v>
      </c>
      <c r="C18" s="4"/>
      <c r="E18" s="21"/>
      <c r="F18" s="71" t="s">
        <v>167</v>
      </c>
      <c r="G18" s="4">
        <v>9</v>
      </c>
      <c r="H18" s="51">
        <v>9</v>
      </c>
    </row>
    <row r="19" spans="1:8" x14ac:dyDescent="0.25">
      <c r="B19" s="21">
        <v>116</v>
      </c>
      <c r="C19" s="4"/>
      <c r="E19" s="21"/>
      <c r="F19" s="71" t="s">
        <v>168</v>
      </c>
      <c r="G19" s="9">
        <f>G15/(G15+G16)</f>
        <v>0.426672530023256</v>
      </c>
      <c r="H19" s="81" t="s">
        <v>169</v>
      </c>
    </row>
    <row r="20" spans="1:8" x14ac:dyDescent="0.25">
      <c r="B20" s="21">
        <v>107</v>
      </c>
      <c r="C20" s="4"/>
      <c r="E20" s="21"/>
      <c r="F20" s="71" t="s">
        <v>170</v>
      </c>
      <c r="G20" s="9">
        <f>G17*G18/(G18*G19^2+G17*(1-G19)^2)</f>
        <v>21.689969813072633</v>
      </c>
      <c r="H20" s="51"/>
    </row>
    <row r="21" spans="1:8" ht="15.75" thickBot="1" x14ac:dyDescent="0.3">
      <c r="B21" s="22">
        <v>89</v>
      </c>
      <c r="C21" s="23"/>
      <c r="E21" s="21"/>
      <c r="F21" s="71" t="s">
        <v>62</v>
      </c>
      <c r="G21" s="9">
        <f>B23-C23</f>
        <v>9.4500000000000028</v>
      </c>
      <c r="H21" s="81" t="s">
        <v>171</v>
      </c>
    </row>
    <row r="22" spans="1:8" ht="15.75" thickBot="1" x14ac:dyDescent="0.3">
      <c r="E22" s="21"/>
      <c r="F22" s="71" t="s">
        <v>172</v>
      </c>
      <c r="G22" s="9">
        <f>SQRT(G15+G16)</f>
        <v>5.3873511702486052</v>
      </c>
      <c r="H22" s="1" t="s">
        <v>173</v>
      </c>
    </row>
    <row r="23" spans="1:8" x14ac:dyDescent="0.25">
      <c r="A23" t="s">
        <v>54</v>
      </c>
      <c r="B23" s="6">
        <f>AVERAGE(B2:B21)</f>
        <v>104.25</v>
      </c>
      <c r="C23" s="8">
        <f>AVERAGE(C2:C21)</f>
        <v>94.8</v>
      </c>
      <c r="E23" s="21"/>
      <c r="F23" s="71" t="s">
        <v>174</v>
      </c>
      <c r="G23" s="9">
        <f>G21/G22</f>
        <v>1.7541087821018957</v>
      </c>
      <c r="H23" s="1" t="s">
        <v>175</v>
      </c>
    </row>
    <row r="24" spans="1:8" ht="15.75" thickBot="1" x14ac:dyDescent="0.3">
      <c r="A24" t="s">
        <v>55</v>
      </c>
      <c r="B24" s="39">
        <f>_xlfn.VAR.S(B2:B21)</f>
        <v>247.67105263157896</v>
      </c>
      <c r="C24" s="40">
        <f>_xlfn.VAR.S(C2:C21)</f>
        <v>166.40000000000066</v>
      </c>
      <c r="E24" s="22"/>
      <c r="F24" s="82" t="s">
        <v>159</v>
      </c>
      <c r="G24" s="83">
        <f>_xlfn.T.DIST.RT(G23,ROUND(G20,0))</f>
        <v>4.6666654978743685E-2</v>
      </c>
      <c r="H24" s="1" t="s">
        <v>176</v>
      </c>
    </row>
    <row r="26" spans="1:8" x14ac:dyDescent="0.25">
      <c r="F26" s="84" t="s">
        <v>177</v>
      </c>
      <c r="G26" s="3">
        <f>TTEST(B2:B21,C2:C11,1,3)</f>
        <v>4.6766020716248663E-2</v>
      </c>
      <c r="H26" s="63" t="s">
        <v>178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31"/>
  <sheetViews>
    <sheetView workbookViewId="0">
      <selection activeCell="I24" sqref="I24"/>
    </sheetView>
  </sheetViews>
  <sheetFormatPr defaultRowHeight="15" x14ac:dyDescent="0.25"/>
  <cols>
    <col min="1" max="1" width="8.7109375" bestFit="1" customWidth="1"/>
    <col min="4" max="4" width="2.42578125" customWidth="1"/>
    <col min="7" max="7" width="3.140625" customWidth="1"/>
    <col min="8" max="8" width="28.42578125" customWidth="1"/>
    <col min="12" max="12" width="28.7109375" customWidth="1"/>
  </cols>
  <sheetData>
    <row r="1" spans="2:10" ht="15.75" thickBot="1" x14ac:dyDescent="0.3">
      <c r="B1" s="35" t="s">
        <v>79</v>
      </c>
      <c r="C1" s="36" t="s">
        <v>80</v>
      </c>
      <c r="E1" s="35" t="s">
        <v>81</v>
      </c>
      <c r="F1" s="36" t="s">
        <v>82</v>
      </c>
      <c r="H1" t="s">
        <v>53</v>
      </c>
    </row>
    <row r="2" spans="2:10" ht="15.75" thickBot="1" x14ac:dyDescent="0.3">
      <c r="B2" s="19">
        <v>109</v>
      </c>
      <c r="C2" s="20">
        <v>88</v>
      </c>
      <c r="E2" s="21">
        <v>1</v>
      </c>
      <c r="F2" s="4">
        <v>109</v>
      </c>
    </row>
    <row r="3" spans="2:10" x14ac:dyDescent="0.25">
      <c r="B3" s="21">
        <v>87</v>
      </c>
      <c r="C3" s="4">
        <v>110</v>
      </c>
      <c r="E3" s="21">
        <v>1</v>
      </c>
      <c r="F3" s="4">
        <v>87</v>
      </c>
      <c r="H3" s="33"/>
      <c r="I3" s="33" t="s">
        <v>79</v>
      </c>
      <c r="J3" s="33" t="s">
        <v>80</v>
      </c>
    </row>
    <row r="4" spans="2:10" x14ac:dyDescent="0.25">
      <c r="B4" s="21">
        <v>111</v>
      </c>
      <c r="C4" s="4">
        <v>104</v>
      </c>
      <c r="E4" s="21">
        <v>1</v>
      </c>
      <c r="F4" s="4">
        <v>111</v>
      </c>
      <c r="H4" s="32" t="s">
        <v>54</v>
      </c>
      <c r="I4" s="37">
        <v>102.75</v>
      </c>
      <c r="J4" s="37">
        <v>92.8</v>
      </c>
    </row>
    <row r="5" spans="2:10" x14ac:dyDescent="0.25">
      <c r="B5" s="21">
        <v>87</v>
      </c>
      <c r="C5" s="4">
        <v>77</v>
      </c>
      <c r="E5" s="21">
        <v>1</v>
      </c>
      <c r="F5" s="4">
        <v>87</v>
      </c>
      <c r="H5" s="32" t="s">
        <v>55</v>
      </c>
      <c r="I5" s="37">
        <v>193.46052631578948</v>
      </c>
      <c r="J5" s="37">
        <v>271.9555555555562</v>
      </c>
    </row>
    <row r="6" spans="2:10" x14ac:dyDescent="0.25">
      <c r="B6" s="21">
        <v>90</v>
      </c>
      <c r="C6" s="4">
        <v>114</v>
      </c>
      <c r="E6" s="21">
        <v>1</v>
      </c>
      <c r="F6" s="4">
        <v>90</v>
      </c>
      <c r="H6" s="32" t="s">
        <v>25</v>
      </c>
      <c r="I6" s="32">
        <v>20</v>
      </c>
      <c r="J6" s="32">
        <v>10</v>
      </c>
    </row>
    <row r="7" spans="2:10" x14ac:dyDescent="0.25">
      <c r="B7" s="21">
        <v>121</v>
      </c>
      <c r="C7" s="4">
        <v>112</v>
      </c>
      <c r="E7" s="21">
        <v>1</v>
      </c>
      <c r="F7" s="4">
        <v>121</v>
      </c>
      <c r="H7" s="32" t="s">
        <v>56</v>
      </c>
      <c r="I7" s="37">
        <v>218.69107142857163</v>
      </c>
      <c r="J7" s="32"/>
    </row>
    <row r="8" spans="2:10" x14ac:dyDescent="0.25">
      <c r="B8" s="21">
        <v>96</v>
      </c>
      <c r="C8" s="4">
        <v>74</v>
      </c>
      <c r="E8" s="21">
        <v>1</v>
      </c>
      <c r="F8" s="4">
        <v>96</v>
      </c>
      <c r="H8" s="32" t="s">
        <v>57</v>
      </c>
      <c r="I8" s="32">
        <v>0</v>
      </c>
      <c r="J8" s="32"/>
    </row>
    <row r="9" spans="2:10" x14ac:dyDescent="0.25">
      <c r="B9" s="21">
        <v>106</v>
      </c>
      <c r="C9" s="4">
        <v>96</v>
      </c>
      <c r="E9" s="21">
        <v>1</v>
      </c>
      <c r="F9" s="4">
        <v>106</v>
      </c>
      <c r="H9" s="32" t="s">
        <v>10</v>
      </c>
      <c r="I9" s="32">
        <v>28</v>
      </c>
      <c r="J9" s="32"/>
    </row>
    <row r="10" spans="2:10" x14ac:dyDescent="0.25">
      <c r="B10" s="21">
        <v>120</v>
      </c>
      <c r="C10" s="4">
        <v>72</v>
      </c>
      <c r="E10" s="21">
        <v>1</v>
      </c>
      <c r="F10" s="4">
        <v>120</v>
      </c>
      <c r="H10" s="32" t="s">
        <v>35</v>
      </c>
      <c r="I10" s="37">
        <v>1.7372484187653781</v>
      </c>
      <c r="J10" s="32"/>
    </row>
    <row r="11" spans="2:10" x14ac:dyDescent="0.25">
      <c r="B11" s="21">
        <v>81</v>
      </c>
      <c r="C11" s="4">
        <v>81</v>
      </c>
      <c r="E11" s="21">
        <v>1</v>
      </c>
      <c r="F11" s="4">
        <v>81</v>
      </c>
      <c r="H11" s="32" t="s">
        <v>58</v>
      </c>
      <c r="I11" s="37">
        <v>4.6666779136241836E-2</v>
      </c>
      <c r="J11" s="32"/>
    </row>
    <row r="12" spans="2:10" x14ac:dyDescent="0.25">
      <c r="B12" s="21">
        <v>109</v>
      </c>
      <c r="C12" s="4"/>
      <c r="E12" s="21">
        <v>1</v>
      </c>
      <c r="F12" s="4">
        <v>109</v>
      </c>
      <c r="H12" s="32" t="s">
        <v>59</v>
      </c>
      <c r="I12" s="37">
        <v>1.7011309342659326</v>
      </c>
      <c r="J12" s="32"/>
    </row>
    <row r="13" spans="2:10" x14ac:dyDescent="0.25">
      <c r="B13" s="21">
        <v>116</v>
      </c>
      <c r="C13" s="4"/>
      <c r="E13" s="21">
        <v>1</v>
      </c>
      <c r="F13" s="4">
        <v>116</v>
      </c>
      <c r="H13" s="32" t="s">
        <v>60</v>
      </c>
      <c r="I13" s="37">
        <v>9.3333558272483672E-2</v>
      </c>
      <c r="J13" s="32"/>
    </row>
    <row r="14" spans="2:10" ht="15.75" thickBot="1" x14ac:dyDescent="0.3">
      <c r="B14" s="21">
        <v>98</v>
      </c>
      <c r="C14" s="4"/>
      <c r="E14" s="21">
        <v>1</v>
      </c>
      <c r="F14" s="4">
        <v>98</v>
      </c>
      <c r="H14" s="31" t="s">
        <v>61</v>
      </c>
      <c r="I14" s="38">
        <v>2.0484071417952445</v>
      </c>
      <c r="J14" s="31"/>
    </row>
    <row r="15" spans="2:10" x14ac:dyDescent="0.25">
      <c r="B15" s="21">
        <v>102</v>
      </c>
      <c r="C15" s="4"/>
      <c r="E15" s="21">
        <v>1</v>
      </c>
      <c r="F15" s="4">
        <v>102</v>
      </c>
    </row>
    <row r="16" spans="2:10" ht="15.75" thickBot="1" x14ac:dyDescent="0.3">
      <c r="B16" s="21">
        <v>115</v>
      </c>
      <c r="C16" s="4"/>
      <c r="E16" s="21">
        <v>1</v>
      </c>
      <c r="F16" s="4">
        <v>115</v>
      </c>
      <c r="H16" s="80" t="s">
        <v>158</v>
      </c>
      <c r="I16" s="5"/>
    </row>
    <row r="17" spans="1:11" x14ac:dyDescent="0.25">
      <c r="B17" s="21">
        <v>76</v>
      </c>
      <c r="C17" s="4"/>
      <c r="E17" s="21">
        <v>1</v>
      </c>
      <c r="F17" s="4">
        <v>76</v>
      </c>
      <c r="H17" s="6">
        <f t="array" ref="H17:I21">LINEST(F2:F31,E2:E31,,TRUE)</f>
        <v>9.9500000000000028</v>
      </c>
      <c r="I17" s="8">
        <v>92.8</v>
      </c>
      <c r="J17" s="51"/>
    </row>
    <row r="18" spans="1:11" x14ac:dyDescent="0.25">
      <c r="B18" s="21">
        <v>119</v>
      </c>
      <c r="C18" s="4"/>
      <c r="E18" s="21">
        <v>1</v>
      </c>
      <c r="F18" s="4">
        <v>119</v>
      </c>
      <c r="H18" s="7">
        <v>5.7274480106139531</v>
      </c>
      <c r="I18" s="9">
        <v>4.6764417181075979</v>
      </c>
      <c r="J18" s="51"/>
      <c r="K18" s="51"/>
    </row>
    <row r="19" spans="1:11" x14ac:dyDescent="0.25">
      <c r="B19" s="21">
        <v>116</v>
      </c>
      <c r="C19" s="4"/>
      <c r="E19" s="21">
        <v>1</v>
      </c>
      <c r="F19" s="4">
        <v>116</v>
      </c>
      <c r="H19" s="7">
        <v>9.7299276170632776E-2</v>
      </c>
      <c r="I19" s="9">
        <v>14.788207174251092</v>
      </c>
      <c r="J19" s="51"/>
      <c r="K19" s="51"/>
    </row>
    <row r="20" spans="1:11" x14ac:dyDescent="0.25">
      <c r="B20" s="21">
        <v>107</v>
      </c>
      <c r="C20" s="4"/>
      <c r="E20" s="21">
        <v>1</v>
      </c>
      <c r="F20" s="4">
        <v>107</v>
      </c>
      <c r="H20" s="7">
        <v>3.0180320685027975</v>
      </c>
      <c r="I20" s="4">
        <v>28</v>
      </c>
      <c r="J20" s="51"/>
      <c r="K20" s="51"/>
    </row>
    <row r="21" spans="1:11" ht="15.75" thickBot="1" x14ac:dyDescent="0.3">
      <c r="B21" s="22">
        <v>89</v>
      </c>
      <c r="C21" s="23"/>
      <c r="E21" s="21">
        <v>1</v>
      </c>
      <c r="F21" s="4">
        <v>89</v>
      </c>
      <c r="H21" s="39">
        <v>660.01666666666461</v>
      </c>
      <c r="I21" s="40">
        <v>6123.3500000000013</v>
      </c>
      <c r="J21" s="51"/>
      <c r="K21" s="51"/>
    </row>
    <row r="22" spans="1:11" ht="15.75" thickBot="1" x14ac:dyDescent="0.3">
      <c r="E22" s="21">
        <v>0</v>
      </c>
      <c r="F22" s="4">
        <v>88</v>
      </c>
    </row>
    <row r="23" spans="1:11" x14ac:dyDescent="0.25">
      <c r="A23" t="s">
        <v>54</v>
      </c>
      <c r="B23" s="6">
        <f>AVERAGE(B2:B21)</f>
        <v>102.75</v>
      </c>
      <c r="C23" s="8">
        <f>AVERAGE(C2:C21)</f>
        <v>92.8</v>
      </c>
      <c r="E23" s="21">
        <v>0</v>
      </c>
      <c r="F23" s="4">
        <v>110</v>
      </c>
      <c r="H23" s="19" t="s">
        <v>83</v>
      </c>
      <c r="I23" s="8">
        <f>H17/H18</f>
        <v>1.7372484187653785</v>
      </c>
    </row>
    <row r="24" spans="1:11" ht="15.75" thickBot="1" x14ac:dyDescent="0.3">
      <c r="A24" t="s">
        <v>55</v>
      </c>
      <c r="B24" s="39">
        <f>_xlfn.VAR.S(B2:B21)</f>
        <v>193.46052631578948</v>
      </c>
      <c r="C24" s="40">
        <f>_xlfn.VAR.S(C2:C21)</f>
        <v>271.9555555555562</v>
      </c>
      <c r="E24" s="21">
        <v>0</v>
      </c>
      <c r="F24" s="4">
        <v>104</v>
      </c>
      <c r="H24" s="22" t="s">
        <v>159</v>
      </c>
      <c r="I24" s="40">
        <f>_xlfn.T.DIST.RT(I23,I20)</f>
        <v>4.6666779136241704E-2</v>
      </c>
    </row>
    <row r="25" spans="1:11" x14ac:dyDescent="0.25">
      <c r="E25" s="21">
        <v>0</v>
      </c>
      <c r="F25" s="4">
        <v>77</v>
      </c>
    </row>
    <row r="26" spans="1:11" x14ac:dyDescent="0.25">
      <c r="E26" s="21">
        <v>0</v>
      </c>
      <c r="F26" s="4">
        <v>114</v>
      </c>
    </row>
    <row r="27" spans="1:11" x14ac:dyDescent="0.25">
      <c r="E27" s="21">
        <v>0</v>
      </c>
      <c r="F27" s="4">
        <v>112</v>
      </c>
    </row>
    <row r="28" spans="1:11" x14ac:dyDescent="0.25">
      <c r="E28" s="21">
        <v>0</v>
      </c>
      <c r="F28" s="4">
        <v>74</v>
      </c>
    </row>
    <row r="29" spans="1:11" x14ac:dyDescent="0.25">
      <c r="E29" s="21">
        <v>0</v>
      </c>
      <c r="F29" s="4">
        <v>96</v>
      </c>
    </row>
    <row r="30" spans="1:11" x14ac:dyDescent="0.25">
      <c r="E30" s="21">
        <v>0</v>
      </c>
      <c r="F30" s="4">
        <v>72</v>
      </c>
    </row>
    <row r="31" spans="1:11" ht="15.75" thickBot="1" x14ac:dyDescent="0.3">
      <c r="E31" s="22">
        <v>0</v>
      </c>
      <c r="F31" s="23">
        <v>81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6"/>
  <sheetViews>
    <sheetView workbookViewId="0">
      <selection activeCell="G24" sqref="G24"/>
    </sheetView>
  </sheetViews>
  <sheetFormatPr defaultRowHeight="15" x14ac:dyDescent="0.25"/>
  <cols>
    <col min="1" max="1" width="8.7109375" bestFit="1" customWidth="1"/>
    <col min="4" max="4" width="2.28515625" customWidth="1"/>
    <col min="5" max="5" width="33.42578125" customWidth="1"/>
    <col min="9" max="9" width="28.7109375" customWidth="1"/>
  </cols>
  <sheetData>
    <row r="1" spans="2:12" ht="15.75" thickBot="1" x14ac:dyDescent="0.3">
      <c r="B1" s="35" t="s">
        <v>79</v>
      </c>
      <c r="C1" s="36" t="s">
        <v>80</v>
      </c>
      <c r="E1" t="s">
        <v>160</v>
      </c>
    </row>
    <row r="2" spans="2:12" ht="15.75" thickBot="1" x14ac:dyDescent="0.3">
      <c r="B2" s="19">
        <v>109</v>
      </c>
      <c r="C2" s="20">
        <v>88</v>
      </c>
      <c r="L2" s="55" t="s">
        <v>161</v>
      </c>
    </row>
    <row r="3" spans="2:12" x14ac:dyDescent="0.25">
      <c r="B3" s="21">
        <v>87</v>
      </c>
      <c r="C3" s="4">
        <v>110</v>
      </c>
      <c r="E3" s="33"/>
      <c r="F3" s="33" t="s">
        <v>79</v>
      </c>
      <c r="G3" s="33" t="s">
        <v>80</v>
      </c>
    </row>
    <row r="4" spans="2:12" x14ac:dyDescent="0.25">
      <c r="B4" s="21">
        <v>111</v>
      </c>
      <c r="C4" s="4">
        <v>104</v>
      </c>
      <c r="E4" s="32" t="s">
        <v>54</v>
      </c>
      <c r="F4" s="37">
        <v>102.75</v>
      </c>
      <c r="G4" s="37">
        <v>92.8</v>
      </c>
    </row>
    <row r="5" spans="2:12" x14ac:dyDescent="0.25">
      <c r="B5" s="21">
        <v>87</v>
      </c>
      <c r="C5" s="4">
        <v>77</v>
      </c>
      <c r="E5" s="32" t="s">
        <v>55</v>
      </c>
      <c r="F5" s="37">
        <v>193.46052631578948</v>
      </c>
      <c r="G5" s="37">
        <v>271.9555555555562</v>
      </c>
    </row>
    <row r="6" spans="2:12" x14ac:dyDescent="0.25">
      <c r="B6" s="21">
        <v>90</v>
      </c>
      <c r="C6" s="4">
        <v>114</v>
      </c>
      <c r="E6" s="32" t="s">
        <v>25</v>
      </c>
      <c r="F6" s="32">
        <v>20</v>
      </c>
      <c r="G6" s="32">
        <v>10</v>
      </c>
    </row>
    <row r="7" spans="2:12" x14ac:dyDescent="0.25">
      <c r="B7" s="21">
        <v>121</v>
      </c>
      <c r="C7" s="4">
        <v>112</v>
      </c>
      <c r="E7" s="32" t="s">
        <v>57</v>
      </c>
      <c r="F7" s="32">
        <v>0</v>
      </c>
      <c r="G7" s="32"/>
    </row>
    <row r="8" spans="2:12" x14ac:dyDescent="0.25">
      <c r="B8" s="21">
        <v>96</v>
      </c>
      <c r="C8" s="4">
        <v>74</v>
      </c>
      <c r="E8" s="32" t="s">
        <v>10</v>
      </c>
      <c r="F8" s="32">
        <v>16</v>
      </c>
      <c r="G8" s="32"/>
    </row>
    <row r="9" spans="2:12" x14ac:dyDescent="0.25">
      <c r="B9" s="21">
        <v>106</v>
      </c>
      <c r="C9" s="4">
        <v>96</v>
      </c>
      <c r="E9" s="32" t="s">
        <v>35</v>
      </c>
      <c r="F9" s="37">
        <v>1.6386826828311178</v>
      </c>
      <c r="G9" s="32"/>
    </row>
    <row r="10" spans="2:12" x14ac:dyDescent="0.25">
      <c r="B10" s="21">
        <v>120</v>
      </c>
      <c r="C10" s="4">
        <v>72</v>
      </c>
      <c r="E10" s="32" t="s">
        <v>58</v>
      </c>
      <c r="F10" s="37">
        <v>6.0395556269775733E-2</v>
      </c>
      <c r="G10" s="32"/>
    </row>
    <row r="11" spans="2:12" x14ac:dyDescent="0.25">
      <c r="B11" s="21">
        <v>81</v>
      </c>
      <c r="C11" s="4">
        <v>81</v>
      </c>
      <c r="E11" s="32" t="s">
        <v>59</v>
      </c>
      <c r="F11" s="37">
        <v>1.7458836762762506</v>
      </c>
      <c r="G11" s="32"/>
    </row>
    <row r="12" spans="2:12" x14ac:dyDescent="0.25">
      <c r="B12" s="21">
        <v>109</v>
      </c>
      <c r="C12" s="4"/>
      <c r="E12" s="32" t="s">
        <v>60</v>
      </c>
      <c r="F12" s="37">
        <v>0.12079111253955147</v>
      </c>
      <c r="G12" s="32"/>
    </row>
    <row r="13" spans="2:12" ht="15.75" thickBot="1" x14ac:dyDescent="0.3">
      <c r="B13" s="21">
        <v>116</v>
      </c>
      <c r="C13" s="4"/>
      <c r="E13" s="31" t="s">
        <v>61</v>
      </c>
      <c r="F13" s="38">
        <v>2.119905299221255</v>
      </c>
      <c r="G13" s="31"/>
    </row>
    <row r="14" spans="2:12" ht="15.75" thickBot="1" x14ac:dyDescent="0.3">
      <c r="B14" s="21">
        <v>98</v>
      </c>
      <c r="C14" s="4"/>
    </row>
    <row r="15" spans="2:12" x14ac:dyDescent="0.25">
      <c r="B15" s="21">
        <v>102</v>
      </c>
      <c r="C15" s="4"/>
      <c r="E15" s="19"/>
      <c r="F15" s="68" t="s">
        <v>162</v>
      </c>
      <c r="G15" s="8">
        <f>B24/20</f>
        <v>9.6730263157894747</v>
      </c>
      <c r="H15" s="1" t="s">
        <v>163</v>
      </c>
    </row>
    <row r="16" spans="2:12" x14ac:dyDescent="0.25">
      <c r="B16" s="21">
        <v>115</v>
      </c>
      <c r="C16" s="4"/>
      <c r="E16" s="21"/>
      <c r="F16" s="71" t="s">
        <v>164</v>
      </c>
      <c r="G16" s="9">
        <f>C24/10</f>
        <v>27.195555555555622</v>
      </c>
      <c r="H16" s="1" t="s">
        <v>165</v>
      </c>
    </row>
    <row r="17" spans="1:8" x14ac:dyDescent="0.25">
      <c r="B17" s="21">
        <v>76</v>
      </c>
      <c r="C17" s="4"/>
      <c r="E17" s="21"/>
      <c r="F17" s="71" t="s">
        <v>166</v>
      </c>
      <c r="G17" s="4">
        <v>19</v>
      </c>
      <c r="H17">
        <v>19</v>
      </c>
    </row>
    <row r="18" spans="1:8" x14ac:dyDescent="0.25">
      <c r="B18" s="21">
        <v>119</v>
      </c>
      <c r="C18" s="4"/>
      <c r="E18" s="21"/>
      <c r="F18" s="71" t="s">
        <v>167</v>
      </c>
      <c r="G18" s="4">
        <v>9</v>
      </c>
      <c r="H18" s="51">
        <v>9</v>
      </c>
    </row>
    <row r="19" spans="1:8" x14ac:dyDescent="0.25">
      <c r="B19" s="21">
        <v>116</v>
      </c>
      <c r="C19" s="4"/>
      <c r="E19" s="21"/>
      <c r="F19" s="71" t="s">
        <v>168</v>
      </c>
      <c r="G19" s="9">
        <f>G15/(G15+G16)</f>
        <v>0.26236502259685551</v>
      </c>
      <c r="H19" s="81" t="s">
        <v>169</v>
      </c>
    </row>
    <row r="20" spans="1:8" x14ac:dyDescent="0.25">
      <c r="B20" s="21">
        <v>107</v>
      </c>
      <c r="C20" s="4"/>
      <c r="E20" s="21"/>
      <c r="F20" s="71" t="s">
        <v>170</v>
      </c>
      <c r="G20" s="9">
        <f>G17*G18/(G18*G19^2+G17*(1-G19)^2)</f>
        <v>15.605720313786634</v>
      </c>
      <c r="H20" s="81" t="s">
        <v>171</v>
      </c>
    </row>
    <row r="21" spans="1:8" ht="15.75" thickBot="1" x14ac:dyDescent="0.3">
      <c r="B21" s="22">
        <v>89</v>
      </c>
      <c r="C21" s="23"/>
      <c r="E21" s="21"/>
      <c r="F21" s="71" t="s">
        <v>62</v>
      </c>
      <c r="G21" s="9">
        <f>B23-C23</f>
        <v>9.9500000000000028</v>
      </c>
      <c r="H21" s="63" t="s">
        <v>179</v>
      </c>
    </row>
    <row r="22" spans="1:8" ht="15.75" thickBot="1" x14ac:dyDescent="0.3">
      <c r="E22" s="21"/>
      <c r="F22" s="71" t="s">
        <v>172</v>
      </c>
      <c r="G22" s="9">
        <f>SQRT(G15+G16)</f>
        <v>6.0719504173984404</v>
      </c>
      <c r="H22" s="1" t="s">
        <v>173</v>
      </c>
    </row>
    <row r="23" spans="1:8" x14ac:dyDescent="0.25">
      <c r="A23" t="s">
        <v>54</v>
      </c>
      <c r="B23" s="6">
        <f>AVERAGE(B2:B21)</f>
        <v>102.75</v>
      </c>
      <c r="C23" s="8">
        <f>AVERAGE(C2:C21)</f>
        <v>92.8</v>
      </c>
      <c r="E23" s="21"/>
      <c r="F23" s="71" t="s">
        <v>174</v>
      </c>
      <c r="G23" s="9">
        <f>G21/G22</f>
        <v>1.6386826828311178</v>
      </c>
      <c r="H23" s="1" t="s">
        <v>175</v>
      </c>
    </row>
    <row r="24" spans="1:8" ht="15.75" thickBot="1" x14ac:dyDescent="0.3">
      <c r="A24" t="s">
        <v>55</v>
      </c>
      <c r="B24" s="39">
        <f>_xlfn.VAR.S(B2:B21)</f>
        <v>193.46052631578948</v>
      </c>
      <c r="C24" s="40">
        <f>_xlfn.VAR.S(C2:C11)</f>
        <v>271.9555555555562</v>
      </c>
      <c r="E24" s="22"/>
      <c r="F24" s="82" t="s">
        <v>159</v>
      </c>
      <c r="G24" s="83">
        <f>_xlfn.T.DIST.RT(G23,ROUND(G20,0))</f>
        <v>6.0395556269775733E-2</v>
      </c>
      <c r="H24" s="1" t="s">
        <v>176</v>
      </c>
    </row>
    <row r="26" spans="1:8" x14ac:dyDescent="0.25">
      <c r="F26" s="84" t="s">
        <v>177</v>
      </c>
      <c r="G26" s="3">
        <f>TTEST(B2:B21,C2:C11,1,3)</f>
        <v>6.0639765105403462E-2</v>
      </c>
      <c r="H26" s="63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Fig 6.1</vt:lpstr>
      <vt:lpstr>Fig 6.2</vt:lpstr>
      <vt:lpstr>Fig 6.3</vt:lpstr>
      <vt:lpstr>Fig 6.4</vt:lpstr>
      <vt:lpstr>Fig 6.5</vt:lpstr>
      <vt:lpstr>Fig 6.6</vt:lpstr>
      <vt:lpstr>Fig 6.7</vt:lpstr>
      <vt:lpstr>Fig 6.8</vt:lpstr>
      <vt:lpstr>Fig 6.9</vt:lpstr>
      <vt:lpstr>Fig 6.10</vt:lpstr>
      <vt:lpstr>Fig 6.11</vt:lpstr>
      <vt:lpstr>Fig 6.12</vt:lpstr>
      <vt:lpstr>Fig 6.13</vt:lpstr>
      <vt:lpstr>Fig 6.14</vt:lpstr>
      <vt:lpstr>Fig 6.15</vt:lpstr>
      <vt:lpstr>Fig 6.16</vt:lpstr>
      <vt:lpstr>Fig 6.17</vt:lpstr>
      <vt:lpstr>Fig 6.18</vt:lpstr>
      <vt:lpstr>Fig 6.19</vt:lpstr>
      <vt:lpstr>Fig 6.20</vt:lpstr>
      <vt:lpstr>Fig 6.21</vt:lpstr>
      <vt:lpstr>Fig 6.22</vt:lpstr>
      <vt:lpstr>Fig 6.23</vt:lpstr>
      <vt:lpstr>Fig 6.24</vt:lpstr>
      <vt:lpstr>Fig 6.25</vt:lpstr>
      <vt:lpstr>Fig 6.26</vt:lpstr>
      <vt:lpstr>Fig 6.27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 Carlberg</dc:creator>
  <cp:lastModifiedBy>Conrad Carlberg</cp:lastModifiedBy>
  <dcterms:created xsi:type="dcterms:W3CDTF">2015-10-08T20:13:51Z</dcterms:created>
  <dcterms:modified xsi:type="dcterms:W3CDTF">2015-10-29T22:10:14Z</dcterms:modified>
</cp:coreProperties>
</file>